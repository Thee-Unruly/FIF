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PSM\"/>
    </mc:Choice>
  </mc:AlternateContent>
  <xr:revisionPtr revIDLastSave="0" documentId="13_ncr:1_{B40C023F-D6AE-4C01-8D18-A1C6BC67B9B1}" xr6:coauthVersionLast="47" xr6:coauthVersionMax="47" xr10:uidLastSave="{00000000-0000-0000-0000-000000000000}"/>
  <workbookProtection workbookAlgorithmName="SHA-512" workbookHashValue="+/FXYX+e0Cz6WQ0BW0/bkZ/KXtLiFAvg77QEvbfjsTACtWIlol6a5CKEkRwZNEymcu21m1bsJQsDgQVQA1GFng==" workbookSaltValue="cGOAFoZ8ARYupWVV43w77A==" workbookSpinCount="100000" lockStructure="1"/>
  <bookViews>
    <workbookView xWindow="-120" yWindow="-120" windowWidth="29040" windowHeight="15720" activeTab="1" xr2:uid="{3B830591-47B3-4CA6-812E-B6BDDEC26C97}"/>
  </bookViews>
  <sheets>
    <sheet name="Monthly Summary" sheetId="1" r:id="rId1"/>
    <sheet name="Daily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<sst xmlns="http://schemas.openxmlformats.org/spreadsheetml/2006/main" count="425" uniqueCount="42">
  <si>
    <t xml:space="preserve">Bridge </t>
  </si>
  <si>
    <t>OPT-Ins (Mn)</t>
  </si>
  <si>
    <t>Mandatory Svgs</t>
  </si>
  <si>
    <t>DISBURSEMENTS (Mn)</t>
  </si>
  <si>
    <t>REPAYMENTS (Mn) 
inclusive of interest</t>
  </si>
  <si>
    <t>PERFORMANCE (Mn)
 (Based on when the loan falls Due;after 30days)</t>
  </si>
  <si>
    <t>ID_MNTH</t>
  </si>
  <si>
    <t>CUST_BASE</t>
  </si>
  <si>
    <t>TXN_VAL</t>
  </si>
  <si>
    <t>TXN_VOL</t>
  </si>
  <si>
    <t>CUST_COUNT</t>
  </si>
  <si>
    <t>AV_TICKET_SIZE</t>
  </si>
  <si>
    <t>DUE</t>
  </si>
  <si>
    <t>OUTSTANDING</t>
  </si>
  <si>
    <t>Collection_RATE</t>
  </si>
  <si>
    <t>Total</t>
  </si>
  <si>
    <t>ID_DATE</t>
  </si>
  <si>
    <t>DISBURSEMNTS</t>
  </si>
  <si>
    <t>OUTSTANDING LOANS
 (Based on when the Loan was issued)</t>
  </si>
  <si>
    <t>REPAYMENTS(Based on the loan issued)</t>
  </si>
  <si>
    <t xml:space="preserve">REPAYMENTS </t>
  </si>
  <si>
    <t>INTEREST AND PENALTY</t>
  </si>
  <si>
    <t>DT_INTN_DATE</t>
  </si>
  <si>
    <t>TENURE</t>
  </si>
  <si>
    <t>VOLUME</t>
  </si>
  <si>
    <t>VALUE</t>
  </si>
  <si>
    <t>SUB_COUNT</t>
  </si>
  <si>
    <t>ACCRUED</t>
  </si>
  <si>
    <t>PAID</t>
  </si>
  <si>
    <t>202412</t>
  </si>
  <si>
    <t>202501</t>
  </si>
  <si>
    <t>202502</t>
  </si>
  <si>
    <t>202504</t>
  </si>
  <si>
    <t>202505</t>
  </si>
  <si>
    <t>202507</t>
  </si>
  <si>
    <t>202508</t>
  </si>
  <si>
    <t>202509</t>
  </si>
  <si>
    <t>202510</t>
  </si>
  <si>
    <t>202511</t>
  </si>
  <si>
    <t>202601</t>
  </si>
  <si>
    <t>202602</t>
  </si>
  <si>
    <t>202603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</si>
</sst>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0.00,,"/>
    <numFmt numFmtId="166" formatCode="_-* #,##0_-;\-* #,##0_-;_-* &quot;-&quot;??_-;_-@_-"/>
    <numFmt numFmtId="167" formatCode="0.00,"/>
    <numFmt numFmtId="168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Bierstadt"/>
      <family val="2"/>
    </font>
    <font>
      <b/>
      <sz val="8"/>
      <color rgb="FF000000"/>
      <name val="Bierstadt"/>
      <family val="2"/>
    </font>
    <font>
      <sz val="8"/>
      <color theme="1"/>
      <name val="Bierstadt"/>
      <family val="2"/>
    </font>
    <font>
      <b/>
      <sz val="8"/>
      <color theme="1"/>
      <name val="Bierstadt"/>
      <family val="2"/>
    </font>
    <font>
      <sz val="8"/>
      <color rgb="FFFF0000"/>
      <name val="Bierstad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/>
    </xf>
    <xf numFmtId="4" fontId="5" fillId="2" borderId="1" xfId="0" applyNumberFormat="1" applyFont="1" applyFill="1" applyBorder="1" applyAlignment="1">
      <alignment horizontal="center" vertical="center"/>
    </xf>
    <xf numFmtId="4" fontId="5" fillId="2" borderId="2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4" fontId="5" fillId="3" borderId="6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" fontId="5" fillId="3" borderId="7" xfId="0" applyNumberFormat="1" applyFont="1" applyFill="1" applyBorder="1" applyAlignment="1">
      <alignment horizontal="center" vertical="center"/>
    </xf>
    <xf numFmtId="4" fontId="5" fillId="3" borderId="0" xfId="0" applyNumberFormat="1" applyFont="1" applyFill="1" applyAlignment="1">
      <alignment horizontal="center" vertical="center"/>
    </xf>
    <xf numFmtId="4" fontId="5" fillId="3" borderId="8" xfId="0" applyNumberFormat="1" applyFont="1" applyFill="1" applyBorder="1" applyAlignment="1">
      <alignment horizontal="center" vertical="center"/>
    </xf>
    <xf numFmtId="10" fontId="5" fillId="3" borderId="8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165" fontId="4" fillId="0" borderId="7" xfId="1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6" fontId="4" fillId="0" borderId="8" xfId="1" applyNumberFormat="1" applyFont="1" applyBorder="1" applyAlignment="1">
      <alignment horizontal="center" vertical="center"/>
    </xf>
    <xf numFmtId="165" fontId="4" fillId="0" borderId="8" xfId="1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8" xfId="0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 vertical="center"/>
    </xf>
    <xf numFmtId="2" fontId="6" fillId="0" borderId="0" xfId="1" applyNumberFormat="1" applyFont="1" applyBorder="1" applyAlignment="1">
      <alignment horizontal="center" vertical="center"/>
    </xf>
    <xf numFmtId="0" fontId="3" fillId="0" borderId="8" xfId="0" applyFont="1" applyBorder="1"/>
    <xf numFmtId="165" fontId="6" fillId="0" borderId="8" xfId="1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6" fontId="5" fillId="0" borderId="9" xfId="1" applyNumberFormat="1" applyFont="1" applyBorder="1" applyAlignment="1">
      <alignment horizontal="right" vertical="center"/>
    </xf>
    <xf numFmtId="167" fontId="5" fillId="0" borderId="10" xfId="0" applyNumberFormat="1" applyFont="1" applyBorder="1" applyAlignment="1">
      <alignment horizontal="center" vertical="center"/>
    </xf>
    <xf numFmtId="2" fontId="5" fillId="0" borderId="9" xfId="1" applyNumberFormat="1" applyFont="1" applyBorder="1" applyAlignment="1">
      <alignment horizontal="center" vertical="center"/>
    </xf>
    <xf numFmtId="168" fontId="2" fillId="0" borderId="11" xfId="2" applyNumberFormat="1" applyFont="1" applyBorder="1" applyAlignment="1">
      <alignment horizontal="center"/>
    </xf>
    <xf numFmtId="0" fontId="6" fillId="0" borderId="0" xfId="0" applyFont="1"/>
    <xf numFmtId="166" fontId="6" fillId="0" borderId="0" xfId="1" applyNumberFormat="1" applyFont="1"/>
    <xf numFmtId="166" fontId="6" fillId="0" borderId="0" xfId="1" applyNumberFormat="1" applyFont="1" applyAlignment="1">
      <alignment horizontal="center"/>
    </xf>
    <xf numFmtId="166" fontId="8" fillId="0" borderId="0" xfId="1" applyNumberFormat="1" applyFont="1"/>
    <xf numFmtId="164" fontId="8" fillId="0" borderId="0" xfId="1" applyFont="1"/>
    <xf numFmtId="166" fontId="6" fillId="0" borderId="12" xfId="1" applyNumberFormat="1" applyFont="1" applyBorder="1"/>
    <xf numFmtId="0" fontId="8" fillId="4" borderId="3" xfId="0" applyFont="1" applyFill="1" applyBorder="1"/>
    <xf numFmtId="0" fontId="6" fillId="3" borderId="10" xfId="0" applyFont="1" applyFill="1" applyBorder="1"/>
    <xf numFmtId="0" fontId="6" fillId="3" borderId="11" xfId="0" applyFont="1" applyFill="1" applyBorder="1" applyAlignment="1">
      <alignment horizontal="center"/>
    </xf>
    <xf numFmtId="166" fontId="6" fillId="3" borderId="12" xfId="1" applyNumberFormat="1" applyFont="1" applyFill="1" applyBorder="1" applyAlignment="1">
      <alignment horizontal="center" vertical="center"/>
    </xf>
    <xf numFmtId="166" fontId="6" fillId="3" borderId="13" xfId="1" applyNumberFormat="1" applyFont="1" applyFill="1" applyBorder="1" applyAlignment="1">
      <alignment horizontal="center" vertical="center"/>
    </xf>
    <xf numFmtId="166" fontId="6" fillId="3" borderId="9" xfId="1" applyNumberFormat="1" applyFont="1" applyFill="1" applyBorder="1" applyAlignment="1">
      <alignment horizontal="center" vertical="center"/>
    </xf>
    <xf numFmtId="166" fontId="8" fillId="3" borderId="11" xfId="1" applyNumberFormat="1" applyFont="1" applyFill="1" applyBorder="1" applyAlignment="1">
      <alignment horizontal="center" vertical="center"/>
    </xf>
    <xf numFmtId="164" fontId="6" fillId="3" borderId="9" xfId="1" applyFont="1" applyFill="1" applyBorder="1" applyAlignment="1">
      <alignment horizontal="center" vertical="center"/>
    </xf>
    <xf numFmtId="166" fontId="6" fillId="3" borderId="10" xfId="1" applyNumberFormat="1" applyFont="1" applyFill="1" applyBorder="1" applyAlignment="1">
      <alignment horizontal="center" vertical="center"/>
    </xf>
    <xf numFmtId="166" fontId="6" fillId="3" borderId="11" xfId="1" applyNumberFormat="1" applyFont="1" applyFill="1" applyBorder="1" applyAlignment="1">
      <alignment vertical="center"/>
    </xf>
    <xf numFmtId="166" fontId="6" fillId="3" borderId="11" xfId="1" applyNumberFormat="1" applyFont="1" applyFill="1" applyBorder="1"/>
    <xf numFmtId="0" fontId="6" fillId="0" borderId="8" xfId="0" applyFont="1" applyBorder="1"/>
    <xf numFmtId="166" fontId="6" fillId="0" borderId="0" xfId="1" applyNumberFormat="1" applyFont="1" applyFill="1" applyBorder="1" applyAlignment="1">
      <alignment horizontal="center" vertical="center"/>
    </xf>
    <xf numFmtId="166" fontId="6" fillId="0" borderId="8" xfId="1" applyNumberFormat="1" applyFont="1" applyFill="1" applyBorder="1" applyAlignment="1">
      <alignment horizontal="center" vertical="center"/>
    </xf>
    <xf numFmtId="166" fontId="6" fillId="0" borderId="4" xfId="1" applyNumberFormat="1" applyFont="1" applyFill="1" applyBorder="1" applyAlignment="1">
      <alignment horizontal="center" vertical="center"/>
    </xf>
    <xf numFmtId="166" fontId="8" fillId="0" borderId="5" xfId="1" applyNumberFormat="1" applyFont="1" applyFill="1" applyBorder="1" applyAlignment="1">
      <alignment horizontal="center" vertical="center"/>
    </xf>
    <xf numFmtId="166" fontId="6" fillId="0" borderId="7" xfId="1" applyNumberFormat="1" applyFont="1" applyFill="1" applyBorder="1" applyAlignment="1">
      <alignment horizontal="center" vertical="center"/>
    </xf>
    <xf numFmtId="166" fontId="8" fillId="0" borderId="8" xfId="1" applyNumberFormat="1" applyFont="1" applyFill="1" applyBorder="1" applyAlignment="1">
      <alignment horizontal="center" vertical="center"/>
    </xf>
    <xf numFmtId="166" fontId="6" fillId="0" borderId="0" xfId="1" applyNumberFormat="1" applyFont="1" applyFill="1" applyAlignment="1">
      <alignment horizontal="center"/>
    </xf>
    <xf numFmtId="166" fontId="6" fillId="0" borderId="8" xfId="1" applyNumberFormat="1" applyFont="1" applyFill="1" applyBorder="1" applyAlignment="1">
      <alignment horizontal="center"/>
    </xf>
    <xf numFmtId="166" fontId="8" fillId="0" borderId="8" xfId="1" applyNumberFormat="1" applyFont="1" applyFill="1" applyBorder="1" applyAlignment="1">
      <alignment horizontal="center"/>
    </xf>
    <xf numFmtId="166" fontId="6" fillId="0" borderId="6" xfId="1" applyNumberFormat="1" applyFont="1" applyFill="1" applyBorder="1" applyAlignment="1">
      <alignment horizontal="center" vertical="center"/>
    </xf>
    <xf numFmtId="166" fontId="6" fillId="0" borderId="0" xfId="1" applyNumberFormat="1" applyFont="1" applyFill="1"/>
    <xf numFmtId="166" fontId="6" fillId="0" borderId="8" xfId="1" applyNumberFormat="1" applyFont="1" applyFill="1" applyBorder="1"/>
    <xf numFmtId="166" fontId="8" fillId="0" borderId="8" xfId="1" applyNumberFormat="1" applyFont="1" applyFill="1" applyBorder="1"/>
    <xf numFmtId="166" fontId="6" fillId="0" borderId="6" xfId="1" applyNumberFormat="1" applyFont="1" applyFill="1" applyBorder="1"/>
    <xf numFmtId="166" fontId="8" fillId="0" borderId="0" xfId="1" applyNumberFormat="1" applyFont="1" applyFill="1"/>
    <xf numFmtId="164" fontId="8" fillId="0" borderId="0" xfId="1" applyFont="1" applyFill="1"/>
    <xf numFmtId="14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166" fontId="6" fillId="4" borderId="10" xfId="1" applyNumberFormat="1" applyFont="1" applyFill="1" applyBorder="1" applyAlignment="1">
      <alignment horizontal="center" vertical="center"/>
    </xf>
    <xf numFmtId="166" fontId="6" fillId="4" borderId="11" xfId="1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166" fontId="6" fillId="4" borderId="10" xfId="1" applyNumberFormat="1" applyFont="1" applyFill="1" applyBorder="1" applyAlignment="1">
      <alignment horizontal="center"/>
    </xf>
    <xf numFmtId="166" fontId="6" fillId="4" borderId="9" xfId="1" applyNumberFormat="1" applyFont="1" applyFill="1" applyBorder="1" applyAlignment="1">
      <alignment horizontal="center"/>
    </xf>
    <xf numFmtId="166" fontId="6" fillId="4" borderId="11" xfId="1" applyNumberFormat="1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wrapText="1"/>
    </xf>
    <xf numFmtId="0" fontId="6" fillId="4" borderId="11" xfId="0" applyFont="1" applyFill="1" applyBorder="1" applyAlignment="1">
      <alignment horizontal="center" wrapText="1"/>
    </xf>
    <xf numFmtId="166" fontId="6" fillId="4" borderId="9" xfId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4" fontId="5" fillId="2" borderId="3" xfId="0" applyNumberFormat="1" applyFont="1" applyFill="1" applyBorder="1" applyAlignment="1">
      <alignment horizontal="center" vertical="center" wrapText="1"/>
    </xf>
    <xf numFmtId="4" fontId="5" fillId="2" borderId="4" xfId="0" applyNumberFormat="1" applyFont="1" applyFill="1" applyBorder="1" applyAlignment="1">
      <alignment horizontal="center" vertical="center"/>
    </xf>
    <xf numFmtId="4" fontId="5" fillId="2" borderId="4" xfId="0" applyNumberFormat="1" applyFont="1" applyFill="1" applyBorder="1" applyAlignment="1">
      <alignment horizontal="center" vertical="center" wrapText="1"/>
    </xf>
    <xf numFmtId="4" fontId="5" fillId="2" borderId="5" xfId="0" applyNumberFormat="1" applyFont="1" applyFill="1" applyBorder="1" applyAlignment="1">
      <alignment horizontal="center" vertical="center" wrapText="1"/>
    </xf>
    <xf numFmtId="2" fontId="6" fillId="0" borderId="0" xfId="1" applyNumberFormat="1" applyFont="1" applyFill="1" applyAlignment="1">
      <alignment horizontal="center" vertical="center"/>
    </xf>
    <xf numFmtId="2" fontId="6" fillId="0" borderId="0" xfId="1" applyNumberFormat="1" applyFont="1" applyFill="1" applyAlignment="1">
      <alignment horizontal="center"/>
    </xf>
    <xf numFmtId="2" fontId="6" fillId="0" borderId="0" xfId="1" applyNumberFormat="1" applyFont="1" applyFill="1"/>
    <xf numFmtId="43" fontId="2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8239-1745-449D-B8BA-09869146C18E}">
  <dimension ref="A2:N58"/>
  <sheetViews>
    <sheetView topLeftCell="A19" workbookViewId="0">
      <selection activeCell="J14" sqref="J14"/>
    </sheetView>
  </sheetViews>
  <sheetFormatPr defaultColWidth="8.7109375" defaultRowHeight="11.25" x14ac:dyDescent="0.2"/>
  <cols>
    <col min="1" max="1" width="8.7109375" style="2"/>
    <col min="2" max="2" width="8.85546875" style="2" bestFit="1" customWidth="1"/>
    <col min="3" max="3" width="12.42578125" style="2" bestFit="1" customWidth="1"/>
    <col min="4" max="4" width="15" style="2" bestFit="1" customWidth="1"/>
    <col min="5" max="5" width="13.42578125" style="2" customWidth="1"/>
    <col min="6" max="6" width="15.28515625" style="2" bestFit="1" customWidth="1"/>
    <col min="7" max="7" width="13.42578125" style="2" bestFit="1" customWidth="1"/>
    <col min="8" max="8" width="15.42578125" style="2" bestFit="1" customWidth="1"/>
    <col min="9" max="9" width="13.85546875" style="2" bestFit="1" customWidth="1"/>
    <col min="10" max="10" width="17.7109375" style="2" bestFit="1" customWidth="1"/>
    <col min="11" max="11" width="13.42578125" style="2" bestFit="1" customWidth="1"/>
    <col min="12" max="12" width="10.140625" style="2" customWidth="1"/>
    <col min="13" max="13" width="14.140625" style="2" bestFit="1" customWidth="1"/>
    <col min="14" max="14" width="15.5703125" style="2" bestFit="1" customWidth="1"/>
    <col min="15" max="16384" width="8.7109375" style="2"/>
  </cols>
  <sheetData>
    <row r="2" spans="1:14" s="1" customFormat="1" ht="12" thickBot="1" x14ac:dyDescent="0.25">
      <c r="B2" s="1" t="s">
        <v>0</v>
      </c>
    </row>
    <row r="3" spans="1:14" ht="12" thickBot="1" x14ac:dyDescent="0.25">
      <c r="B3" s="3"/>
      <c r="C3" s="4" t="s">
        <v>1</v>
      </c>
      <c r="D3" s="5" t="s">
        <v>2</v>
      </c>
      <c r="E3" s="88" t="s">
        <v>3</v>
      </c>
      <c r="F3" s="89"/>
      <c r="G3" s="89"/>
      <c r="H3" s="90"/>
      <c r="I3" s="91" t="s">
        <v>4</v>
      </c>
      <c r="J3" s="92"/>
      <c r="K3" s="92"/>
      <c r="L3" s="91" t="s">
        <v>5</v>
      </c>
      <c r="M3" s="93"/>
      <c r="N3" s="94"/>
    </row>
    <row r="4" spans="1:14" x14ac:dyDescent="0.2">
      <c r="B4" s="6" t="s">
        <v>6</v>
      </c>
      <c r="C4" s="7" t="s">
        <v>7</v>
      </c>
      <c r="D4" s="7" t="s">
        <v>8</v>
      </c>
      <c r="E4" s="8" t="s">
        <v>9</v>
      </c>
      <c r="F4" s="9" t="s">
        <v>8</v>
      </c>
      <c r="G4" s="9" t="s">
        <v>10</v>
      </c>
      <c r="H4" s="10" t="s">
        <v>11</v>
      </c>
      <c r="I4" s="11" t="s">
        <v>9</v>
      </c>
      <c r="J4" s="12" t="s">
        <v>8</v>
      </c>
      <c r="K4" s="13" t="s">
        <v>10</v>
      </c>
      <c r="L4" s="12" t="s">
        <v>12</v>
      </c>
      <c r="M4" s="12" t="s">
        <v>13</v>
      </c>
      <c r="N4" s="14" t="s">
        <v>14</v>
      </c>
    </row>
    <row r="5" spans="1:14" x14ac:dyDescent="0.2">
      <c r="B5" s="15">
        <v>202411</v>
      </c>
      <c r="C5" s="16">
        <v>150022</v>
      </c>
      <c r="D5" s="16">
        <v>229252566</v>
      </c>
      <c r="E5" s="17">
        <v>102311</v>
      </c>
      <c r="F5" s="18">
        <v>458505132</v>
      </c>
      <c r="G5" s="18">
        <v>87252</v>
      </c>
      <c r="H5" s="19">
        <v>4481.4842196831232</v>
      </c>
      <c r="I5" s="17">
        <v>66691</v>
      </c>
      <c r="J5" s="18">
        <v>75177736.450000003</v>
      </c>
      <c r="K5" s="20">
        <v>22462</v>
      </c>
      <c r="L5" s="21">
        <v>0</v>
      </c>
      <c r="M5" s="21">
        <v>0</v>
      </c>
      <c r="N5" s="22">
        <v>0</v>
      </c>
    </row>
    <row r="6" spans="1:14" x14ac:dyDescent="0.2">
      <c r="B6" s="15">
        <v>202501</v>
      </c>
      <c r="C6" s="16">
        <v>14851</v>
      </c>
      <c r="D6" s="16">
        <v>338972552.5</v>
      </c>
      <c r="E6" s="17">
        <v>146856</v>
      </c>
      <c r="F6" s="18">
        <v>677945105</v>
      </c>
      <c r="G6" s="18">
        <v>110618</v>
      </c>
      <c r="H6" s="19">
        <v>4616.3936441139622</v>
      </c>
      <c r="I6" s="17">
        <v>293041</v>
      </c>
      <c r="J6" s="18">
        <v>515667988.31</v>
      </c>
      <c r="K6" s="20">
        <v>89392</v>
      </c>
      <c r="L6" s="23">
        <v>475.21072700000002</v>
      </c>
      <c r="M6" s="24">
        <v>28.284819299999992</v>
      </c>
      <c r="N6" s="22">
        <v>0.9404794174606248</v>
      </c>
    </row>
    <row r="7" spans="1:14" x14ac:dyDescent="0.2">
      <c r="B7" s="15">
        <v>202502</v>
      </c>
      <c r="C7" s="16">
        <v>48320</v>
      </c>
      <c r="D7" s="16">
        <v>326366312</v>
      </c>
      <c r="E7" s="17">
        <v>157440</v>
      </c>
      <c r="F7" s="18">
        <v>652732624</v>
      </c>
      <c r="G7" s="18">
        <v>125011</v>
      </c>
      <c r="H7" s="19">
        <v>4145.9135162601624</v>
      </c>
      <c r="I7" s="17">
        <v>311892</v>
      </c>
      <c r="J7" s="18">
        <v>572260788.78999996</v>
      </c>
      <c r="K7" s="20">
        <v>108026</v>
      </c>
      <c r="L7" s="23">
        <v>600.67561799999999</v>
      </c>
      <c r="M7" s="24">
        <v>25.486886340000005</v>
      </c>
      <c r="N7" s="22">
        <v>0.95756963396506634</v>
      </c>
    </row>
    <row r="8" spans="1:14" x14ac:dyDescent="0.2">
      <c r="A8" s="25"/>
      <c r="B8" s="15">
        <v>202503</v>
      </c>
      <c r="C8" s="26">
        <v>110138</v>
      </c>
      <c r="D8" s="16">
        <v>447546651.5</v>
      </c>
      <c r="E8" s="18">
        <v>234839</v>
      </c>
      <c r="F8" s="18">
        <v>895093303</v>
      </c>
      <c r="G8" s="18">
        <v>179477</v>
      </c>
      <c r="H8" s="19">
        <v>3811.5189683144622</v>
      </c>
      <c r="I8" s="17">
        <v>409263</v>
      </c>
      <c r="J8" s="18">
        <v>733037456.48000002</v>
      </c>
      <c r="K8" s="18">
        <v>142206</v>
      </c>
      <c r="L8" s="23">
        <v>744.239688</v>
      </c>
      <c r="M8" s="24">
        <v>32.107621919999993</v>
      </c>
      <c r="N8" s="22">
        <v>0.95685849271720103</v>
      </c>
    </row>
    <row r="9" spans="1:14" x14ac:dyDescent="0.2">
      <c r="B9" s="15">
        <v>202504</v>
      </c>
      <c r="C9" s="26">
        <v>37976</v>
      </c>
      <c r="D9" s="16">
        <v>411068972</v>
      </c>
      <c r="E9" s="18">
        <v>205720</v>
      </c>
      <c r="F9" s="18">
        <v>822137944</v>
      </c>
      <c r="G9" s="18">
        <v>164547</v>
      </c>
      <c r="H9" s="19">
        <v>3996.392883531013</v>
      </c>
      <c r="I9" s="17">
        <v>415050</v>
      </c>
      <c r="J9" s="18">
        <v>759296151.66999996</v>
      </c>
      <c r="K9" s="18">
        <v>155147</v>
      </c>
      <c r="L9" s="23">
        <v>864.15013099999999</v>
      </c>
      <c r="M9" s="24">
        <v>40.233021339999993</v>
      </c>
      <c r="N9" s="22">
        <v>0.95344209310777739</v>
      </c>
    </row>
    <row r="10" spans="1:14" x14ac:dyDescent="0.2">
      <c r="B10" s="15">
        <v>202505</v>
      </c>
      <c r="C10" s="26">
        <v>149432</v>
      </c>
      <c r="D10" s="16">
        <v>465887625</v>
      </c>
      <c r="E10" s="18">
        <v>271389</v>
      </c>
      <c r="F10" s="18">
        <v>931775250</v>
      </c>
      <c r="G10" s="18">
        <v>223837</v>
      </c>
      <c r="H10" s="19">
        <v>3433.356731481379</v>
      </c>
      <c r="I10" s="17">
        <v>444964</v>
      </c>
      <c r="J10" s="18">
        <v>815801203.75</v>
      </c>
      <c r="K10" s="18">
        <v>165735</v>
      </c>
      <c r="L10" s="23">
        <v>854.10191399999997</v>
      </c>
      <c r="M10" s="24">
        <v>37.472331610000005</v>
      </c>
      <c r="N10" s="22">
        <v>0.95612662728443443</v>
      </c>
    </row>
    <row r="11" spans="1:14" x14ac:dyDescent="0.2">
      <c r="B11" s="15">
        <v>202506</v>
      </c>
      <c r="C11" s="26">
        <v>61083</v>
      </c>
      <c r="D11" s="16">
        <v>430896057</v>
      </c>
      <c r="E11" s="18">
        <v>225791</v>
      </c>
      <c r="F11" s="18">
        <v>861792114</v>
      </c>
      <c r="G11" s="18">
        <v>183346</v>
      </c>
      <c r="H11" s="19">
        <v>3816.7691094862062</v>
      </c>
      <c r="I11" s="17">
        <v>450467</v>
      </c>
      <c r="J11" s="18">
        <v>808296453.89999998</v>
      </c>
      <c r="K11" s="18">
        <v>175441</v>
      </c>
      <c r="L11" s="23">
        <v>899.81128000000001</v>
      </c>
      <c r="M11" s="24">
        <v>69.358761950000002</v>
      </c>
      <c r="N11" s="22">
        <v>0.92291854581996347</v>
      </c>
    </row>
    <row r="12" spans="1:14" x14ac:dyDescent="0.2">
      <c r="B12" s="15">
        <v>202507</v>
      </c>
      <c r="C12" s="26">
        <v>40455</v>
      </c>
      <c r="D12" s="16">
        <v>454544445.5</v>
      </c>
      <c r="E12" s="18">
        <v>227677</v>
      </c>
      <c r="F12" s="18">
        <v>909088891</v>
      </c>
      <c r="G12" s="18">
        <v>184355</v>
      </c>
      <c r="H12" s="19">
        <v>3992.888570211308</v>
      </c>
      <c r="I12" s="17">
        <v>470039</v>
      </c>
      <c r="J12" s="18">
        <v>858660062.42999995</v>
      </c>
      <c r="K12" s="18">
        <v>181042</v>
      </c>
      <c r="L12" s="23">
        <v>897.13980300000003</v>
      </c>
      <c r="M12" s="21">
        <v>42.137773249999995</v>
      </c>
      <c r="N12" s="22">
        <v>0.95303098456997115</v>
      </c>
    </row>
    <row r="13" spans="1:14" x14ac:dyDescent="0.2">
      <c r="B13" s="15">
        <v>202508</v>
      </c>
      <c r="C13" s="26">
        <v>24048</v>
      </c>
      <c r="D13" s="16">
        <v>418038880</v>
      </c>
      <c r="E13" s="18">
        <v>198184</v>
      </c>
      <c r="F13" s="18">
        <v>836077760</v>
      </c>
      <c r="G13" s="18">
        <v>162792</v>
      </c>
      <c r="H13" s="19">
        <v>4218.6945464820574</v>
      </c>
      <c r="I13" s="17">
        <v>443552</v>
      </c>
      <c r="J13" s="18">
        <v>822214925.48000002</v>
      </c>
      <c r="K13" s="18">
        <v>176038</v>
      </c>
      <c r="L13" s="23">
        <v>917.77119100000004</v>
      </c>
      <c r="M13" s="21">
        <v>49.07237185000001</v>
      </c>
      <c r="N13" s="22">
        <v>0.94653093022398005</v>
      </c>
    </row>
    <row r="14" spans="1:14" x14ac:dyDescent="0.2">
      <c r="B14" s="15">
        <v>202509</v>
      </c>
      <c r="C14" s="26">
        <v>23332</v>
      </c>
      <c r="D14" s="16">
        <v>400955275.5</v>
      </c>
      <c r="E14" s="18">
        <v>203874</v>
      </c>
      <c r="F14" s="18">
        <v>801910551</v>
      </c>
      <c r="G14" s="18">
        <v>168802</v>
      </c>
      <c r="H14" s="19">
        <v>3933.3635039288974</v>
      </c>
      <c r="I14" s="17">
        <v>415280</v>
      </c>
      <c r="J14" s="18">
        <v>753537942.65999997</v>
      </c>
      <c r="K14" s="18">
        <v>160725</v>
      </c>
      <c r="L14" s="23">
        <v>792.04777100000001</v>
      </c>
      <c r="M14" s="21">
        <v>42.148200489999994</v>
      </c>
      <c r="N14" s="22">
        <v>0.94678578485640352</v>
      </c>
    </row>
    <row r="15" spans="1:14" x14ac:dyDescent="0.2">
      <c r="B15" s="15">
        <v>202510</v>
      </c>
      <c r="C15" s="26">
        <v>26465</v>
      </c>
      <c r="D15" s="16">
        <v>414084702.5</v>
      </c>
      <c r="E15" s="18">
        <v>219162</v>
      </c>
      <c r="F15" s="18">
        <v>828169405</v>
      </c>
      <c r="G15" s="18">
        <v>175598</v>
      </c>
      <c r="H15" s="19">
        <v>3778.800179775691</v>
      </c>
      <c r="I15" s="17">
        <v>454547</v>
      </c>
      <c r="J15" s="18">
        <v>815602119.25999999</v>
      </c>
      <c r="K15" s="18">
        <v>176428</v>
      </c>
      <c r="L15" s="23">
        <v>835.59292400000004</v>
      </c>
      <c r="M15" s="21">
        <v>43.253234110000008</v>
      </c>
      <c r="N15" s="22">
        <v>0.9482364763179828</v>
      </c>
    </row>
    <row r="16" spans="1:14" x14ac:dyDescent="0.2">
      <c r="B16" s="15">
        <v>202511</v>
      </c>
      <c r="C16" s="26">
        <v>26456</v>
      </c>
      <c r="D16" s="16">
        <v>401979843</v>
      </c>
      <c r="E16" s="18">
        <v>211077</v>
      </c>
      <c r="F16" s="18">
        <v>803959686</v>
      </c>
      <c r="G16" s="18">
        <v>169643</v>
      </c>
      <c r="H16" s="19">
        <v>3808.8455208288919</v>
      </c>
      <c r="I16" s="17">
        <v>443135</v>
      </c>
      <c r="J16" s="18">
        <v>783443086.37</v>
      </c>
      <c r="K16" s="18">
        <v>171453</v>
      </c>
      <c r="L16" s="23">
        <v>794.487032</v>
      </c>
      <c r="M16" s="21">
        <v>41.12100547</v>
      </c>
      <c r="N16" s="22">
        <v>0.94824206838658631</v>
      </c>
    </row>
    <row r="17" spans="2:14" x14ac:dyDescent="0.2">
      <c r="B17" s="15">
        <v>202512</v>
      </c>
      <c r="C17" s="26">
        <v>17169</v>
      </c>
      <c r="D17" s="16">
        <v>414154005.5</v>
      </c>
      <c r="E17" s="18">
        <v>206947</v>
      </c>
      <c r="F17" s="18">
        <v>828308011</v>
      </c>
      <c r="G17" s="18">
        <v>161367</v>
      </c>
      <c r="H17" s="19">
        <v>4002.5127738019878</v>
      </c>
      <c r="I17" s="17">
        <v>449565</v>
      </c>
      <c r="J17" s="18">
        <v>838505813.84000003</v>
      </c>
      <c r="K17" s="18">
        <v>172151</v>
      </c>
      <c r="L17" s="23">
        <v>838.64585299999999</v>
      </c>
      <c r="M17" s="21">
        <v>46.864962800000008</v>
      </c>
      <c r="N17" s="22">
        <v>0.94411829184827545</v>
      </c>
    </row>
    <row r="18" spans="2:14" x14ac:dyDescent="0.2">
      <c r="B18" s="15">
        <v>202601</v>
      </c>
      <c r="C18" s="26">
        <v>27767</v>
      </c>
      <c r="D18" s="16">
        <v>409974427.5</v>
      </c>
      <c r="E18" s="18">
        <v>209159</v>
      </c>
      <c r="F18" s="18">
        <v>819948855</v>
      </c>
      <c r="G18" s="18">
        <v>167777</v>
      </c>
      <c r="H18" s="19">
        <v>3920.2178964328573</v>
      </c>
      <c r="I18" s="17">
        <v>427060</v>
      </c>
      <c r="J18" s="18">
        <v>774065329.63</v>
      </c>
      <c r="K18" s="18">
        <v>166548</v>
      </c>
      <c r="L18" s="23">
        <v>816.68177700000001</v>
      </c>
      <c r="M18" s="21">
        <v>52.800998979999989</v>
      </c>
      <c r="N18" s="22">
        <v>0.93534691177516005</v>
      </c>
    </row>
    <row r="19" spans="2:14" x14ac:dyDescent="0.2">
      <c r="B19" s="15">
        <v>202602</v>
      </c>
      <c r="C19" s="26">
        <v>25581</v>
      </c>
      <c r="D19" s="16">
        <v>371111347.5</v>
      </c>
      <c r="E19" s="18">
        <v>192368</v>
      </c>
      <c r="F19" s="18">
        <v>742222695</v>
      </c>
      <c r="G19" s="18">
        <v>159485</v>
      </c>
      <c r="H19" s="19">
        <v>3858.3480360558929</v>
      </c>
      <c r="I19" s="17">
        <v>393860</v>
      </c>
      <c r="J19" s="18">
        <v>717544413.27999997</v>
      </c>
      <c r="K19" s="18">
        <v>161735</v>
      </c>
      <c r="L19" s="23">
        <v>736.589157</v>
      </c>
      <c r="M19" s="21">
        <v>65.583879169999989</v>
      </c>
      <c r="N19" s="22">
        <v>0.91096274151372025</v>
      </c>
    </row>
    <row r="20" spans="2:14" ht="12" thickBot="1" x14ac:dyDescent="0.25">
      <c r="B20" s="15">
        <v>202603</v>
      </c>
      <c r="C20" s="26">
        <v>17697</v>
      </c>
      <c r="D20" s="16">
        <v>394033640.5</v>
      </c>
      <c r="E20" s="18">
        <v>193756</v>
      </c>
      <c r="F20" s="18">
        <v>788067281</v>
      </c>
      <c r="G20" s="18">
        <v>155726</v>
      </c>
      <c r="H20" s="19">
        <v>4067.318075311216</v>
      </c>
      <c r="I20" s="17">
        <v>413252</v>
      </c>
      <c r="J20" s="18">
        <v>784814000.39999998</v>
      </c>
      <c r="K20" s="18">
        <v>166563</v>
      </c>
      <c r="L20" s="23">
        <v>830.13977</v>
      </c>
      <c r="M20" s="21">
        <v>123.28536972000001</v>
      </c>
      <c r="N20" s="22">
        <v>0.85148841896829008</v>
      </c>
    </row>
    <row r="21" spans="2:14" ht="12" thickBot="1" x14ac:dyDescent="0.25">
      <c r="B21" s="27" t="s">
        <v>15</v>
      </c>
      <c r="C21" s="28">
        <v>800792</v>
      </c>
      <c r="D21" s="29">
        <v>6328867303.5</v>
      </c>
      <c r="E21" s="30">
        <v>3206550</v>
      </c>
      <c r="F21" s="30">
        <v>12657734607</v>
      </c>
      <c r="G21" s="30">
        <v>548961</v>
      </c>
      <c r="H21" s="31">
        <v>3947.4621031950228</v>
      </c>
      <c r="I21" s="32">
        <v>6301658</v>
      </c>
      <c r="J21" s="30">
        <v>11427925472.699999</v>
      </c>
      <c r="K21" s="30">
        <v>452771</v>
      </c>
      <c r="L21" s="32">
        <v>11067.144866000001</v>
      </c>
      <c r="M21" s="33">
        <v>615.92586858000004</v>
      </c>
      <c r="N21" s="34">
        <v>0.94434645285323582</v>
      </c>
    </row>
    <row r="28" spans="2:14" x14ac:dyDescent="0.2">
      <c r="D28" s="97">
        <v>34453508.079999998</v>
      </c>
    </row>
    <row r="29" spans="2:14" x14ac:dyDescent="0.2">
      <c r="D29" s="97">
        <v>32685436.91</v>
      </c>
    </row>
    <row r="30" spans="2:14" x14ac:dyDescent="0.2">
      <c r="D30" s="97">
        <v>32098581.210000001</v>
      </c>
    </row>
    <row r="31" spans="2:14" x14ac:dyDescent="0.2">
      <c r="D31" s="97">
        <v>30353240.48</v>
      </c>
    </row>
    <row r="32" spans="2:14" x14ac:dyDescent="0.2">
      <c r="D32" s="97">
        <v>31063553.210000001</v>
      </c>
    </row>
    <row r="33" spans="4:4" x14ac:dyDescent="0.2">
      <c r="D33" s="97">
        <v>28471890.68</v>
      </c>
    </row>
    <row r="34" spans="4:4" x14ac:dyDescent="0.2">
      <c r="D34" s="97">
        <v>20668926.27</v>
      </c>
    </row>
    <row r="35" spans="4:4" x14ac:dyDescent="0.2">
      <c r="D35" s="97">
        <v>26560721.379999999</v>
      </c>
    </row>
    <row r="36" spans="4:4" x14ac:dyDescent="0.2">
      <c r="D36" s="97">
        <v>25221868.73</v>
      </c>
    </row>
    <row r="37" spans="4:4" x14ac:dyDescent="0.2">
      <c r="D37" s="97">
        <v>23442550.18</v>
      </c>
    </row>
    <row r="38" spans="4:4" x14ac:dyDescent="0.2">
      <c r="D38" s="97">
        <v>24233198.48</v>
      </c>
    </row>
    <row r="39" spans="4:4" x14ac:dyDescent="0.2">
      <c r="D39" s="97">
        <v>21847864.43</v>
      </c>
    </row>
    <row r="40" spans="4:4" x14ac:dyDescent="0.2">
      <c r="D40" s="97">
        <v>20625143.559999999</v>
      </c>
    </row>
    <row r="41" spans="4:4" x14ac:dyDescent="0.2">
      <c r="D41" s="97">
        <v>16909055.43</v>
      </c>
    </row>
    <row r="42" spans="4:4" x14ac:dyDescent="0.2">
      <c r="D42" s="97">
        <v>23255414.66</v>
      </c>
    </row>
    <row r="43" spans="4:4" x14ac:dyDescent="0.2">
      <c r="D43" s="97">
        <v>21049320.280000001</v>
      </c>
    </row>
    <row r="44" spans="4:4" x14ac:dyDescent="0.2">
      <c r="D44" s="97">
        <v>20862417.190000001</v>
      </c>
    </row>
    <row r="45" spans="4:4" x14ac:dyDescent="0.2">
      <c r="D45" s="97">
        <v>20126559.949999999</v>
      </c>
    </row>
    <row r="46" spans="4:4" x14ac:dyDescent="0.2">
      <c r="D46" s="97">
        <v>21841496.09</v>
      </c>
    </row>
    <row r="47" spans="4:4" x14ac:dyDescent="0.2">
      <c r="D47" s="97">
        <v>23512398.239999998</v>
      </c>
    </row>
    <row r="48" spans="4:4" x14ac:dyDescent="0.2">
      <c r="D48" s="97">
        <v>17194674.539999999</v>
      </c>
    </row>
    <row r="49" spans="4:5" x14ac:dyDescent="0.2">
      <c r="D49" s="97">
        <v>24025746.420000002</v>
      </c>
    </row>
    <row r="50" spans="4:5" x14ac:dyDescent="0.2">
      <c r="D50" s="97">
        <v>23400318.399999999</v>
      </c>
    </row>
    <row r="51" spans="4:5" x14ac:dyDescent="0.2">
      <c r="D51" s="97">
        <v>23984125.18</v>
      </c>
    </row>
    <row r="52" spans="4:5" x14ac:dyDescent="0.2">
      <c r="D52" s="97">
        <v>24854858.149999999</v>
      </c>
    </row>
    <row r="53" spans="4:5" x14ac:dyDescent="0.2">
      <c r="D53" s="97">
        <v>29348855.140000001</v>
      </c>
    </row>
    <row r="54" spans="4:5" x14ac:dyDescent="0.2">
      <c r="D54" s="97">
        <v>27186876.620000001</v>
      </c>
    </row>
    <row r="55" spans="4:5" x14ac:dyDescent="0.2">
      <c r="D55" s="97">
        <v>21238869.140000001</v>
      </c>
    </row>
    <row r="56" spans="4:5" x14ac:dyDescent="0.2">
      <c r="D56" s="97">
        <v>29972519.27</v>
      </c>
    </row>
    <row r="57" spans="4:5" x14ac:dyDescent="0.2">
      <c r="D57" s="97">
        <v>33037297.440000001</v>
      </c>
    </row>
    <row r="58" spans="4:5" x14ac:dyDescent="0.2">
      <c r="D58" s="98">
        <f>SUM(D28:D57)</f>
        <v>753527285.73999989</v>
      </c>
      <c r="E58" s="98">
        <v>753537942.65999997</v>
      </c>
    </row>
  </sheetData>
  <mergeCells count="3">
    <mergeCell ref="E3:H3"/>
    <mergeCell ref="I3:K3"/>
    <mergeCell ref="L3:N3"/>
  </mergeCells>
  <pageMargins left="0.7" right="0.7" top="0.75" bottom="0.75" header="0.3" footer="0.3"/>
  <headerFooter>
    <oddFooter>&amp;R_x000D_&amp;1#&amp;"Aptos"&amp;10&amp;K000000 C2 - Safaricom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3E1A-8F7F-42F2-96E6-0AC14AB09597}">
  <dimension ref="A1:P480"/>
  <sheetViews>
    <sheetView tabSelected="1" topLeftCell="A447" zoomScale="120" zoomScaleNormal="120" workbookViewId="0">
      <selection activeCell="M450" sqref="M450:M480"/>
    </sheetView>
  </sheetViews>
  <sheetFormatPr defaultColWidth="8.5703125" defaultRowHeight="11.25" x14ac:dyDescent="0.2"/>
  <cols>
    <col min="1" max="1" width="8.5703125" style="35"/>
    <col min="2" max="2" width="7.5703125" style="35" bestFit="1" customWidth="1"/>
    <col min="3" max="3" width="11.85546875" style="35" bestFit="1" customWidth="1"/>
    <col min="4" max="4" width="11" style="35" customWidth="1"/>
    <col min="5" max="5" width="8.28515625" style="63" bestFit="1" customWidth="1"/>
    <col min="6" max="6" width="11.140625" style="63" bestFit="1" customWidth="1"/>
    <col min="7" max="7" width="10.42578125" style="63" bestFit="1" customWidth="1"/>
    <col min="8" max="8" width="7.28515625" style="59" customWidth="1"/>
    <col min="9" max="9" width="13.42578125" style="67" bestFit="1" customWidth="1"/>
    <col min="10" max="10" width="12.7109375" style="68" bestFit="1" customWidth="1"/>
    <col min="11" max="11" width="12.7109375" style="68" customWidth="1"/>
    <col min="12" max="12" width="9.28515625" style="63" bestFit="1" customWidth="1"/>
    <col min="13" max="13" width="12.42578125" style="63" bestFit="1" customWidth="1"/>
    <col min="14" max="14" width="12.42578125" style="63" customWidth="1"/>
    <col min="15" max="15" width="10.140625" style="63" bestFit="1" customWidth="1"/>
    <col min="16" max="16" width="13.42578125" style="63" customWidth="1"/>
    <col min="17" max="16384" width="8.5703125" style="35"/>
  </cols>
  <sheetData>
    <row r="1" spans="2:16" x14ac:dyDescent="0.2">
      <c r="E1" s="36"/>
      <c r="F1" s="36"/>
      <c r="G1" s="36"/>
      <c r="H1" s="37"/>
      <c r="I1" s="38"/>
      <c r="J1" s="39"/>
      <c r="K1" s="39"/>
      <c r="L1" s="36"/>
      <c r="M1" s="36"/>
      <c r="N1" s="36"/>
      <c r="O1" s="36"/>
      <c r="P1" s="36"/>
    </row>
    <row r="2" spans="2:16" ht="8.1" customHeight="1" thickBot="1" x14ac:dyDescent="0.25">
      <c r="E2" s="40"/>
      <c r="F2" s="40"/>
      <c r="G2" s="40"/>
      <c r="H2" s="37"/>
      <c r="I2" s="38"/>
      <c r="J2" s="39"/>
      <c r="K2" s="39"/>
      <c r="L2" s="36"/>
      <c r="M2" s="36"/>
      <c r="N2" s="36"/>
      <c r="O2" s="36"/>
      <c r="P2" s="36"/>
    </row>
    <row r="3" spans="2:16" ht="39.6" customHeight="1" thickBot="1" x14ac:dyDescent="0.25">
      <c r="B3" s="41"/>
      <c r="C3" s="78" t="s">
        <v>16</v>
      </c>
      <c r="D3" s="79"/>
      <c r="E3" s="80" t="s">
        <v>17</v>
      </c>
      <c r="F3" s="81"/>
      <c r="G3" s="82"/>
      <c r="H3" s="83" t="s">
        <v>18</v>
      </c>
      <c r="I3" s="84"/>
      <c r="J3" s="85" t="s">
        <v>19</v>
      </c>
      <c r="K3" s="86"/>
      <c r="L3" s="76" t="s">
        <v>20</v>
      </c>
      <c r="M3" s="87"/>
      <c r="N3" s="77"/>
      <c r="O3" s="76" t="s">
        <v>21</v>
      </c>
      <c r="P3" s="77"/>
    </row>
    <row r="4" spans="2:16" ht="12" thickBot="1" x14ac:dyDescent="0.25">
      <c r="B4" s="42" t="s">
        <v>6</v>
      </c>
      <c r="C4" s="42" t="s">
        <v>22</v>
      </c>
      <c r="D4" s="43" t="s">
        <v>23</v>
      </c>
      <c r="E4" s="44" t="s">
        <v>24</v>
      </c>
      <c r="F4" s="44" t="s">
        <v>25</v>
      </c>
      <c r="G4" s="45" t="s">
        <v>26</v>
      </c>
      <c r="H4" s="46" t="s">
        <v>24</v>
      </c>
      <c r="I4" s="47" t="s">
        <v>25</v>
      </c>
      <c r="J4" s="48" t="s">
        <v>24</v>
      </c>
      <c r="K4" s="48" t="s">
        <v>25</v>
      </c>
      <c r="L4" s="49" t="s">
        <v>24</v>
      </c>
      <c r="M4" s="46" t="s">
        <v>25</v>
      </c>
      <c r="N4" s="50" t="s">
        <v>26</v>
      </c>
      <c r="O4" s="50" t="s">
        <v>27</v>
      </c>
      <c r="P4" s="51" t="s">
        <v>28</v>
      </c>
    </row>
    <row r="5" spans="2:16" x14ac:dyDescent="0.2">
      <c r="B5" s="69" t="s">
        <v>29</v>
      </c>
      <c r="C5" s="70">
        <v>20241211</v>
      </c>
      <c r="D5" s="52">
        <v>476</v>
      </c>
      <c r="E5" s="53">
        <v>123</v>
      </c>
      <c r="F5" s="53">
        <v>543256</v>
      </c>
      <c r="G5" s="54">
        <v>113</v>
      </c>
      <c r="H5" s="55">
        <v>16</v>
      </c>
      <c r="I5" s="56">
        <v>47444.6</v>
      </c>
      <c r="J5" s="53">
        <v>107</v>
      </c>
      <c r="K5" s="53">
        <v>495811.4</v>
      </c>
      <c r="L5" s="57">
        <v>32</v>
      </c>
      <c r="M5" s="95">
        <v>16175</v>
      </c>
      <c r="N5" s="54">
        <v>17</v>
      </c>
      <c r="O5" s="54">
        <v>0</v>
      </c>
      <c r="P5" s="54">
        <v>0</v>
      </c>
    </row>
    <row r="6" spans="2:16" x14ac:dyDescent="0.2">
      <c r="B6" s="71" t="s">
        <v>29</v>
      </c>
      <c r="C6" s="70">
        <v>20241212</v>
      </c>
      <c r="D6" s="52">
        <v>475</v>
      </c>
      <c r="E6" s="57">
        <v>1546</v>
      </c>
      <c r="F6" s="53">
        <v>7280049</v>
      </c>
      <c r="G6" s="54">
        <v>1525</v>
      </c>
      <c r="H6" s="53">
        <v>145</v>
      </c>
      <c r="I6" s="58">
        <v>570762.66</v>
      </c>
      <c r="J6" s="53">
        <v>1401</v>
      </c>
      <c r="K6" s="53">
        <v>6709286.3399999999</v>
      </c>
      <c r="L6" s="57">
        <v>110</v>
      </c>
      <c r="M6" s="95">
        <v>64453.06</v>
      </c>
      <c r="N6" s="54">
        <v>77</v>
      </c>
      <c r="O6" s="54">
        <v>114.69</v>
      </c>
      <c r="P6" s="54">
        <v>8.4</v>
      </c>
    </row>
    <row r="7" spans="2:16" x14ac:dyDescent="0.2">
      <c r="B7" s="71" t="s">
        <v>29</v>
      </c>
      <c r="C7" s="70">
        <v>20241213</v>
      </c>
      <c r="D7" s="52">
        <v>474</v>
      </c>
      <c r="E7" s="57">
        <v>1734</v>
      </c>
      <c r="F7" s="53">
        <v>8067541</v>
      </c>
      <c r="G7" s="54">
        <v>1709</v>
      </c>
      <c r="H7" s="53">
        <v>135</v>
      </c>
      <c r="I7" s="58">
        <v>463986.01</v>
      </c>
      <c r="J7" s="53">
        <v>1599</v>
      </c>
      <c r="K7" s="53">
        <v>7603554.9900000002</v>
      </c>
      <c r="L7" s="57">
        <v>299</v>
      </c>
      <c r="M7" s="95">
        <v>284339.71999999997</v>
      </c>
      <c r="N7" s="54">
        <v>237</v>
      </c>
      <c r="O7" s="54">
        <v>1684.55</v>
      </c>
      <c r="P7" s="54">
        <v>148.09</v>
      </c>
    </row>
    <row r="8" spans="2:16" x14ac:dyDescent="0.2">
      <c r="B8" s="71" t="s">
        <v>29</v>
      </c>
      <c r="C8" s="70">
        <v>20241214</v>
      </c>
      <c r="D8" s="52">
        <v>473</v>
      </c>
      <c r="E8" s="57">
        <v>1608</v>
      </c>
      <c r="F8" s="53">
        <v>7517112</v>
      </c>
      <c r="G8" s="54">
        <v>1577</v>
      </c>
      <c r="H8" s="53">
        <v>134</v>
      </c>
      <c r="I8" s="58">
        <v>539758.19999999995</v>
      </c>
      <c r="J8" s="53">
        <v>1474</v>
      </c>
      <c r="K8" s="53">
        <v>6977353.7999999998</v>
      </c>
      <c r="L8" s="57">
        <v>495</v>
      </c>
      <c r="M8" s="95">
        <v>474488.2</v>
      </c>
      <c r="N8" s="54">
        <v>352</v>
      </c>
      <c r="O8" s="54">
        <v>3384.5999999999995</v>
      </c>
      <c r="P8" s="54">
        <v>298.78999999999996</v>
      </c>
    </row>
    <row r="9" spans="2:16" x14ac:dyDescent="0.2">
      <c r="B9" s="71" t="s">
        <v>29</v>
      </c>
      <c r="C9" s="70">
        <v>20241215</v>
      </c>
      <c r="D9" s="52">
        <v>472</v>
      </c>
      <c r="E9" s="57">
        <v>1406</v>
      </c>
      <c r="F9" s="53">
        <v>6098331</v>
      </c>
      <c r="G9" s="54">
        <v>1379</v>
      </c>
      <c r="H9" s="53">
        <v>97</v>
      </c>
      <c r="I9" s="58">
        <v>505650.28</v>
      </c>
      <c r="J9" s="53">
        <v>1309</v>
      </c>
      <c r="K9" s="53">
        <v>5592680.7199999997</v>
      </c>
      <c r="L9" s="57">
        <v>590</v>
      </c>
      <c r="M9" s="95">
        <v>434909.55</v>
      </c>
      <c r="N9" s="54">
        <v>444</v>
      </c>
      <c r="O9" s="54">
        <v>4924.41</v>
      </c>
      <c r="P9" s="54">
        <v>523.24</v>
      </c>
    </row>
    <row r="10" spans="2:16" x14ac:dyDescent="0.2">
      <c r="B10" s="71" t="s">
        <v>29</v>
      </c>
      <c r="C10" s="70">
        <v>20241216</v>
      </c>
      <c r="D10" s="52">
        <v>471</v>
      </c>
      <c r="E10" s="57">
        <v>1619</v>
      </c>
      <c r="F10" s="53">
        <v>7421245</v>
      </c>
      <c r="G10" s="54">
        <v>1594</v>
      </c>
      <c r="H10" s="53">
        <v>100</v>
      </c>
      <c r="I10" s="58">
        <v>408298.89</v>
      </c>
      <c r="J10" s="53">
        <v>1519</v>
      </c>
      <c r="K10" s="53">
        <v>7012946.1100000003</v>
      </c>
      <c r="L10" s="57">
        <v>975</v>
      </c>
      <c r="M10" s="95">
        <v>1054032.75</v>
      </c>
      <c r="N10" s="54">
        <v>703</v>
      </c>
      <c r="O10" s="54">
        <v>6163.17</v>
      </c>
      <c r="P10" s="54">
        <v>1206.4099999999999</v>
      </c>
    </row>
    <row r="11" spans="2:16" x14ac:dyDescent="0.2">
      <c r="B11" s="71" t="s">
        <v>29</v>
      </c>
      <c r="C11" s="70">
        <v>20241217</v>
      </c>
      <c r="D11" s="52">
        <v>470</v>
      </c>
      <c r="E11" s="57">
        <v>10958</v>
      </c>
      <c r="F11" s="53">
        <v>40849190</v>
      </c>
      <c r="G11" s="54">
        <v>10839</v>
      </c>
      <c r="H11" s="53">
        <v>950</v>
      </c>
      <c r="I11" s="58">
        <v>2719674.05</v>
      </c>
      <c r="J11" s="53">
        <v>10008</v>
      </c>
      <c r="K11" s="53">
        <v>38129515.950000003</v>
      </c>
      <c r="L11" s="57">
        <v>1509</v>
      </c>
      <c r="M11" s="95">
        <v>1618363.51</v>
      </c>
      <c r="N11" s="54">
        <v>1157</v>
      </c>
      <c r="O11" s="54">
        <v>7552.41</v>
      </c>
      <c r="P11" s="54">
        <v>1503.52</v>
      </c>
    </row>
    <row r="12" spans="2:16" x14ac:dyDescent="0.2">
      <c r="B12" s="71" t="s">
        <v>29</v>
      </c>
      <c r="C12" s="70">
        <v>20241218</v>
      </c>
      <c r="D12" s="52">
        <v>469</v>
      </c>
      <c r="E12" s="57">
        <v>3175</v>
      </c>
      <c r="F12" s="53">
        <v>13742402</v>
      </c>
      <c r="G12" s="54">
        <v>3139</v>
      </c>
      <c r="H12" s="53">
        <v>193</v>
      </c>
      <c r="I12" s="58">
        <v>671334.53</v>
      </c>
      <c r="J12" s="53">
        <v>2982</v>
      </c>
      <c r="K12" s="53">
        <v>13071067.470000001</v>
      </c>
      <c r="L12" s="57">
        <v>1941</v>
      </c>
      <c r="M12" s="95">
        <v>1879004.08</v>
      </c>
      <c r="N12" s="54">
        <v>1474</v>
      </c>
      <c r="O12" s="54">
        <v>16080.86</v>
      </c>
      <c r="P12" s="54">
        <v>2144.2599999999998</v>
      </c>
    </row>
    <row r="13" spans="2:16" x14ac:dyDescent="0.2">
      <c r="B13" s="71" t="s">
        <v>29</v>
      </c>
      <c r="C13" s="70">
        <v>20241219</v>
      </c>
      <c r="D13" s="52">
        <v>468</v>
      </c>
      <c r="E13" s="57">
        <v>15851</v>
      </c>
      <c r="F13" s="53">
        <v>71610936</v>
      </c>
      <c r="G13" s="54">
        <v>15749</v>
      </c>
      <c r="H13" s="53">
        <v>1153</v>
      </c>
      <c r="I13" s="58">
        <v>4311948.9400000004</v>
      </c>
      <c r="J13" s="53">
        <v>14698</v>
      </c>
      <c r="K13" s="53">
        <v>67298987.060000002</v>
      </c>
      <c r="L13" s="57">
        <v>2755</v>
      </c>
      <c r="M13" s="95">
        <v>2819520.24</v>
      </c>
      <c r="N13" s="54">
        <v>2183</v>
      </c>
      <c r="O13" s="54">
        <v>18715.059999999998</v>
      </c>
      <c r="P13" s="54">
        <v>2991.83</v>
      </c>
    </row>
    <row r="14" spans="2:16" x14ac:dyDescent="0.2">
      <c r="B14" s="71" t="s">
        <v>29</v>
      </c>
      <c r="C14" s="70">
        <v>20241220</v>
      </c>
      <c r="D14" s="52">
        <v>467</v>
      </c>
      <c r="E14" s="57">
        <v>9750</v>
      </c>
      <c r="F14" s="53">
        <v>44544123</v>
      </c>
      <c r="G14" s="54">
        <v>9676</v>
      </c>
      <c r="H14" s="53">
        <v>639</v>
      </c>
      <c r="I14" s="58">
        <v>2574852.63</v>
      </c>
      <c r="J14" s="53">
        <v>9111</v>
      </c>
      <c r="K14" s="53">
        <v>41969270.369999997</v>
      </c>
      <c r="L14" s="57">
        <v>3504</v>
      </c>
      <c r="M14" s="95">
        <v>3925495.87</v>
      </c>
      <c r="N14" s="54">
        <v>2714</v>
      </c>
      <c r="O14" s="54">
        <v>33668.9</v>
      </c>
      <c r="P14" s="54">
        <v>4170.04</v>
      </c>
    </row>
    <row r="15" spans="2:16" x14ac:dyDescent="0.2">
      <c r="B15" s="71" t="s">
        <v>29</v>
      </c>
      <c r="C15" s="70">
        <v>20241221</v>
      </c>
      <c r="D15" s="52">
        <v>466</v>
      </c>
      <c r="E15" s="57">
        <v>3789</v>
      </c>
      <c r="F15" s="53">
        <v>18330501</v>
      </c>
      <c r="G15" s="54">
        <v>3771</v>
      </c>
      <c r="H15" s="53">
        <v>292</v>
      </c>
      <c r="I15" s="58">
        <v>1394680.11</v>
      </c>
      <c r="J15" s="53">
        <v>3497</v>
      </c>
      <c r="K15" s="53">
        <v>16935820.890000001</v>
      </c>
      <c r="L15" s="57">
        <v>3895</v>
      </c>
      <c r="M15" s="95">
        <v>4185381.81</v>
      </c>
      <c r="N15" s="54">
        <v>2990</v>
      </c>
      <c r="O15" s="54">
        <v>42588.630000000005</v>
      </c>
      <c r="P15" s="54">
        <v>5303.21</v>
      </c>
    </row>
    <row r="16" spans="2:16" x14ac:dyDescent="0.2">
      <c r="B16" s="71" t="s">
        <v>29</v>
      </c>
      <c r="C16" s="70">
        <v>20241222</v>
      </c>
      <c r="D16" s="52">
        <v>465</v>
      </c>
      <c r="E16" s="57">
        <v>7159</v>
      </c>
      <c r="F16" s="53">
        <v>32311405</v>
      </c>
      <c r="G16" s="54">
        <v>7101</v>
      </c>
      <c r="H16" s="53">
        <v>546</v>
      </c>
      <c r="I16" s="58">
        <v>2496760.29</v>
      </c>
      <c r="J16" s="53">
        <v>6613</v>
      </c>
      <c r="K16" s="53">
        <v>29814644.710000001</v>
      </c>
      <c r="L16" s="57">
        <v>3805</v>
      </c>
      <c r="M16" s="95">
        <v>3603733.13</v>
      </c>
      <c r="N16" s="54">
        <v>2858</v>
      </c>
      <c r="O16" s="54">
        <v>45712.899999999994</v>
      </c>
      <c r="P16" s="54">
        <v>5569.9699999999993</v>
      </c>
    </row>
    <row r="17" spans="2:16" x14ac:dyDescent="0.2">
      <c r="B17" s="71" t="s">
        <v>29</v>
      </c>
      <c r="C17" s="70">
        <v>20241223</v>
      </c>
      <c r="D17" s="52">
        <v>464</v>
      </c>
      <c r="E17" s="57">
        <v>6716</v>
      </c>
      <c r="F17" s="53">
        <v>31629423</v>
      </c>
      <c r="G17" s="54">
        <v>6662</v>
      </c>
      <c r="H17" s="53">
        <v>463</v>
      </c>
      <c r="I17" s="58">
        <v>1815272.56</v>
      </c>
      <c r="J17" s="53">
        <v>6253</v>
      </c>
      <c r="K17" s="53">
        <v>29814150.440000001</v>
      </c>
      <c r="L17" s="57">
        <v>4749</v>
      </c>
      <c r="M17" s="95">
        <v>5209159.45</v>
      </c>
      <c r="N17" s="54">
        <v>3603</v>
      </c>
      <c r="O17" s="54">
        <v>51975.100000000006</v>
      </c>
      <c r="P17" s="54">
        <v>8006.75</v>
      </c>
    </row>
    <row r="18" spans="2:16" x14ac:dyDescent="0.2">
      <c r="B18" s="71" t="s">
        <v>29</v>
      </c>
      <c r="C18" s="70">
        <v>20241224</v>
      </c>
      <c r="D18" s="52">
        <v>463</v>
      </c>
      <c r="E18" s="57">
        <v>6838</v>
      </c>
      <c r="F18" s="53">
        <v>31456791</v>
      </c>
      <c r="G18" s="54">
        <v>6754</v>
      </c>
      <c r="H18" s="53">
        <v>428</v>
      </c>
      <c r="I18" s="58">
        <v>1744663.49</v>
      </c>
      <c r="J18" s="53">
        <v>6410</v>
      </c>
      <c r="K18" s="53">
        <v>29712127.510000002</v>
      </c>
      <c r="L18" s="57">
        <v>5344</v>
      </c>
      <c r="M18" s="95">
        <v>7371937.7199999997</v>
      </c>
      <c r="N18" s="54">
        <v>4182</v>
      </c>
      <c r="O18" s="54">
        <v>57756.75</v>
      </c>
      <c r="P18" s="54">
        <v>10856.84</v>
      </c>
    </row>
    <row r="19" spans="2:16" x14ac:dyDescent="0.2">
      <c r="B19" s="71" t="s">
        <v>29</v>
      </c>
      <c r="C19" s="70">
        <v>20241225</v>
      </c>
      <c r="D19" s="52">
        <v>462</v>
      </c>
      <c r="E19" s="57">
        <v>4431</v>
      </c>
      <c r="F19" s="53">
        <v>18783022</v>
      </c>
      <c r="G19" s="54">
        <v>4392</v>
      </c>
      <c r="H19" s="53">
        <v>284</v>
      </c>
      <c r="I19" s="58">
        <v>1168430.96</v>
      </c>
      <c r="J19" s="53">
        <v>4147</v>
      </c>
      <c r="K19" s="53">
        <v>17614591.039999999</v>
      </c>
      <c r="L19" s="57">
        <v>4635</v>
      </c>
      <c r="M19" s="95">
        <v>4877438.5999999996</v>
      </c>
      <c r="N19" s="54">
        <v>3581</v>
      </c>
      <c r="O19" s="54">
        <v>63012.869999999995</v>
      </c>
      <c r="P19" s="54">
        <v>8797.52</v>
      </c>
    </row>
    <row r="20" spans="2:16" x14ac:dyDescent="0.2">
      <c r="B20" s="71" t="s">
        <v>29</v>
      </c>
      <c r="C20" s="70">
        <v>20241226</v>
      </c>
      <c r="D20" s="52">
        <v>461</v>
      </c>
      <c r="E20" s="57">
        <v>4091</v>
      </c>
      <c r="F20" s="53">
        <v>18568246</v>
      </c>
      <c r="G20" s="54">
        <v>4061</v>
      </c>
      <c r="H20" s="53">
        <v>249</v>
      </c>
      <c r="I20" s="58">
        <v>1109695.47</v>
      </c>
      <c r="J20" s="53">
        <v>3842</v>
      </c>
      <c r="K20" s="53">
        <v>17458550.530000001</v>
      </c>
      <c r="L20" s="57">
        <v>4680</v>
      </c>
      <c r="M20" s="95">
        <v>4818447.2</v>
      </c>
      <c r="N20" s="54">
        <v>3617</v>
      </c>
      <c r="O20" s="54">
        <v>66083.42</v>
      </c>
      <c r="P20" s="54">
        <v>10098.6</v>
      </c>
    </row>
    <row r="21" spans="2:16" x14ac:dyDescent="0.2">
      <c r="B21" s="71" t="s">
        <v>29</v>
      </c>
      <c r="C21" s="70">
        <v>20241227</v>
      </c>
      <c r="D21" s="52">
        <v>460</v>
      </c>
      <c r="E21" s="57">
        <v>4334</v>
      </c>
      <c r="F21" s="53">
        <v>20115312</v>
      </c>
      <c r="G21" s="54">
        <v>4294</v>
      </c>
      <c r="H21" s="53">
        <v>241</v>
      </c>
      <c r="I21" s="58">
        <v>1007984.38</v>
      </c>
      <c r="J21" s="53">
        <v>4093</v>
      </c>
      <c r="K21" s="53">
        <v>19107327.620000001</v>
      </c>
      <c r="L21" s="57">
        <v>5240</v>
      </c>
      <c r="M21" s="95">
        <v>6036724.7599999998</v>
      </c>
      <c r="N21" s="54">
        <v>4033</v>
      </c>
      <c r="O21" s="54">
        <v>69073.59</v>
      </c>
      <c r="P21" s="54">
        <v>12534.609999999999</v>
      </c>
    </row>
    <row r="22" spans="2:16" x14ac:dyDescent="0.2">
      <c r="B22" s="71" t="s">
        <v>29</v>
      </c>
      <c r="C22" s="70">
        <v>20241228</v>
      </c>
      <c r="D22" s="52">
        <v>459</v>
      </c>
      <c r="E22" s="57">
        <v>4078</v>
      </c>
      <c r="F22" s="53">
        <v>18644773</v>
      </c>
      <c r="G22" s="54">
        <v>4050</v>
      </c>
      <c r="H22" s="53">
        <v>263</v>
      </c>
      <c r="I22" s="58">
        <v>989866.07</v>
      </c>
      <c r="J22" s="53">
        <v>3815</v>
      </c>
      <c r="K22" s="53">
        <v>17654906.93</v>
      </c>
      <c r="L22" s="57">
        <v>5231</v>
      </c>
      <c r="M22" s="95">
        <v>5790313.5300000003</v>
      </c>
      <c r="N22" s="54">
        <v>4056</v>
      </c>
      <c r="O22" s="54">
        <v>72151.570000000007</v>
      </c>
      <c r="P22" s="54">
        <v>13142.189999999999</v>
      </c>
    </row>
    <row r="23" spans="2:16" x14ac:dyDescent="0.2">
      <c r="B23" s="71" t="s">
        <v>29</v>
      </c>
      <c r="C23" s="70">
        <v>20241229</v>
      </c>
      <c r="D23" s="52">
        <v>458</v>
      </c>
      <c r="E23" s="57">
        <v>3797</v>
      </c>
      <c r="F23" s="53">
        <v>17328942</v>
      </c>
      <c r="G23" s="54">
        <v>3771</v>
      </c>
      <c r="H23" s="53">
        <v>199</v>
      </c>
      <c r="I23" s="58">
        <v>725730.7</v>
      </c>
      <c r="J23" s="53">
        <v>3598</v>
      </c>
      <c r="K23" s="53">
        <v>16603211.300000001</v>
      </c>
      <c r="L23" s="57">
        <v>4995</v>
      </c>
      <c r="M23" s="95">
        <v>5288319.17</v>
      </c>
      <c r="N23" s="54">
        <v>3803</v>
      </c>
      <c r="O23" s="54">
        <v>74971.23</v>
      </c>
      <c r="P23" s="54">
        <v>12961.509999999998</v>
      </c>
    </row>
    <row r="24" spans="2:16" x14ac:dyDescent="0.2">
      <c r="B24" s="71" t="s">
        <v>29</v>
      </c>
      <c r="C24" s="70">
        <v>20241230</v>
      </c>
      <c r="D24" s="52">
        <v>457</v>
      </c>
      <c r="E24" s="57">
        <v>4573</v>
      </c>
      <c r="F24" s="53">
        <v>21711497</v>
      </c>
      <c r="G24" s="54">
        <v>4531</v>
      </c>
      <c r="H24" s="53">
        <v>220</v>
      </c>
      <c r="I24" s="58">
        <v>911500.91</v>
      </c>
      <c r="J24" s="53">
        <v>4353</v>
      </c>
      <c r="K24" s="53">
        <v>20799996.09</v>
      </c>
      <c r="L24" s="57">
        <v>5897</v>
      </c>
      <c r="M24" s="95">
        <v>7530752.6399999997</v>
      </c>
      <c r="N24" s="54">
        <v>4556</v>
      </c>
      <c r="O24" s="54">
        <v>77608.53</v>
      </c>
      <c r="P24" s="54">
        <v>19447.580000000002</v>
      </c>
    </row>
    <row r="25" spans="2:16" x14ac:dyDescent="0.2">
      <c r="B25" s="71" t="s">
        <v>29</v>
      </c>
      <c r="C25" s="70">
        <v>20241231</v>
      </c>
      <c r="D25" s="52">
        <v>456</v>
      </c>
      <c r="E25" s="57">
        <v>4735</v>
      </c>
      <c r="F25" s="53">
        <v>21951035</v>
      </c>
      <c r="G25" s="54">
        <v>4698</v>
      </c>
      <c r="H25" s="53">
        <v>253</v>
      </c>
      <c r="I25" s="58">
        <v>1222477.78</v>
      </c>
      <c r="J25" s="53">
        <v>4482</v>
      </c>
      <c r="K25" s="53">
        <v>20728557.219999999</v>
      </c>
      <c r="L25" s="57">
        <v>6010</v>
      </c>
      <c r="M25" s="95">
        <v>7894746.46</v>
      </c>
      <c r="N25" s="54">
        <v>4642</v>
      </c>
      <c r="O25" s="54">
        <v>80710.81</v>
      </c>
      <c r="P25" s="54">
        <v>19579.28</v>
      </c>
    </row>
    <row r="26" spans="2:16" x14ac:dyDescent="0.2">
      <c r="B26" s="71" t="s">
        <v>30</v>
      </c>
      <c r="C26" s="70">
        <v>20250101</v>
      </c>
      <c r="D26" s="52">
        <v>455</v>
      </c>
      <c r="E26" s="57">
        <v>3787</v>
      </c>
      <c r="F26" s="53">
        <v>16705595</v>
      </c>
      <c r="G26" s="54">
        <v>3752</v>
      </c>
      <c r="H26" s="53">
        <v>189</v>
      </c>
      <c r="I26" s="58">
        <v>884045.79</v>
      </c>
      <c r="J26" s="53">
        <v>3598</v>
      </c>
      <c r="K26" s="53">
        <v>15821549.210000001</v>
      </c>
      <c r="L26" s="57">
        <v>5465</v>
      </c>
      <c r="M26" s="95">
        <v>6363846.6200000001</v>
      </c>
      <c r="N26" s="54">
        <v>4220</v>
      </c>
      <c r="O26" s="54">
        <v>83764.53</v>
      </c>
      <c r="P26" s="54">
        <v>17728.53</v>
      </c>
    </row>
    <row r="27" spans="2:16" x14ac:dyDescent="0.2">
      <c r="B27" s="71" t="s">
        <v>30</v>
      </c>
      <c r="C27" s="70">
        <v>20250102</v>
      </c>
      <c r="D27" s="52">
        <v>454</v>
      </c>
      <c r="E27" s="57">
        <v>4193</v>
      </c>
      <c r="F27" s="53">
        <v>20071380</v>
      </c>
      <c r="G27" s="54">
        <v>4171</v>
      </c>
      <c r="H27" s="53">
        <v>205</v>
      </c>
      <c r="I27" s="58">
        <v>918749</v>
      </c>
      <c r="J27" s="53">
        <v>3988</v>
      </c>
      <c r="K27" s="53">
        <v>19152631</v>
      </c>
      <c r="L27" s="57">
        <v>6599</v>
      </c>
      <c r="M27" s="95">
        <v>8322251.7199999997</v>
      </c>
      <c r="N27" s="54">
        <v>5109</v>
      </c>
      <c r="O27" s="54">
        <v>86278.93</v>
      </c>
      <c r="P27" s="54">
        <v>25739.4</v>
      </c>
    </row>
    <row r="28" spans="2:16" x14ac:dyDescent="0.2">
      <c r="B28" s="71" t="s">
        <v>30</v>
      </c>
      <c r="C28" s="70">
        <v>20250103</v>
      </c>
      <c r="D28" s="52">
        <v>453</v>
      </c>
      <c r="E28" s="57">
        <v>4369</v>
      </c>
      <c r="F28" s="53">
        <v>21208600</v>
      </c>
      <c r="G28" s="54">
        <v>4349</v>
      </c>
      <c r="H28" s="53">
        <v>243</v>
      </c>
      <c r="I28" s="58">
        <v>1238538.44</v>
      </c>
      <c r="J28" s="53">
        <v>4126</v>
      </c>
      <c r="K28" s="53">
        <v>19970061.559999999</v>
      </c>
      <c r="L28" s="57">
        <v>7178</v>
      </c>
      <c r="M28" s="95">
        <v>9322239.9700000007</v>
      </c>
      <c r="N28" s="54">
        <v>5564</v>
      </c>
      <c r="O28" s="54">
        <v>88842.28</v>
      </c>
      <c r="P28" s="54">
        <v>28769.690000000002</v>
      </c>
    </row>
    <row r="29" spans="2:16" x14ac:dyDescent="0.2">
      <c r="B29" s="71" t="s">
        <v>30</v>
      </c>
      <c r="C29" s="70">
        <v>20250104</v>
      </c>
      <c r="D29" s="52">
        <v>452</v>
      </c>
      <c r="E29" s="57">
        <v>4409</v>
      </c>
      <c r="F29" s="53">
        <v>20336274</v>
      </c>
      <c r="G29" s="54">
        <v>4379</v>
      </c>
      <c r="H29" s="53">
        <v>215</v>
      </c>
      <c r="I29" s="58">
        <v>879158.94</v>
      </c>
      <c r="J29" s="53">
        <v>4194</v>
      </c>
      <c r="K29" s="53">
        <v>19457115.059999999</v>
      </c>
      <c r="L29" s="57">
        <v>7127</v>
      </c>
      <c r="M29" s="95">
        <v>9437759.1899999995</v>
      </c>
      <c r="N29" s="54">
        <v>5608</v>
      </c>
      <c r="O29" s="54">
        <v>91494.82</v>
      </c>
      <c r="P29" s="54">
        <v>29090.289999999997</v>
      </c>
    </row>
    <row r="30" spans="2:16" x14ac:dyDescent="0.2">
      <c r="B30" s="71" t="s">
        <v>30</v>
      </c>
      <c r="C30" s="70">
        <v>20250105</v>
      </c>
      <c r="D30" s="52">
        <v>451</v>
      </c>
      <c r="E30" s="57">
        <v>4194</v>
      </c>
      <c r="F30" s="53">
        <v>18857451</v>
      </c>
      <c r="G30" s="54">
        <v>4162</v>
      </c>
      <c r="H30" s="53">
        <v>204</v>
      </c>
      <c r="I30" s="58">
        <v>927779.77</v>
      </c>
      <c r="J30" s="53">
        <v>3990</v>
      </c>
      <c r="K30" s="53">
        <v>17929671.23</v>
      </c>
      <c r="L30" s="57">
        <v>6376</v>
      </c>
      <c r="M30" s="95">
        <v>8442339.5099999998</v>
      </c>
      <c r="N30" s="54">
        <v>5023</v>
      </c>
      <c r="O30" s="54">
        <v>93861.56</v>
      </c>
      <c r="P30" s="54">
        <v>26662.239999999998</v>
      </c>
    </row>
    <row r="31" spans="2:16" x14ac:dyDescent="0.2">
      <c r="B31" s="71" t="s">
        <v>30</v>
      </c>
      <c r="C31" s="70">
        <v>20250106</v>
      </c>
      <c r="D31" s="52">
        <v>450</v>
      </c>
      <c r="E31" s="57">
        <v>6636</v>
      </c>
      <c r="F31" s="53">
        <v>30114274</v>
      </c>
      <c r="G31" s="54">
        <v>6594</v>
      </c>
      <c r="H31" s="53">
        <v>310</v>
      </c>
      <c r="I31" s="58">
        <v>1139732.77</v>
      </c>
      <c r="J31" s="53">
        <v>6326</v>
      </c>
      <c r="K31" s="53">
        <v>28974541.23</v>
      </c>
      <c r="L31" s="57">
        <v>11636</v>
      </c>
      <c r="M31" s="95">
        <v>20160026.899999999</v>
      </c>
      <c r="N31" s="54">
        <v>9542</v>
      </c>
      <c r="O31" s="54">
        <v>96172.23</v>
      </c>
      <c r="P31" s="54">
        <v>71159.299999999988</v>
      </c>
    </row>
    <row r="32" spans="2:16" x14ac:dyDescent="0.2">
      <c r="B32" s="71" t="s">
        <v>30</v>
      </c>
      <c r="C32" s="70">
        <v>20250107</v>
      </c>
      <c r="D32" s="52">
        <v>449</v>
      </c>
      <c r="E32" s="57">
        <v>5536</v>
      </c>
      <c r="F32" s="53">
        <v>25321398</v>
      </c>
      <c r="G32" s="54">
        <v>5507</v>
      </c>
      <c r="H32" s="53">
        <v>250</v>
      </c>
      <c r="I32" s="58">
        <v>987049.9</v>
      </c>
      <c r="J32" s="53">
        <v>5286</v>
      </c>
      <c r="K32" s="53">
        <v>24334348.100000001</v>
      </c>
      <c r="L32" s="57">
        <v>9804</v>
      </c>
      <c r="M32" s="95">
        <v>16045572.74</v>
      </c>
      <c r="N32" s="54">
        <v>7846</v>
      </c>
      <c r="O32" s="54">
        <v>98332.54</v>
      </c>
      <c r="P32" s="54">
        <v>56137.86</v>
      </c>
    </row>
    <row r="33" spans="2:16" x14ac:dyDescent="0.2">
      <c r="B33" s="71" t="s">
        <v>30</v>
      </c>
      <c r="C33" s="70">
        <v>20250108</v>
      </c>
      <c r="D33" s="52">
        <v>448</v>
      </c>
      <c r="E33" s="57">
        <v>4845</v>
      </c>
      <c r="F33" s="53">
        <v>22173270</v>
      </c>
      <c r="G33" s="54">
        <v>4801</v>
      </c>
      <c r="H33" s="53">
        <v>226</v>
      </c>
      <c r="I33" s="58">
        <v>857558.38</v>
      </c>
      <c r="J33" s="53">
        <v>4619</v>
      </c>
      <c r="K33" s="53">
        <v>21315711.620000001</v>
      </c>
      <c r="L33" s="57">
        <v>9420</v>
      </c>
      <c r="M33" s="95">
        <v>14347218.67</v>
      </c>
      <c r="N33" s="54">
        <v>7512</v>
      </c>
      <c r="O33" s="54">
        <v>100395.75</v>
      </c>
      <c r="P33" s="54">
        <v>49076.939999999995</v>
      </c>
    </row>
    <row r="34" spans="2:16" x14ac:dyDescent="0.2">
      <c r="B34" s="71" t="s">
        <v>30</v>
      </c>
      <c r="C34" s="70">
        <v>20250109</v>
      </c>
      <c r="D34" s="52">
        <v>447</v>
      </c>
      <c r="E34" s="53">
        <v>4381</v>
      </c>
      <c r="F34" s="53">
        <v>19579707</v>
      </c>
      <c r="G34" s="54">
        <v>4347</v>
      </c>
      <c r="H34" s="53">
        <v>226</v>
      </c>
      <c r="I34" s="58">
        <v>969317.69</v>
      </c>
      <c r="J34" s="53">
        <v>4155</v>
      </c>
      <c r="K34" s="53">
        <v>18610389.309999999</v>
      </c>
      <c r="L34" s="57">
        <v>8739</v>
      </c>
      <c r="M34" s="95">
        <v>12899268.27</v>
      </c>
      <c r="N34" s="54">
        <v>6932</v>
      </c>
      <c r="O34" s="54">
        <v>102110.53</v>
      </c>
      <c r="P34" s="54">
        <v>46068.13</v>
      </c>
    </row>
    <row r="35" spans="2:16" x14ac:dyDescent="0.2">
      <c r="B35" s="71" t="s">
        <v>30</v>
      </c>
      <c r="C35" s="70">
        <v>20250110</v>
      </c>
      <c r="D35" s="52">
        <v>446</v>
      </c>
      <c r="E35" s="53">
        <v>4377</v>
      </c>
      <c r="F35" s="53">
        <v>19110088</v>
      </c>
      <c r="G35" s="54">
        <v>4345</v>
      </c>
      <c r="H35" s="53">
        <v>185</v>
      </c>
      <c r="I35" s="58">
        <v>709097.85</v>
      </c>
      <c r="J35" s="53">
        <v>4192</v>
      </c>
      <c r="K35" s="54">
        <v>18400990.149999999</v>
      </c>
      <c r="L35" s="53">
        <v>8565</v>
      </c>
      <c r="M35" s="95">
        <v>12976986.880000001</v>
      </c>
      <c r="N35" s="54">
        <v>6835</v>
      </c>
      <c r="O35" s="54">
        <v>103591.01999999999</v>
      </c>
      <c r="P35" s="54">
        <v>46418.83</v>
      </c>
    </row>
    <row r="36" spans="2:16" x14ac:dyDescent="0.2">
      <c r="B36" s="71" t="s">
        <v>30</v>
      </c>
      <c r="C36" s="70">
        <v>20250111</v>
      </c>
      <c r="D36" s="52">
        <v>445</v>
      </c>
      <c r="E36" s="59">
        <v>4047</v>
      </c>
      <c r="F36" s="59">
        <v>18047909</v>
      </c>
      <c r="G36" s="60">
        <v>4027</v>
      </c>
      <c r="H36" s="59">
        <v>190</v>
      </c>
      <c r="I36" s="61">
        <v>788241.03</v>
      </c>
      <c r="J36" s="53">
        <v>3857</v>
      </c>
      <c r="K36" s="54">
        <v>17259667.969999999</v>
      </c>
      <c r="L36" s="59">
        <v>7792</v>
      </c>
      <c r="M36" s="96">
        <v>11895893.550000001</v>
      </c>
      <c r="N36" s="60">
        <v>6277</v>
      </c>
      <c r="O36" s="60">
        <v>104955.03</v>
      </c>
      <c r="P36" s="54">
        <v>45456.32</v>
      </c>
    </row>
    <row r="37" spans="2:16" x14ac:dyDescent="0.2">
      <c r="B37" s="71" t="s">
        <v>30</v>
      </c>
      <c r="C37" s="70">
        <v>20250112</v>
      </c>
      <c r="D37" s="52">
        <v>444</v>
      </c>
      <c r="E37" s="59">
        <v>4018</v>
      </c>
      <c r="F37" s="59">
        <v>16873785</v>
      </c>
      <c r="G37" s="60">
        <v>3986</v>
      </c>
      <c r="H37" s="59">
        <v>217</v>
      </c>
      <c r="I37" s="61">
        <v>823571.39</v>
      </c>
      <c r="J37" s="53">
        <v>3801</v>
      </c>
      <c r="K37" s="54">
        <v>16050213.609999999</v>
      </c>
      <c r="L37" s="59">
        <v>7894</v>
      </c>
      <c r="M37" s="96">
        <v>11896975.07</v>
      </c>
      <c r="N37" s="60">
        <v>6228</v>
      </c>
      <c r="O37" s="60">
        <v>106439.63</v>
      </c>
      <c r="P37" s="54">
        <v>49356.840000000004</v>
      </c>
    </row>
    <row r="38" spans="2:16" x14ac:dyDescent="0.2">
      <c r="B38" s="71" t="s">
        <v>30</v>
      </c>
      <c r="C38" s="70">
        <v>20250113</v>
      </c>
      <c r="D38" s="52">
        <v>443</v>
      </c>
      <c r="E38" s="59">
        <v>5758</v>
      </c>
      <c r="F38" s="59">
        <v>26748992</v>
      </c>
      <c r="G38" s="60">
        <v>5722</v>
      </c>
      <c r="H38" s="59">
        <v>287</v>
      </c>
      <c r="I38" s="61">
        <v>1159592.48</v>
      </c>
      <c r="J38" s="53">
        <v>5471</v>
      </c>
      <c r="K38" s="54">
        <v>25589399.52</v>
      </c>
      <c r="L38" s="59">
        <v>11422</v>
      </c>
      <c r="M38" s="96">
        <v>21864591.640000001</v>
      </c>
      <c r="N38" s="60">
        <v>9515</v>
      </c>
      <c r="O38" s="60">
        <v>107612.25</v>
      </c>
      <c r="P38" s="54">
        <v>96013.65</v>
      </c>
    </row>
    <row r="39" spans="2:16" x14ac:dyDescent="0.2">
      <c r="B39" s="71" t="s">
        <v>30</v>
      </c>
      <c r="C39" s="70">
        <v>20250114</v>
      </c>
      <c r="D39" s="52">
        <v>442</v>
      </c>
      <c r="E39" s="59">
        <v>4839</v>
      </c>
      <c r="F39" s="59">
        <v>22042916</v>
      </c>
      <c r="G39" s="60">
        <v>4811</v>
      </c>
      <c r="H39" s="59">
        <v>236</v>
      </c>
      <c r="I39" s="61">
        <v>842107.67</v>
      </c>
      <c r="J39" s="53">
        <v>4603</v>
      </c>
      <c r="K39" s="54">
        <v>21200808.329999998</v>
      </c>
      <c r="L39" s="59">
        <v>10113</v>
      </c>
      <c r="M39" s="96">
        <v>18195022.68</v>
      </c>
      <c r="N39" s="60">
        <v>8197</v>
      </c>
      <c r="O39" s="60">
        <v>108732.16</v>
      </c>
      <c r="P39" s="54">
        <v>79409.66</v>
      </c>
    </row>
    <row r="40" spans="2:16" x14ac:dyDescent="0.2">
      <c r="B40" s="71" t="s">
        <v>30</v>
      </c>
      <c r="C40" s="70">
        <v>20250115</v>
      </c>
      <c r="D40" s="52">
        <v>441</v>
      </c>
      <c r="E40" s="59">
        <v>4869</v>
      </c>
      <c r="F40" s="59">
        <v>22676692</v>
      </c>
      <c r="G40" s="60">
        <v>4840</v>
      </c>
      <c r="H40" s="59">
        <v>257</v>
      </c>
      <c r="I40" s="61">
        <v>963478.22</v>
      </c>
      <c r="J40" s="53">
        <v>4612</v>
      </c>
      <c r="K40" s="54">
        <v>21713213.780000001</v>
      </c>
      <c r="L40" s="59">
        <v>10565</v>
      </c>
      <c r="M40" s="96">
        <v>20448140.289999999</v>
      </c>
      <c r="N40" s="60">
        <v>8578</v>
      </c>
      <c r="O40" s="60">
        <v>109659.88999999998</v>
      </c>
      <c r="P40" s="54">
        <v>92580.77</v>
      </c>
    </row>
    <row r="41" spans="2:16" x14ac:dyDescent="0.2">
      <c r="B41" s="71" t="s">
        <v>30</v>
      </c>
      <c r="C41" s="70">
        <v>20250116</v>
      </c>
      <c r="D41" s="52">
        <v>440</v>
      </c>
      <c r="E41" s="59">
        <v>5059</v>
      </c>
      <c r="F41" s="59">
        <v>23328974</v>
      </c>
      <c r="G41" s="60">
        <v>5030</v>
      </c>
      <c r="H41" s="59">
        <v>242</v>
      </c>
      <c r="I41" s="61">
        <v>851480.67</v>
      </c>
      <c r="J41" s="53">
        <v>4817</v>
      </c>
      <c r="K41" s="54">
        <v>22477493.329999998</v>
      </c>
      <c r="L41" s="59">
        <v>10741</v>
      </c>
      <c r="M41" s="96">
        <v>21369315.690000001</v>
      </c>
      <c r="N41" s="60">
        <v>8774</v>
      </c>
      <c r="O41" s="60">
        <v>110224.36</v>
      </c>
      <c r="P41" s="54">
        <v>98147.9</v>
      </c>
    </row>
    <row r="42" spans="2:16" x14ac:dyDescent="0.2">
      <c r="B42" s="71" t="s">
        <v>30</v>
      </c>
      <c r="C42" s="70">
        <v>20250117</v>
      </c>
      <c r="D42" s="52">
        <v>439</v>
      </c>
      <c r="E42" s="59">
        <v>5119</v>
      </c>
      <c r="F42" s="59">
        <v>23779409</v>
      </c>
      <c r="G42" s="60">
        <v>5085</v>
      </c>
      <c r="H42" s="59">
        <v>253</v>
      </c>
      <c r="I42" s="61">
        <v>1017026.93</v>
      </c>
      <c r="J42" s="53">
        <v>4866</v>
      </c>
      <c r="K42" s="54">
        <v>22762382.07</v>
      </c>
      <c r="L42" s="59">
        <v>10727</v>
      </c>
      <c r="M42" s="96">
        <v>21538167.219999999</v>
      </c>
      <c r="N42" s="60">
        <v>8735</v>
      </c>
      <c r="O42" s="60">
        <v>111123.47</v>
      </c>
      <c r="P42" s="54">
        <v>103057.30000000002</v>
      </c>
    </row>
    <row r="43" spans="2:16" x14ac:dyDescent="0.2">
      <c r="B43" s="71" t="s">
        <v>30</v>
      </c>
      <c r="C43" s="70">
        <v>20250118</v>
      </c>
      <c r="D43" s="52">
        <v>438</v>
      </c>
      <c r="E43" s="59">
        <v>5211</v>
      </c>
      <c r="F43" s="59">
        <v>23767501</v>
      </c>
      <c r="G43" s="60">
        <v>5180</v>
      </c>
      <c r="H43" s="59">
        <v>259</v>
      </c>
      <c r="I43" s="61">
        <v>1072697.81</v>
      </c>
      <c r="J43" s="53">
        <v>4952</v>
      </c>
      <c r="K43" s="54">
        <v>22694803.190000001</v>
      </c>
      <c r="L43" s="59">
        <v>13570</v>
      </c>
      <c r="M43" s="96">
        <v>20905368.329999998</v>
      </c>
      <c r="N43" s="60">
        <v>8513</v>
      </c>
      <c r="O43" s="60">
        <v>8266.4500000000007</v>
      </c>
      <c r="P43" s="54">
        <v>102562.73999999999</v>
      </c>
    </row>
    <row r="44" spans="2:16" x14ac:dyDescent="0.2">
      <c r="B44" s="71" t="s">
        <v>30</v>
      </c>
      <c r="C44" s="70">
        <v>20250119</v>
      </c>
      <c r="D44" s="52">
        <v>437</v>
      </c>
      <c r="E44" s="59">
        <v>4477</v>
      </c>
      <c r="F44" s="59">
        <v>19018381</v>
      </c>
      <c r="G44" s="60">
        <v>4443</v>
      </c>
      <c r="H44" s="59">
        <v>230</v>
      </c>
      <c r="I44" s="61">
        <v>805092.33</v>
      </c>
      <c r="J44" s="53">
        <v>4247</v>
      </c>
      <c r="K44" s="54">
        <v>18213288.670000002</v>
      </c>
      <c r="L44" s="59">
        <v>9172</v>
      </c>
      <c r="M44" s="96">
        <v>14937943.449999999</v>
      </c>
      <c r="N44" s="60">
        <v>7323</v>
      </c>
      <c r="O44" s="60">
        <v>216803.6</v>
      </c>
      <c r="P44" s="54">
        <v>73334.27</v>
      </c>
    </row>
    <row r="45" spans="2:16" x14ac:dyDescent="0.2">
      <c r="B45" s="71" t="s">
        <v>30</v>
      </c>
      <c r="C45" s="70">
        <v>20250120</v>
      </c>
      <c r="D45" s="52">
        <v>436</v>
      </c>
      <c r="E45" s="59">
        <v>5576</v>
      </c>
      <c r="F45" s="59">
        <v>26276362</v>
      </c>
      <c r="G45" s="60">
        <v>5543</v>
      </c>
      <c r="H45" s="59">
        <v>272</v>
      </c>
      <c r="I45" s="61">
        <v>1094940.46</v>
      </c>
      <c r="J45" s="53">
        <v>5304</v>
      </c>
      <c r="K45" s="54">
        <v>25181421.539999999</v>
      </c>
      <c r="L45" s="59">
        <v>11232</v>
      </c>
      <c r="M45" s="96">
        <v>21110375.52</v>
      </c>
      <c r="N45" s="60">
        <v>9233</v>
      </c>
      <c r="O45" s="60">
        <v>114719.35999999999</v>
      </c>
      <c r="P45" s="54">
        <v>100546.44</v>
      </c>
    </row>
    <row r="46" spans="2:16" x14ac:dyDescent="0.2">
      <c r="B46" s="71" t="s">
        <v>30</v>
      </c>
      <c r="C46" s="70">
        <v>20250121</v>
      </c>
      <c r="D46" s="52">
        <v>435</v>
      </c>
      <c r="E46" s="59">
        <v>4711</v>
      </c>
      <c r="F46" s="59">
        <v>21629280</v>
      </c>
      <c r="G46" s="60">
        <v>4677</v>
      </c>
      <c r="H46" s="59">
        <v>217</v>
      </c>
      <c r="I46" s="61">
        <v>824723.84</v>
      </c>
      <c r="J46" s="53">
        <v>4494</v>
      </c>
      <c r="K46" s="54">
        <v>20804556.16</v>
      </c>
      <c r="L46" s="59">
        <v>10156</v>
      </c>
      <c r="M46" s="96">
        <v>18485869.949999999</v>
      </c>
      <c r="N46" s="60">
        <v>8194</v>
      </c>
      <c r="O46" s="60">
        <v>115914.29000000001</v>
      </c>
      <c r="P46" s="54">
        <v>89589.45</v>
      </c>
    </row>
    <row r="47" spans="2:16" x14ac:dyDescent="0.2">
      <c r="B47" s="71" t="s">
        <v>30</v>
      </c>
      <c r="C47" s="70">
        <v>20250122</v>
      </c>
      <c r="D47" s="52">
        <v>434</v>
      </c>
      <c r="E47" s="59">
        <v>4168</v>
      </c>
      <c r="F47" s="59">
        <v>20235982</v>
      </c>
      <c r="G47" s="60">
        <v>4143</v>
      </c>
      <c r="H47" s="59">
        <v>201</v>
      </c>
      <c r="I47" s="61">
        <v>894337.34</v>
      </c>
      <c r="J47" s="53">
        <v>3967</v>
      </c>
      <c r="K47" s="54">
        <v>19341644.66</v>
      </c>
      <c r="L47" s="59">
        <v>9513</v>
      </c>
      <c r="M47" s="96">
        <v>16789145.77</v>
      </c>
      <c r="N47" s="60">
        <v>7687</v>
      </c>
      <c r="O47" s="60">
        <v>116940.04999999999</v>
      </c>
      <c r="P47" s="54">
        <v>79045.47</v>
      </c>
    </row>
    <row r="48" spans="2:16" x14ac:dyDescent="0.2">
      <c r="B48" s="71" t="s">
        <v>30</v>
      </c>
      <c r="C48" s="70">
        <v>20250123</v>
      </c>
      <c r="D48" s="52">
        <v>433</v>
      </c>
      <c r="E48" s="59">
        <v>4122</v>
      </c>
      <c r="F48" s="59">
        <v>18572840</v>
      </c>
      <c r="G48" s="60">
        <v>4094</v>
      </c>
      <c r="H48" s="59">
        <v>206</v>
      </c>
      <c r="I48" s="61">
        <v>809731.03</v>
      </c>
      <c r="J48" s="53">
        <v>3916</v>
      </c>
      <c r="K48" s="54">
        <v>17763108.969999999</v>
      </c>
      <c r="L48" s="59">
        <v>9439</v>
      </c>
      <c r="M48" s="96">
        <v>16473176.210000001</v>
      </c>
      <c r="N48" s="60">
        <v>7633</v>
      </c>
      <c r="O48" s="60">
        <v>118067.70999999999</v>
      </c>
      <c r="P48" s="54">
        <v>80381.440000000002</v>
      </c>
    </row>
    <row r="49" spans="2:16" x14ac:dyDescent="0.2">
      <c r="B49" s="71" t="s">
        <v>30</v>
      </c>
      <c r="C49" s="70">
        <v>20250124</v>
      </c>
      <c r="D49" s="52">
        <v>432</v>
      </c>
      <c r="E49" s="59">
        <v>4187</v>
      </c>
      <c r="F49" s="59">
        <v>20766161</v>
      </c>
      <c r="G49" s="60">
        <v>4164</v>
      </c>
      <c r="H49" s="59">
        <v>174</v>
      </c>
      <c r="I49" s="61">
        <v>745913.19</v>
      </c>
      <c r="J49" s="53">
        <v>4013</v>
      </c>
      <c r="K49" s="54">
        <v>20020247.809999999</v>
      </c>
      <c r="L49" s="59">
        <v>9860</v>
      </c>
      <c r="M49" s="96">
        <v>20265577.02</v>
      </c>
      <c r="N49" s="60">
        <v>8045</v>
      </c>
      <c r="O49" s="60">
        <v>118886.37000000001</v>
      </c>
      <c r="P49" s="54">
        <v>98135.85</v>
      </c>
    </row>
    <row r="50" spans="2:16" x14ac:dyDescent="0.2">
      <c r="B50" s="71" t="s">
        <v>30</v>
      </c>
      <c r="C50" s="70">
        <v>20250125</v>
      </c>
      <c r="D50" s="52">
        <v>431</v>
      </c>
      <c r="E50" s="59">
        <v>4213</v>
      </c>
      <c r="F50" s="59">
        <v>19967213</v>
      </c>
      <c r="G50" s="60">
        <v>4185</v>
      </c>
      <c r="H50" s="59">
        <v>200</v>
      </c>
      <c r="I50" s="61">
        <v>739885.97</v>
      </c>
      <c r="J50" s="53">
        <v>4013</v>
      </c>
      <c r="K50" s="54">
        <v>19227327.030000001</v>
      </c>
      <c r="L50" s="59">
        <v>9414</v>
      </c>
      <c r="M50" s="96">
        <v>18246222.699999999</v>
      </c>
      <c r="N50" s="60">
        <v>7666</v>
      </c>
      <c r="O50" s="60">
        <v>119155.39999999998</v>
      </c>
      <c r="P50" s="54">
        <v>87235.05</v>
      </c>
    </row>
    <row r="51" spans="2:16" x14ac:dyDescent="0.2">
      <c r="B51" s="71" t="s">
        <v>30</v>
      </c>
      <c r="C51" s="70">
        <v>20250126</v>
      </c>
      <c r="D51" s="52">
        <v>430</v>
      </c>
      <c r="E51" s="59">
        <v>3799</v>
      </c>
      <c r="F51" s="59">
        <v>17032888</v>
      </c>
      <c r="G51" s="60">
        <v>3770</v>
      </c>
      <c r="H51" s="59">
        <v>166</v>
      </c>
      <c r="I51" s="61">
        <v>702716.05</v>
      </c>
      <c r="J51" s="53">
        <v>3633</v>
      </c>
      <c r="K51" s="54">
        <v>16330171.949999999</v>
      </c>
      <c r="L51" s="59">
        <v>7958</v>
      </c>
      <c r="M51" s="96">
        <v>13649720.550000001</v>
      </c>
      <c r="N51" s="60">
        <v>6436</v>
      </c>
      <c r="O51" s="60">
        <v>119695.69999999998</v>
      </c>
      <c r="P51" s="54">
        <v>66617.119999999995</v>
      </c>
    </row>
    <row r="52" spans="2:16" x14ac:dyDescent="0.2">
      <c r="B52" s="71" t="s">
        <v>30</v>
      </c>
      <c r="C52" s="70">
        <v>20250127</v>
      </c>
      <c r="D52" s="52">
        <v>429</v>
      </c>
      <c r="E52" s="59">
        <v>4073</v>
      </c>
      <c r="F52" s="59">
        <v>20727944</v>
      </c>
      <c r="G52" s="60">
        <v>4055</v>
      </c>
      <c r="H52" s="59">
        <v>195</v>
      </c>
      <c r="I52" s="61">
        <v>996082.89</v>
      </c>
      <c r="J52" s="53">
        <v>3878</v>
      </c>
      <c r="K52" s="54">
        <v>19731861.109999999</v>
      </c>
      <c r="L52" s="59">
        <v>9543</v>
      </c>
      <c r="M52" s="96">
        <v>18977905.879999999</v>
      </c>
      <c r="N52" s="60">
        <v>7869</v>
      </c>
      <c r="O52" s="60">
        <v>120658.78</v>
      </c>
      <c r="P52" s="54">
        <v>91733.73000000001</v>
      </c>
    </row>
    <row r="53" spans="2:16" x14ac:dyDescent="0.2">
      <c r="B53" s="71" t="s">
        <v>30</v>
      </c>
      <c r="C53" s="70">
        <v>20250128</v>
      </c>
      <c r="D53" s="52">
        <v>428</v>
      </c>
      <c r="E53" s="59">
        <v>4107</v>
      </c>
      <c r="F53" s="59">
        <v>19979403</v>
      </c>
      <c r="G53" s="60">
        <v>4082</v>
      </c>
      <c r="H53" s="59">
        <v>181</v>
      </c>
      <c r="I53" s="61">
        <v>888789.82</v>
      </c>
      <c r="J53" s="53">
        <v>3926</v>
      </c>
      <c r="K53" s="54">
        <v>19090613.18</v>
      </c>
      <c r="L53" s="59">
        <v>9817</v>
      </c>
      <c r="M53" s="96">
        <v>19376248.510000002</v>
      </c>
      <c r="N53" s="60">
        <v>8100</v>
      </c>
      <c r="O53" s="60">
        <v>121129.32</v>
      </c>
      <c r="P53" s="54">
        <v>98638.22</v>
      </c>
    </row>
    <row r="54" spans="2:16" x14ac:dyDescent="0.2">
      <c r="B54" s="71" t="s">
        <v>30</v>
      </c>
      <c r="C54" s="70">
        <v>20250129</v>
      </c>
      <c r="D54" s="52">
        <v>427</v>
      </c>
      <c r="E54" s="59">
        <v>4396</v>
      </c>
      <c r="F54" s="59">
        <v>22430544</v>
      </c>
      <c r="G54" s="60">
        <v>4375</v>
      </c>
      <c r="H54" s="59">
        <v>187</v>
      </c>
      <c r="I54" s="61">
        <v>839494.48</v>
      </c>
      <c r="J54" s="53">
        <v>4209</v>
      </c>
      <c r="K54" s="54">
        <v>21591049.52</v>
      </c>
      <c r="L54" s="59">
        <v>10504</v>
      </c>
      <c r="M54" s="96">
        <v>22403110.960000001</v>
      </c>
      <c r="N54" s="60">
        <v>8681</v>
      </c>
      <c r="O54" s="60">
        <v>121357.60999999999</v>
      </c>
      <c r="P54" s="54">
        <v>112521.22</v>
      </c>
    </row>
    <row r="55" spans="2:16" x14ac:dyDescent="0.2">
      <c r="B55" s="71" t="s">
        <v>30</v>
      </c>
      <c r="C55" s="70">
        <v>20250130</v>
      </c>
      <c r="D55" s="52">
        <v>426</v>
      </c>
      <c r="E55" s="59">
        <v>7336</v>
      </c>
      <c r="F55" s="59">
        <v>32140989</v>
      </c>
      <c r="G55" s="60">
        <v>7303</v>
      </c>
      <c r="H55" s="59">
        <v>439</v>
      </c>
      <c r="I55" s="61">
        <v>1493677.84</v>
      </c>
      <c r="J55" s="53">
        <v>6897</v>
      </c>
      <c r="K55" s="54">
        <v>30647311.16</v>
      </c>
      <c r="L55" s="59">
        <v>11234</v>
      </c>
      <c r="M55" s="96">
        <v>23594325.469999999</v>
      </c>
      <c r="N55" s="60">
        <v>9473</v>
      </c>
      <c r="O55" s="60">
        <v>121436.52999999998</v>
      </c>
      <c r="P55" s="54">
        <v>116945.20999999999</v>
      </c>
    </row>
    <row r="56" spans="2:16" x14ac:dyDescent="0.2">
      <c r="B56" s="71" t="s">
        <v>30</v>
      </c>
      <c r="C56" s="70">
        <v>20250131</v>
      </c>
      <c r="D56" s="52">
        <v>425</v>
      </c>
      <c r="E56" s="59">
        <v>6044</v>
      </c>
      <c r="F56" s="59">
        <v>28422903</v>
      </c>
      <c r="G56" s="60">
        <v>6003</v>
      </c>
      <c r="H56" s="59">
        <v>322</v>
      </c>
      <c r="I56" s="61">
        <v>1206649.02</v>
      </c>
      <c r="J56" s="53">
        <v>5722</v>
      </c>
      <c r="K56" s="54">
        <v>27216253.98</v>
      </c>
      <c r="L56" s="59">
        <v>11466</v>
      </c>
      <c r="M56" s="96">
        <v>24927381.379999999</v>
      </c>
      <c r="N56" s="60">
        <v>9483</v>
      </c>
      <c r="O56" s="60">
        <v>123431.89</v>
      </c>
      <c r="P56" s="54">
        <v>123910.91</v>
      </c>
    </row>
    <row r="57" spans="2:16" x14ac:dyDescent="0.2">
      <c r="B57" s="72" t="s">
        <v>31</v>
      </c>
      <c r="C57" s="73">
        <v>20250201</v>
      </c>
      <c r="D57" s="52">
        <v>424</v>
      </c>
      <c r="E57" s="59">
        <v>6085</v>
      </c>
      <c r="F57" s="59">
        <v>28490169</v>
      </c>
      <c r="G57" s="60">
        <v>6049</v>
      </c>
      <c r="H57" s="59">
        <v>291</v>
      </c>
      <c r="I57" s="61">
        <v>1135493.71</v>
      </c>
      <c r="J57" s="53">
        <v>5794</v>
      </c>
      <c r="K57" s="54">
        <v>27354675.289999999</v>
      </c>
      <c r="L57" s="59">
        <v>11643</v>
      </c>
      <c r="M57" s="96">
        <v>23827106.109999999</v>
      </c>
      <c r="N57" s="60">
        <v>9485</v>
      </c>
      <c r="O57" s="60">
        <v>124231.12</v>
      </c>
      <c r="P57" s="54">
        <v>117061.42</v>
      </c>
    </row>
    <row r="58" spans="2:16" x14ac:dyDescent="0.2">
      <c r="B58" s="72" t="s">
        <v>31</v>
      </c>
      <c r="C58" s="74">
        <v>20250202</v>
      </c>
      <c r="D58" s="52">
        <v>423</v>
      </c>
      <c r="E58" s="59">
        <v>4978</v>
      </c>
      <c r="F58" s="59">
        <v>21379409</v>
      </c>
      <c r="G58" s="60">
        <v>4936</v>
      </c>
      <c r="H58" s="59">
        <v>219</v>
      </c>
      <c r="I58" s="61">
        <v>779290.35</v>
      </c>
      <c r="J58" s="53">
        <v>4759</v>
      </c>
      <c r="K58" s="54">
        <v>20600118.649999999</v>
      </c>
      <c r="L58" s="59">
        <v>9663</v>
      </c>
      <c r="M58" s="96">
        <v>16811988.640000001</v>
      </c>
      <c r="N58" s="60">
        <v>7731</v>
      </c>
      <c r="O58" s="60">
        <v>125287.89000000001</v>
      </c>
      <c r="P58" s="54">
        <v>81151.88</v>
      </c>
    </row>
    <row r="59" spans="2:16" x14ac:dyDescent="0.2">
      <c r="B59" s="72" t="s">
        <v>31</v>
      </c>
      <c r="C59" s="74">
        <v>20250203</v>
      </c>
      <c r="D59" s="52">
        <v>422</v>
      </c>
      <c r="E59" s="59">
        <v>6039</v>
      </c>
      <c r="F59" s="59">
        <v>27987615</v>
      </c>
      <c r="G59" s="60">
        <v>5999</v>
      </c>
      <c r="H59" s="59">
        <v>253</v>
      </c>
      <c r="I59" s="61">
        <v>1198735.71</v>
      </c>
      <c r="J59" s="53">
        <v>5786</v>
      </c>
      <c r="K59" s="54">
        <v>26788879.289999999</v>
      </c>
      <c r="L59" s="59">
        <v>11929</v>
      </c>
      <c r="M59" s="96">
        <v>23101252.300000001</v>
      </c>
      <c r="N59" s="60">
        <v>9680</v>
      </c>
      <c r="O59" s="60">
        <v>126473.66</v>
      </c>
      <c r="P59" s="54">
        <v>116743.90999999999</v>
      </c>
    </row>
    <row r="60" spans="2:16" x14ac:dyDescent="0.2">
      <c r="B60" s="72" t="s">
        <v>31</v>
      </c>
      <c r="C60" s="74">
        <v>20250204</v>
      </c>
      <c r="D60" s="52">
        <v>421</v>
      </c>
      <c r="E60" s="59">
        <v>6454</v>
      </c>
      <c r="F60" s="59">
        <v>27158947</v>
      </c>
      <c r="G60" s="60">
        <v>6412</v>
      </c>
      <c r="H60" s="59">
        <v>462</v>
      </c>
      <c r="I60" s="61">
        <v>1138645.74</v>
      </c>
      <c r="J60" s="53">
        <v>5992</v>
      </c>
      <c r="K60" s="54">
        <v>26020301.260000002</v>
      </c>
      <c r="L60" s="59">
        <v>11946</v>
      </c>
      <c r="M60" s="96">
        <v>23591132.32</v>
      </c>
      <c r="N60" s="60">
        <v>9750</v>
      </c>
      <c r="O60" s="60">
        <v>127580.57999999999</v>
      </c>
      <c r="P60" s="54">
        <v>118676.32</v>
      </c>
    </row>
    <row r="61" spans="2:16" x14ac:dyDescent="0.2">
      <c r="B61" s="72" t="s">
        <v>31</v>
      </c>
      <c r="C61" s="74">
        <v>20250205</v>
      </c>
      <c r="D61" s="52">
        <v>420</v>
      </c>
      <c r="E61" s="59">
        <v>6819</v>
      </c>
      <c r="F61" s="59">
        <v>28468164</v>
      </c>
      <c r="G61" s="60">
        <v>6776</v>
      </c>
      <c r="H61" s="59">
        <v>448</v>
      </c>
      <c r="I61" s="61">
        <v>1448536.34</v>
      </c>
      <c r="J61" s="53">
        <v>6371</v>
      </c>
      <c r="K61" s="54">
        <v>27019627.66</v>
      </c>
      <c r="L61" s="59">
        <v>12021</v>
      </c>
      <c r="M61" s="96">
        <v>23053910.739999998</v>
      </c>
      <c r="N61" s="60">
        <v>9895</v>
      </c>
      <c r="O61" s="60">
        <v>128417.44</v>
      </c>
      <c r="P61" s="54">
        <v>114681.53</v>
      </c>
    </row>
    <row r="62" spans="2:16" x14ac:dyDescent="0.2">
      <c r="B62" s="72" t="s">
        <v>31</v>
      </c>
      <c r="C62" s="74">
        <v>20250206</v>
      </c>
      <c r="D62" s="52">
        <v>419</v>
      </c>
      <c r="E62" s="59">
        <v>6534</v>
      </c>
      <c r="F62" s="59">
        <v>26706402</v>
      </c>
      <c r="G62" s="60">
        <v>6487</v>
      </c>
      <c r="H62" s="59">
        <v>448</v>
      </c>
      <c r="I62" s="61">
        <v>1168294.18</v>
      </c>
      <c r="J62" s="53">
        <v>6086</v>
      </c>
      <c r="K62" s="54">
        <v>25538107.82</v>
      </c>
      <c r="L62" s="59">
        <v>11713</v>
      </c>
      <c r="M62" s="96">
        <v>22364707.82</v>
      </c>
      <c r="N62" s="60">
        <v>9651</v>
      </c>
      <c r="O62" s="60">
        <v>129783.07</v>
      </c>
      <c r="P62" s="54">
        <v>111525.31</v>
      </c>
    </row>
    <row r="63" spans="2:16" x14ac:dyDescent="0.2">
      <c r="B63" s="72" t="s">
        <v>31</v>
      </c>
      <c r="C63" s="74">
        <v>20250207</v>
      </c>
      <c r="D63" s="52">
        <v>418</v>
      </c>
      <c r="E63" s="59">
        <v>6294</v>
      </c>
      <c r="F63" s="59">
        <v>25321820</v>
      </c>
      <c r="G63" s="60">
        <v>6239</v>
      </c>
      <c r="H63" s="59">
        <v>451</v>
      </c>
      <c r="I63" s="61">
        <v>1114519.48</v>
      </c>
      <c r="J63" s="53">
        <v>5843</v>
      </c>
      <c r="K63" s="54">
        <v>24207300.52</v>
      </c>
      <c r="L63" s="59">
        <v>11223</v>
      </c>
      <c r="M63" s="96">
        <v>19831732.100000001</v>
      </c>
      <c r="N63" s="60">
        <v>9047</v>
      </c>
      <c r="O63" s="60">
        <v>130802.58000000002</v>
      </c>
      <c r="P63" s="54">
        <v>95437.75</v>
      </c>
    </row>
    <row r="64" spans="2:16" x14ac:dyDescent="0.2">
      <c r="B64" s="72" t="s">
        <v>31</v>
      </c>
      <c r="C64" s="74">
        <v>20250208</v>
      </c>
      <c r="D64" s="52">
        <v>417</v>
      </c>
      <c r="E64" s="59">
        <v>6150</v>
      </c>
      <c r="F64" s="59">
        <v>24432840</v>
      </c>
      <c r="G64" s="60">
        <v>6093</v>
      </c>
      <c r="H64" s="59">
        <v>385</v>
      </c>
      <c r="I64" s="61">
        <v>933080.26</v>
      </c>
      <c r="J64" s="53">
        <v>5765</v>
      </c>
      <c r="K64" s="54">
        <v>23499759.739999998</v>
      </c>
      <c r="L64" s="59">
        <v>10852</v>
      </c>
      <c r="M64" s="96">
        <v>17946273.489999998</v>
      </c>
      <c r="N64" s="60">
        <v>8683</v>
      </c>
      <c r="O64" s="60">
        <v>132089.16999999998</v>
      </c>
      <c r="P64" s="54">
        <v>85065.84</v>
      </c>
    </row>
    <row r="65" spans="2:16" x14ac:dyDescent="0.2">
      <c r="B65" s="72" t="s">
        <v>31</v>
      </c>
      <c r="C65" s="74">
        <v>20250209</v>
      </c>
      <c r="D65" s="52">
        <v>416</v>
      </c>
      <c r="E65" s="59">
        <v>5460</v>
      </c>
      <c r="F65" s="59">
        <v>20246381</v>
      </c>
      <c r="G65" s="60">
        <v>5425</v>
      </c>
      <c r="H65" s="59">
        <v>358</v>
      </c>
      <c r="I65" s="61">
        <v>937601.97</v>
      </c>
      <c r="J65" s="53">
        <v>5102</v>
      </c>
      <c r="K65" s="54">
        <v>19308779.030000001</v>
      </c>
      <c r="L65" s="59">
        <v>9360</v>
      </c>
      <c r="M65" s="96">
        <v>14399196.18</v>
      </c>
      <c r="N65" s="60">
        <v>7477</v>
      </c>
      <c r="O65" s="60">
        <v>133535.23000000001</v>
      </c>
      <c r="P65" s="54">
        <v>68948.86</v>
      </c>
    </row>
    <row r="66" spans="2:16" x14ac:dyDescent="0.2">
      <c r="B66" s="72" t="s">
        <v>31</v>
      </c>
      <c r="C66" s="74">
        <v>20250210</v>
      </c>
      <c r="D66" s="52">
        <v>415</v>
      </c>
      <c r="E66" s="59">
        <v>3276</v>
      </c>
      <c r="F66" s="59">
        <v>14121407</v>
      </c>
      <c r="G66" s="60">
        <v>3261</v>
      </c>
      <c r="H66" s="59">
        <v>203</v>
      </c>
      <c r="I66" s="61">
        <v>550624.75</v>
      </c>
      <c r="J66" s="53">
        <v>3073</v>
      </c>
      <c r="K66" s="54">
        <v>13570782.25</v>
      </c>
      <c r="L66" s="59">
        <v>11081</v>
      </c>
      <c r="M66" s="96">
        <v>19705476.010000002</v>
      </c>
      <c r="N66" s="60">
        <v>9020</v>
      </c>
      <c r="O66" s="60">
        <v>134939.65999999997</v>
      </c>
      <c r="P66" s="54">
        <v>98191.56</v>
      </c>
    </row>
    <row r="67" spans="2:16" x14ac:dyDescent="0.2">
      <c r="B67" s="72" t="s">
        <v>31</v>
      </c>
      <c r="C67" s="74">
        <v>20250211</v>
      </c>
      <c r="D67" s="52">
        <v>414</v>
      </c>
      <c r="E67" s="59">
        <v>5604</v>
      </c>
      <c r="F67" s="59">
        <v>24303740</v>
      </c>
      <c r="G67" s="60">
        <v>5568</v>
      </c>
      <c r="H67" s="59">
        <v>397</v>
      </c>
      <c r="I67" s="61">
        <v>1026093.61</v>
      </c>
      <c r="J67" s="53">
        <v>5207</v>
      </c>
      <c r="K67" s="54">
        <v>23277646.390000001</v>
      </c>
      <c r="L67" s="59">
        <v>12702</v>
      </c>
      <c r="M67" s="96">
        <v>24350167.489999998</v>
      </c>
      <c r="N67" s="60">
        <v>10574</v>
      </c>
      <c r="O67" s="60">
        <v>133773.25</v>
      </c>
      <c r="P67" s="54">
        <v>121407.01999999999</v>
      </c>
    </row>
    <row r="68" spans="2:16" x14ac:dyDescent="0.2">
      <c r="B68" s="72" t="s">
        <v>31</v>
      </c>
      <c r="C68" s="74">
        <v>20250212</v>
      </c>
      <c r="D68" s="52">
        <v>413</v>
      </c>
      <c r="E68" s="59">
        <v>7716</v>
      </c>
      <c r="F68" s="59">
        <v>31443235</v>
      </c>
      <c r="G68" s="60">
        <v>7662</v>
      </c>
      <c r="H68" s="59">
        <v>553</v>
      </c>
      <c r="I68" s="61">
        <v>1512231.94</v>
      </c>
      <c r="J68" s="53">
        <v>7163</v>
      </c>
      <c r="K68" s="54">
        <v>29931003.059999999</v>
      </c>
      <c r="L68" s="59">
        <v>11448</v>
      </c>
      <c r="M68" s="96">
        <v>20952194.77</v>
      </c>
      <c r="N68" s="60">
        <v>9321</v>
      </c>
      <c r="O68" s="60">
        <v>133756.67000000001</v>
      </c>
      <c r="P68" s="54">
        <v>103974.38</v>
      </c>
    </row>
    <row r="69" spans="2:16" x14ac:dyDescent="0.2">
      <c r="B69" s="72" t="s">
        <v>31</v>
      </c>
      <c r="C69" s="74">
        <v>20250213</v>
      </c>
      <c r="D69" s="52">
        <v>412</v>
      </c>
      <c r="E69" s="59">
        <v>5658</v>
      </c>
      <c r="F69" s="59">
        <v>22757660</v>
      </c>
      <c r="G69" s="60">
        <v>5630</v>
      </c>
      <c r="H69" s="59">
        <v>386</v>
      </c>
      <c r="I69" s="61">
        <v>1202682.05</v>
      </c>
      <c r="J69" s="53">
        <v>5272</v>
      </c>
      <c r="K69" s="54">
        <v>21554977.949999999</v>
      </c>
      <c r="L69" s="59">
        <v>10662</v>
      </c>
      <c r="M69" s="96">
        <v>18392624.52</v>
      </c>
      <c r="N69" s="60">
        <v>8715</v>
      </c>
      <c r="O69" s="60">
        <v>136179.18</v>
      </c>
      <c r="P69" s="54">
        <v>89565.39</v>
      </c>
    </row>
    <row r="70" spans="2:16" x14ac:dyDescent="0.2">
      <c r="B70" s="72" t="s">
        <v>31</v>
      </c>
      <c r="C70" s="74">
        <v>20250214</v>
      </c>
      <c r="D70" s="52">
        <v>411</v>
      </c>
      <c r="E70" s="59">
        <v>5731</v>
      </c>
      <c r="F70" s="59">
        <v>23223521</v>
      </c>
      <c r="G70" s="60">
        <v>5696</v>
      </c>
      <c r="H70" s="59">
        <v>383</v>
      </c>
      <c r="I70" s="61">
        <v>1046627.11</v>
      </c>
      <c r="J70" s="53">
        <v>5348</v>
      </c>
      <c r="K70" s="54">
        <v>22176893.890000001</v>
      </c>
      <c r="L70" s="59">
        <v>10626</v>
      </c>
      <c r="M70" s="96">
        <v>19126691.370000001</v>
      </c>
      <c r="N70" s="60">
        <v>8629</v>
      </c>
      <c r="O70" s="60">
        <v>137236.03</v>
      </c>
      <c r="P70" s="54">
        <v>92564.38</v>
      </c>
    </row>
    <row r="71" spans="2:16" x14ac:dyDescent="0.2">
      <c r="B71" s="72" t="s">
        <v>31</v>
      </c>
      <c r="C71" s="74">
        <v>20250215</v>
      </c>
      <c r="D71" s="52">
        <v>410</v>
      </c>
      <c r="E71" s="59">
        <v>5946</v>
      </c>
      <c r="F71" s="59">
        <v>24356269</v>
      </c>
      <c r="G71" s="60">
        <v>5904</v>
      </c>
      <c r="H71" s="59">
        <v>389</v>
      </c>
      <c r="I71" s="61">
        <v>1074489.43</v>
      </c>
      <c r="J71" s="53">
        <v>5557</v>
      </c>
      <c r="K71" s="54">
        <v>23281779.57</v>
      </c>
      <c r="L71" s="59">
        <v>10894</v>
      </c>
      <c r="M71" s="96">
        <v>19939348.190000001</v>
      </c>
      <c r="N71" s="60">
        <v>8890</v>
      </c>
      <c r="O71" s="60">
        <v>138252.51</v>
      </c>
      <c r="P71" s="54">
        <v>98397</v>
      </c>
    </row>
    <row r="72" spans="2:16" x14ac:dyDescent="0.2">
      <c r="B72" s="72" t="s">
        <v>31</v>
      </c>
      <c r="C72" s="74">
        <v>20250216</v>
      </c>
      <c r="D72" s="52">
        <v>409</v>
      </c>
      <c r="E72" s="59">
        <v>5075</v>
      </c>
      <c r="F72" s="59">
        <v>19200050</v>
      </c>
      <c r="G72" s="60">
        <v>5045</v>
      </c>
      <c r="H72" s="59">
        <v>342</v>
      </c>
      <c r="I72" s="61">
        <v>821753.16</v>
      </c>
      <c r="J72" s="53">
        <v>4733</v>
      </c>
      <c r="K72" s="54">
        <v>18378296.84</v>
      </c>
      <c r="L72" s="59">
        <v>9369</v>
      </c>
      <c r="M72" s="96">
        <v>15654437.970000001</v>
      </c>
      <c r="N72" s="60">
        <v>7601</v>
      </c>
      <c r="O72" s="60">
        <v>139315.39000000001</v>
      </c>
      <c r="P72" s="54">
        <v>76552.78</v>
      </c>
    </row>
    <row r="73" spans="2:16" x14ac:dyDescent="0.2">
      <c r="B73" s="72" t="s">
        <v>31</v>
      </c>
      <c r="C73" s="74">
        <v>20250217</v>
      </c>
      <c r="D73" s="52">
        <v>408</v>
      </c>
      <c r="E73" s="59">
        <v>5576</v>
      </c>
      <c r="F73" s="59">
        <v>23676686</v>
      </c>
      <c r="G73" s="60">
        <v>5541</v>
      </c>
      <c r="H73" s="59">
        <v>316</v>
      </c>
      <c r="I73" s="61">
        <v>812728.5</v>
      </c>
      <c r="J73" s="53">
        <v>5260</v>
      </c>
      <c r="K73" s="54">
        <v>22863957.5</v>
      </c>
      <c r="L73" s="59">
        <v>11300</v>
      </c>
      <c r="M73" s="96">
        <v>20816725.57</v>
      </c>
      <c r="N73" s="60">
        <v>9202</v>
      </c>
      <c r="O73" s="60">
        <v>140262.01999999999</v>
      </c>
      <c r="P73" s="54">
        <v>107933.7</v>
      </c>
    </row>
    <row r="74" spans="2:16" x14ac:dyDescent="0.2">
      <c r="B74" s="72" t="s">
        <v>31</v>
      </c>
      <c r="C74" s="74">
        <v>20250218</v>
      </c>
      <c r="D74" s="52">
        <v>407</v>
      </c>
      <c r="E74" s="59">
        <v>7055</v>
      </c>
      <c r="F74" s="59">
        <v>26537751</v>
      </c>
      <c r="G74" s="60">
        <v>7004</v>
      </c>
      <c r="H74" s="59">
        <v>502</v>
      </c>
      <c r="I74" s="61">
        <v>1268469.8600000001</v>
      </c>
      <c r="J74" s="53">
        <v>6553</v>
      </c>
      <c r="K74" s="54">
        <v>25269281.140000001</v>
      </c>
      <c r="L74" s="59">
        <v>13445</v>
      </c>
      <c r="M74" s="96">
        <v>23734229.109999999</v>
      </c>
      <c r="N74" s="60">
        <v>11122</v>
      </c>
      <c r="O74" s="60">
        <v>141020.11000000002</v>
      </c>
      <c r="P74" s="54">
        <v>117564.09</v>
      </c>
    </row>
    <row r="75" spans="2:16" x14ac:dyDescent="0.2">
      <c r="B75" s="72" t="s">
        <v>31</v>
      </c>
      <c r="C75" s="74">
        <v>20250219</v>
      </c>
      <c r="D75" s="52">
        <v>406</v>
      </c>
      <c r="E75" s="59">
        <v>5312</v>
      </c>
      <c r="F75" s="59">
        <v>21444027</v>
      </c>
      <c r="G75" s="60">
        <v>5270</v>
      </c>
      <c r="H75" s="59">
        <v>359</v>
      </c>
      <c r="I75" s="61">
        <v>955158.53</v>
      </c>
      <c r="J75" s="53">
        <v>4953</v>
      </c>
      <c r="K75" s="54">
        <v>20488868.469999999</v>
      </c>
      <c r="L75" s="59">
        <v>10855</v>
      </c>
      <c r="M75" s="96">
        <v>18445831.760000002</v>
      </c>
      <c r="N75" s="60">
        <v>8843</v>
      </c>
      <c r="O75" s="60">
        <v>141690.49</v>
      </c>
      <c r="P75" s="54">
        <v>91455.15</v>
      </c>
    </row>
    <row r="76" spans="2:16" x14ac:dyDescent="0.2">
      <c r="B76" s="72" t="s">
        <v>31</v>
      </c>
      <c r="C76" s="74">
        <v>20250220</v>
      </c>
      <c r="D76" s="52">
        <v>405</v>
      </c>
      <c r="E76" s="59">
        <v>5045</v>
      </c>
      <c r="F76" s="59">
        <v>20036253</v>
      </c>
      <c r="G76" s="60">
        <v>5007</v>
      </c>
      <c r="H76" s="59">
        <v>300</v>
      </c>
      <c r="I76" s="61">
        <v>702915.83</v>
      </c>
      <c r="J76" s="53">
        <v>4745</v>
      </c>
      <c r="K76" s="54">
        <v>19333337.170000002</v>
      </c>
      <c r="L76" s="59">
        <v>10821</v>
      </c>
      <c r="M76" s="96">
        <v>18392474.16</v>
      </c>
      <c r="N76" s="60">
        <v>8798</v>
      </c>
      <c r="O76" s="60">
        <v>142554.16</v>
      </c>
      <c r="P76" s="54">
        <v>91059.01</v>
      </c>
    </row>
    <row r="77" spans="2:16" x14ac:dyDescent="0.2">
      <c r="B77" s="72" t="s">
        <v>31</v>
      </c>
      <c r="C77" s="74">
        <v>20250221</v>
      </c>
      <c r="D77" s="52">
        <v>404</v>
      </c>
      <c r="E77" s="59">
        <v>5164</v>
      </c>
      <c r="F77" s="59">
        <v>20797703</v>
      </c>
      <c r="G77" s="60">
        <v>5120</v>
      </c>
      <c r="H77" s="59">
        <v>344</v>
      </c>
      <c r="I77" s="61">
        <v>803348.73</v>
      </c>
      <c r="J77" s="53">
        <v>4820</v>
      </c>
      <c r="K77" s="54">
        <v>19994354.27</v>
      </c>
      <c r="L77" s="59">
        <v>10534</v>
      </c>
      <c r="M77" s="96">
        <v>18941668.25</v>
      </c>
      <c r="N77" s="60">
        <v>8541</v>
      </c>
      <c r="O77" s="60">
        <v>143047.16</v>
      </c>
      <c r="P77" s="54">
        <v>95236.99</v>
      </c>
    </row>
    <row r="78" spans="2:16" x14ac:dyDescent="0.2">
      <c r="B78" s="72" t="s">
        <v>31</v>
      </c>
      <c r="C78" s="74">
        <v>20250222</v>
      </c>
      <c r="D78" s="52">
        <v>403</v>
      </c>
      <c r="E78" s="59">
        <v>5052</v>
      </c>
      <c r="F78" s="59">
        <v>20500478</v>
      </c>
      <c r="G78" s="60">
        <v>5021</v>
      </c>
      <c r="H78" s="59">
        <v>345</v>
      </c>
      <c r="I78" s="61">
        <v>890162.31</v>
      </c>
      <c r="J78" s="53">
        <v>4707</v>
      </c>
      <c r="K78" s="54">
        <v>19610315.690000001</v>
      </c>
      <c r="L78" s="59">
        <v>10163</v>
      </c>
      <c r="M78" s="96">
        <v>17646904.84</v>
      </c>
      <c r="N78" s="60">
        <v>8205</v>
      </c>
      <c r="O78" s="60">
        <v>143545.51</v>
      </c>
      <c r="P78" s="54">
        <v>85380.81</v>
      </c>
    </row>
    <row r="79" spans="2:16" x14ac:dyDescent="0.2">
      <c r="B79" s="72" t="s">
        <v>31</v>
      </c>
      <c r="C79" s="74">
        <v>20250223</v>
      </c>
      <c r="D79" s="52">
        <v>402</v>
      </c>
      <c r="E79" s="59">
        <v>4250</v>
      </c>
      <c r="F79" s="59">
        <v>15675532</v>
      </c>
      <c r="G79" s="60">
        <v>4222</v>
      </c>
      <c r="H79" s="59">
        <v>319</v>
      </c>
      <c r="I79" s="61">
        <v>813818.8</v>
      </c>
      <c r="J79" s="53">
        <v>3931</v>
      </c>
      <c r="K79" s="54">
        <v>14861713.199999999</v>
      </c>
      <c r="L79" s="59">
        <v>8497</v>
      </c>
      <c r="M79" s="96">
        <v>12226609.6</v>
      </c>
      <c r="N79" s="60">
        <v>6831</v>
      </c>
      <c r="O79" s="60">
        <v>144287.13</v>
      </c>
      <c r="P79" s="54">
        <v>63217.05</v>
      </c>
    </row>
    <row r="80" spans="2:16" x14ac:dyDescent="0.2">
      <c r="B80" s="72" t="s">
        <v>31</v>
      </c>
      <c r="C80" s="74">
        <v>20250224</v>
      </c>
      <c r="D80" s="52">
        <v>401</v>
      </c>
      <c r="E80" s="59">
        <v>4644</v>
      </c>
      <c r="F80" s="59">
        <v>19306046</v>
      </c>
      <c r="G80" s="60">
        <v>4628</v>
      </c>
      <c r="H80" s="59">
        <v>306</v>
      </c>
      <c r="I80" s="61">
        <v>842908.63</v>
      </c>
      <c r="J80" s="53">
        <v>4338</v>
      </c>
      <c r="K80" s="54">
        <v>18463137.370000001</v>
      </c>
      <c r="L80" s="59">
        <v>10247</v>
      </c>
      <c r="M80" s="96">
        <v>17583375.559999999</v>
      </c>
      <c r="N80" s="60">
        <v>8364</v>
      </c>
      <c r="O80" s="60">
        <v>145181.53999999998</v>
      </c>
      <c r="P80" s="54">
        <v>91980.08</v>
      </c>
    </row>
    <row r="81" spans="1:16" x14ac:dyDescent="0.2">
      <c r="B81" s="72" t="s">
        <v>31</v>
      </c>
      <c r="C81" s="74">
        <v>20250225</v>
      </c>
      <c r="D81" s="52">
        <v>400</v>
      </c>
      <c r="E81" s="59">
        <v>4776</v>
      </c>
      <c r="F81" s="59">
        <v>20942622</v>
      </c>
      <c r="G81" s="60">
        <v>4756</v>
      </c>
      <c r="H81" s="59">
        <v>269</v>
      </c>
      <c r="I81" s="61">
        <v>798826.29</v>
      </c>
      <c r="J81" s="53">
        <v>4507</v>
      </c>
      <c r="K81" s="54">
        <v>20143795.710000001</v>
      </c>
      <c r="L81" s="59">
        <v>11012</v>
      </c>
      <c r="M81" s="96">
        <v>21195572.940000001</v>
      </c>
      <c r="N81" s="60">
        <v>9019</v>
      </c>
      <c r="O81" s="60">
        <v>145672.59</v>
      </c>
      <c r="P81" s="54">
        <v>113528.04999999999</v>
      </c>
    </row>
    <row r="82" spans="1:16" x14ac:dyDescent="0.2">
      <c r="B82" s="72" t="s">
        <v>31</v>
      </c>
      <c r="C82" s="74">
        <v>20250226</v>
      </c>
      <c r="D82" s="52">
        <v>399</v>
      </c>
      <c r="E82" s="59">
        <v>5061</v>
      </c>
      <c r="F82" s="59">
        <v>22724550</v>
      </c>
      <c r="G82" s="60">
        <v>5026</v>
      </c>
      <c r="H82" s="59">
        <v>336</v>
      </c>
      <c r="I82" s="61">
        <v>941260.04</v>
      </c>
      <c r="J82" s="53">
        <v>4725</v>
      </c>
      <c r="K82" s="54">
        <v>21783289.960000001</v>
      </c>
      <c r="L82" s="59">
        <v>12321</v>
      </c>
      <c r="M82" s="96">
        <v>26043177.579999998</v>
      </c>
      <c r="N82" s="60">
        <v>10119</v>
      </c>
      <c r="O82" s="60">
        <v>145672.76</v>
      </c>
      <c r="P82" s="54">
        <v>139234.22999999998</v>
      </c>
    </row>
    <row r="83" spans="1:16" x14ac:dyDescent="0.2">
      <c r="B83" s="72" t="s">
        <v>31</v>
      </c>
      <c r="C83" s="74">
        <v>20250227</v>
      </c>
      <c r="D83" s="52">
        <v>398</v>
      </c>
      <c r="E83" s="59">
        <v>5548</v>
      </c>
      <c r="F83" s="59">
        <v>23944958</v>
      </c>
      <c r="G83" s="60">
        <v>5515</v>
      </c>
      <c r="H83" s="59">
        <v>369</v>
      </c>
      <c r="I83" s="61">
        <v>994926.34</v>
      </c>
      <c r="J83" s="53">
        <v>5179</v>
      </c>
      <c r="K83" s="54">
        <v>22950031.66</v>
      </c>
      <c r="L83" s="59">
        <v>12247</v>
      </c>
      <c r="M83" s="96">
        <v>24798494.030000001</v>
      </c>
      <c r="N83" s="60">
        <v>10090</v>
      </c>
      <c r="O83" s="60">
        <v>145014.48000000001</v>
      </c>
      <c r="P83" s="54">
        <v>131386.76</v>
      </c>
    </row>
    <row r="84" spans="1:16" x14ac:dyDescent="0.2">
      <c r="B84" s="72" t="s">
        <v>31</v>
      </c>
      <c r="C84" s="74">
        <v>20250228</v>
      </c>
      <c r="D84" s="52">
        <v>397</v>
      </c>
      <c r="E84" s="59">
        <v>6138</v>
      </c>
      <c r="F84" s="59">
        <v>27548389</v>
      </c>
      <c r="G84" s="60">
        <v>6111</v>
      </c>
      <c r="H84" s="59">
        <v>388</v>
      </c>
      <c r="I84" s="61">
        <v>1175166.56</v>
      </c>
      <c r="J84" s="53">
        <v>5750</v>
      </c>
      <c r="K84" s="54">
        <v>26373222.440000001</v>
      </c>
      <c r="L84" s="59">
        <v>13318</v>
      </c>
      <c r="M84" s="96">
        <v>29387485.370000001</v>
      </c>
      <c r="N84" s="60">
        <v>11033</v>
      </c>
      <c r="O84" s="60">
        <v>144907.94</v>
      </c>
      <c r="P84" s="62">
        <v>155592.26999999999</v>
      </c>
    </row>
    <row r="85" spans="1:16" x14ac:dyDescent="0.2">
      <c r="A85" s="52"/>
      <c r="B85" s="72">
        <v>205203</v>
      </c>
      <c r="C85" s="73">
        <v>20250301</v>
      </c>
      <c r="D85" s="52">
        <v>396</v>
      </c>
      <c r="E85" s="63">
        <v>6826</v>
      </c>
      <c r="F85" s="63">
        <v>30943172</v>
      </c>
      <c r="G85" s="64">
        <v>6772</v>
      </c>
      <c r="H85" s="59">
        <v>386</v>
      </c>
      <c r="I85" s="65">
        <v>1318904.8500000001</v>
      </c>
      <c r="J85" s="53">
        <v>6440</v>
      </c>
      <c r="K85" s="54">
        <v>29624267.149999999</v>
      </c>
      <c r="L85" s="63">
        <v>13603</v>
      </c>
      <c r="M85" s="97">
        <v>30691955.300000001</v>
      </c>
      <c r="N85" s="64">
        <v>11223</v>
      </c>
      <c r="O85" s="66">
        <v>144600.28999999998</v>
      </c>
      <c r="P85" s="66">
        <v>156818.76</v>
      </c>
    </row>
    <row r="86" spans="1:16" x14ac:dyDescent="0.2">
      <c r="A86" s="52"/>
      <c r="B86" s="72">
        <v>205203</v>
      </c>
      <c r="C86" s="73">
        <v>20250302</v>
      </c>
      <c r="D86" s="52">
        <v>395</v>
      </c>
      <c r="E86" s="63">
        <v>6121</v>
      </c>
      <c r="F86" s="63">
        <v>25359846</v>
      </c>
      <c r="G86" s="64">
        <v>6079</v>
      </c>
      <c r="H86" s="59">
        <v>347</v>
      </c>
      <c r="I86" s="65">
        <v>810032.91</v>
      </c>
      <c r="J86" s="53">
        <v>5774</v>
      </c>
      <c r="K86" s="54">
        <v>24549813.09</v>
      </c>
      <c r="L86" s="63">
        <v>11458</v>
      </c>
      <c r="M86" s="97">
        <v>22450781.620000001</v>
      </c>
      <c r="N86" s="64">
        <v>9342</v>
      </c>
      <c r="O86" s="66">
        <v>144917.84999999998</v>
      </c>
      <c r="P86" s="66">
        <v>121398.06</v>
      </c>
    </row>
    <row r="87" spans="1:16" x14ac:dyDescent="0.2">
      <c r="A87" s="52"/>
      <c r="B87" s="72">
        <v>205203</v>
      </c>
      <c r="C87" s="73">
        <v>20250303</v>
      </c>
      <c r="D87" s="52">
        <v>394</v>
      </c>
      <c r="E87" s="63">
        <v>10250</v>
      </c>
      <c r="F87" s="63">
        <v>43210237</v>
      </c>
      <c r="G87" s="64">
        <v>10206</v>
      </c>
      <c r="H87" s="59">
        <v>808</v>
      </c>
      <c r="I87" s="65">
        <v>2019007.08</v>
      </c>
      <c r="J87" s="53">
        <v>9442</v>
      </c>
      <c r="K87" s="54">
        <v>41191229.920000002</v>
      </c>
      <c r="L87" s="63">
        <v>16340</v>
      </c>
      <c r="M87" s="97">
        <v>37007483.579999998</v>
      </c>
      <c r="N87" s="64">
        <v>13899</v>
      </c>
      <c r="O87" s="66">
        <v>145712.68</v>
      </c>
      <c r="P87" s="66">
        <v>188193.69</v>
      </c>
    </row>
    <row r="88" spans="1:16" x14ac:dyDescent="0.2">
      <c r="A88" s="52"/>
      <c r="B88" s="72">
        <v>205203</v>
      </c>
      <c r="C88" s="73">
        <v>20250304</v>
      </c>
      <c r="D88" s="52">
        <v>393</v>
      </c>
      <c r="E88" s="63">
        <v>8133</v>
      </c>
      <c r="F88" s="63">
        <v>36818961</v>
      </c>
      <c r="G88" s="64">
        <v>8093</v>
      </c>
      <c r="H88" s="59">
        <v>535</v>
      </c>
      <c r="I88" s="65">
        <v>1833647.8</v>
      </c>
      <c r="J88" s="53">
        <v>7598</v>
      </c>
      <c r="K88" s="54">
        <v>34985313.200000003</v>
      </c>
      <c r="L88" s="63">
        <v>15342</v>
      </c>
      <c r="M88" s="97">
        <v>31926043.170000002</v>
      </c>
      <c r="N88" s="64">
        <v>12878</v>
      </c>
      <c r="O88" s="66">
        <v>147112.03</v>
      </c>
      <c r="P88" s="66">
        <v>161167.84999999998</v>
      </c>
    </row>
    <row r="89" spans="1:16" x14ac:dyDescent="0.2">
      <c r="A89" s="52"/>
      <c r="B89" s="72">
        <v>205203</v>
      </c>
      <c r="C89" s="73">
        <v>20250305</v>
      </c>
      <c r="D89" s="52">
        <v>392</v>
      </c>
      <c r="E89" s="63">
        <v>13148</v>
      </c>
      <c r="F89" s="63">
        <v>55704109</v>
      </c>
      <c r="G89" s="64">
        <v>13082</v>
      </c>
      <c r="H89" s="59">
        <v>1037</v>
      </c>
      <c r="I89" s="65">
        <v>3283761.39</v>
      </c>
      <c r="J89" s="53">
        <v>12111</v>
      </c>
      <c r="K89" s="54">
        <v>52420347.609999999</v>
      </c>
      <c r="L89" s="63">
        <v>14260</v>
      </c>
      <c r="M89" s="97">
        <v>27456377.379999999</v>
      </c>
      <c r="N89" s="64">
        <v>11800</v>
      </c>
      <c r="O89" s="66">
        <v>148178.27000000002</v>
      </c>
      <c r="P89" s="66">
        <v>141238.52000000002</v>
      </c>
    </row>
    <row r="90" spans="1:16" x14ac:dyDescent="0.2">
      <c r="A90" s="52"/>
      <c r="B90" s="72">
        <v>205203</v>
      </c>
      <c r="C90" s="73">
        <v>20250306</v>
      </c>
      <c r="D90" s="52">
        <v>391</v>
      </c>
      <c r="E90" s="63">
        <v>9987</v>
      </c>
      <c r="F90" s="63">
        <v>40794186</v>
      </c>
      <c r="G90" s="64">
        <v>9916</v>
      </c>
      <c r="H90" s="59">
        <v>697</v>
      </c>
      <c r="I90" s="65">
        <v>1803823.4</v>
      </c>
      <c r="J90" s="53">
        <v>9290</v>
      </c>
      <c r="K90" s="54">
        <v>38990362.600000001</v>
      </c>
      <c r="L90" s="63">
        <v>14216</v>
      </c>
      <c r="M90" s="97">
        <v>26658982.300000001</v>
      </c>
      <c r="N90" s="64">
        <v>11603</v>
      </c>
      <c r="O90" s="66">
        <v>154411.5</v>
      </c>
      <c r="P90" s="66">
        <v>140097.34</v>
      </c>
    </row>
    <row r="91" spans="1:16" x14ac:dyDescent="0.2">
      <c r="A91" s="52"/>
      <c r="B91" s="72">
        <v>205203</v>
      </c>
      <c r="C91" s="73">
        <v>20250307</v>
      </c>
      <c r="D91" s="52">
        <v>390</v>
      </c>
      <c r="E91" s="63">
        <v>11871</v>
      </c>
      <c r="F91" s="63">
        <v>37671392</v>
      </c>
      <c r="G91" s="64">
        <v>11774</v>
      </c>
      <c r="H91" s="59">
        <v>1355</v>
      </c>
      <c r="I91" s="65">
        <v>2012162.04</v>
      </c>
      <c r="J91" s="53">
        <v>10516</v>
      </c>
      <c r="K91" s="54">
        <v>35659229.960000001</v>
      </c>
      <c r="L91" s="63">
        <v>14005</v>
      </c>
      <c r="M91" s="97">
        <v>24248368.510000002</v>
      </c>
      <c r="N91" s="64">
        <v>11480</v>
      </c>
      <c r="O91" s="66">
        <v>157667.82</v>
      </c>
      <c r="P91" s="66">
        <v>120919.61</v>
      </c>
    </row>
    <row r="92" spans="1:16" x14ac:dyDescent="0.2">
      <c r="A92" s="52"/>
      <c r="B92" s="72">
        <v>205203</v>
      </c>
      <c r="C92" s="73">
        <v>20250308</v>
      </c>
      <c r="D92" s="52">
        <v>389</v>
      </c>
      <c r="E92" s="63">
        <v>7404</v>
      </c>
      <c r="F92" s="63">
        <v>25556770</v>
      </c>
      <c r="G92" s="64">
        <v>7350</v>
      </c>
      <c r="H92" s="59">
        <v>686</v>
      </c>
      <c r="I92" s="65">
        <v>1285138.01</v>
      </c>
      <c r="J92" s="53">
        <v>6718</v>
      </c>
      <c r="K92" s="54">
        <v>24271631.989999998</v>
      </c>
      <c r="L92" s="63">
        <v>12460</v>
      </c>
      <c r="M92" s="97">
        <v>20529872.260000002</v>
      </c>
      <c r="N92" s="64">
        <v>10098</v>
      </c>
      <c r="O92" s="66">
        <v>160709.53000000003</v>
      </c>
      <c r="P92" s="66">
        <v>101026.66</v>
      </c>
    </row>
    <row r="93" spans="1:16" x14ac:dyDescent="0.2">
      <c r="A93" s="52"/>
      <c r="B93" s="72">
        <v>205203</v>
      </c>
      <c r="C93" s="73">
        <v>20250309</v>
      </c>
      <c r="D93" s="52">
        <v>388</v>
      </c>
      <c r="E93" s="63">
        <v>5696</v>
      </c>
      <c r="F93" s="63">
        <v>20427497</v>
      </c>
      <c r="G93" s="64">
        <v>5637</v>
      </c>
      <c r="H93" s="59">
        <v>462</v>
      </c>
      <c r="I93" s="65">
        <v>1004367.45</v>
      </c>
      <c r="J93" s="53">
        <v>5234</v>
      </c>
      <c r="K93" s="54">
        <v>19423129.550000001</v>
      </c>
      <c r="L93" s="63">
        <v>10417</v>
      </c>
      <c r="M93" s="97">
        <v>15716223.720000001</v>
      </c>
      <c r="N93" s="64">
        <v>8463</v>
      </c>
      <c r="O93" s="66">
        <v>161983.53</v>
      </c>
      <c r="P93" s="66">
        <v>76273.11</v>
      </c>
    </row>
    <row r="94" spans="1:16" x14ac:dyDescent="0.2">
      <c r="A94" s="52"/>
      <c r="B94" s="72">
        <v>205203</v>
      </c>
      <c r="C94" s="73">
        <v>20250310</v>
      </c>
      <c r="D94" s="52">
        <v>387</v>
      </c>
      <c r="E94" s="63">
        <v>9460</v>
      </c>
      <c r="F94" s="63">
        <v>38115199</v>
      </c>
      <c r="G94" s="64">
        <v>9403</v>
      </c>
      <c r="H94" s="59">
        <v>704</v>
      </c>
      <c r="I94" s="65">
        <v>1901046.11</v>
      </c>
      <c r="J94" s="53">
        <v>8756</v>
      </c>
      <c r="K94" s="54">
        <v>36214152.890000001</v>
      </c>
      <c r="L94" s="63">
        <v>12295</v>
      </c>
      <c r="M94" s="97">
        <v>21051172.379999999</v>
      </c>
      <c r="N94" s="64">
        <v>10044</v>
      </c>
      <c r="O94" s="66">
        <v>163206.01999999999</v>
      </c>
      <c r="P94" s="66">
        <v>106223.28</v>
      </c>
    </row>
    <row r="95" spans="1:16" x14ac:dyDescent="0.2">
      <c r="A95" s="52"/>
      <c r="B95" s="72">
        <v>205203</v>
      </c>
      <c r="C95" s="73">
        <v>20250311</v>
      </c>
      <c r="D95" s="52">
        <v>386</v>
      </c>
      <c r="E95" s="63">
        <v>7523</v>
      </c>
      <c r="F95" s="63">
        <v>28779435</v>
      </c>
      <c r="G95" s="64">
        <v>7422</v>
      </c>
      <c r="H95" s="59">
        <v>516</v>
      </c>
      <c r="I95" s="65">
        <v>1358711</v>
      </c>
      <c r="J95" s="53">
        <v>7007</v>
      </c>
      <c r="K95" s="54">
        <v>27420724</v>
      </c>
      <c r="L95" s="63">
        <v>12370</v>
      </c>
      <c r="M95" s="97">
        <v>20317275.93</v>
      </c>
      <c r="N95" s="64">
        <v>10022</v>
      </c>
      <c r="O95" s="66">
        <v>167036.69</v>
      </c>
      <c r="P95" s="66">
        <v>102691.25</v>
      </c>
    </row>
    <row r="96" spans="1:16" x14ac:dyDescent="0.2">
      <c r="A96" s="52"/>
      <c r="B96" s="72">
        <v>205203</v>
      </c>
      <c r="C96" s="73">
        <v>20250312</v>
      </c>
      <c r="D96" s="52">
        <v>385</v>
      </c>
      <c r="E96" s="63">
        <v>7015</v>
      </c>
      <c r="F96" s="63">
        <v>26391826</v>
      </c>
      <c r="G96" s="64">
        <v>6960</v>
      </c>
      <c r="H96" s="59">
        <v>534</v>
      </c>
      <c r="I96" s="65">
        <v>1315227.3400000001</v>
      </c>
      <c r="J96" s="53">
        <v>6481</v>
      </c>
      <c r="K96" s="54">
        <v>25076598.66</v>
      </c>
      <c r="L96" s="63">
        <v>12305</v>
      </c>
      <c r="M96" s="97">
        <v>19480644.5</v>
      </c>
      <c r="N96" s="64">
        <v>9987</v>
      </c>
      <c r="O96" s="66">
        <v>168964.55</v>
      </c>
      <c r="P96" s="66">
        <v>97323.35</v>
      </c>
    </row>
    <row r="97" spans="1:16" x14ac:dyDescent="0.2">
      <c r="A97" s="52"/>
      <c r="B97" s="72">
        <v>205203</v>
      </c>
      <c r="C97" s="73">
        <v>20250313</v>
      </c>
      <c r="D97" s="52">
        <v>384</v>
      </c>
      <c r="E97" s="63">
        <v>7017</v>
      </c>
      <c r="F97" s="63">
        <v>26333497</v>
      </c>
      <c r="G97" s="64">
        <v>6963</v>
      </c>
      <c r="H97" s="59">
        <v>512</v>
      </c>
      <c r="I97" s="65">
        <v>1080688.4099999999</v>
      </c>
      <c r="J97" s="53">
        <v>6505</v>
      </c>
      <c r="K97" s="54">
        <v>25252808.59</v>
      </c>
      <c r="L97" s="63">
        <v>12342</v>
      </c>
      <c r="M97" s="97">
        <v>19869085.579999998</v>
      </c>
      <c r="N97" s="64">
        <v>10024</v>
      </c>
      <c r="O97" s="66">
        <v>170521.24</v>
      </c>
      <c r="P97" s="66">
        <v>99590.19</v>
      </c>
    </row>
    <row r="98" spans="1:16" x14ac:dyDescent="0.2">
      <c r="A98" s="52"/>
      <c r="B98" s="72">
        <v>205203</v>
      </c>
      <c r="C98" s="73">
        <v>20250314</v>
      </c>
      <c r="D98" s="52">
        <v>383</v>
      </c>
      <c r="E98" s="63">
        <v>6854</v>
      </c>
      <c r="F98" s="63">
        <v>26939663</v>
      </c>
      <c r="G98" s="64">
        <v>6802</v>
      </c>
      <c r="H98" s="59">
        <v>446</v>
      </c>
      <c r="I98" s="65">
        <v>989787.05</v>
      </c>
      <c r="J98" s="53">
        <v>6408</v>
      </c>
      <c r="K98" s="54">
        <v>25949875.949999999</v>
      </c>
      <c r="L98" s="63">
        <v>12520</v>
      </c>
      <c r="M98" s="97">
        <v>20427891.59</v>
      </c>
      <c r="N98" s="64">
        <v>10119</v>
      </c>
      <c r="O98" s="66">
        <v>172066.91</v>
      </c>
      <c r="P98" s="66">
        <v>99613.989999999991</v>
      </c>
    </row>
    <row r="99" spans="1:16" x14ac:dyDescent="0.2">
      <c r="A99" s="52"/>
      <c r="B99" s="72">
        <v>205203</v>
      </c>
      <c r="C99" s="73">
        <v>20250315</v>
      </c>
      <c r="D99" s="52">
        <v>382</v>
      </c>
      <c r="E99" s="63">
        <v>6338</v>
      </c>
      <c r="F99" s="63">
        <v>24585303</v>
      </c>
      <c r="G99" s="64">
        <v>6301</v>
      </c>
      <c r="H99" s="59">
        <v>418</v>
      </c>
      <c r="I99" s="65">
        <v>1019853.94</v>
      </c>
      <c r="J99" s="53">
        <v>5920</v>
      </c>
      <c r="K99" s="54">
        <v>23565449.059999999</v>
      </c>
      <c r="L99" s="63">
        <v>12336</v>
      </c>
      <c r="M99" s="97">
        <v>20487386.399999999</v>
      </c>
      <c r="N99" s="64">
        <v>9935</v>
      </c>
      <c r="O99" s="66">
        <v>173669.03</v>
      </c>
      <c r="P99" s="66">
        <v>102855.62</v>
      </c>
    </row>
    <row r="100" spans="1:16" x14ac:dyDescent="0.2">
      <c r="A100" s="52"/>
      <c r="B100" s="72">
        <v>205203</v>
      </c>
      <c r="C100" s="73">
        <v>20250316</v>
      </c>
      <c r="D100" s="52">
        <v>381</v>
      </c>
      <c r="E100" s="63">
        <v>6274</v>
      </c>
      <c r="F100" s="63">
        <v>22423333</v>
      </c>
      <c r="G100" s="64">
        <v>6228</v>
      </c>
      <c r="H100" s="59">
        <v>404</v>
      </c>
      <c r="I100" s="65">
        <v>930777.96</v>
      </c>
      <c r="J100" s="53">
        <v>5870</v>
      </c>
      <c r="K100" s="54">
        <v>21492555.039999999</v>
      </c>
      <c r="L100" s="63">
        <v>11021</v>
      </c>
      <c r="M100" s="97">
        <v>16772526.710000001</v>
      </c>
      <c r="N100" s="64">
        <v>8883</v>
      </c>
      <c r="O100" s="66">
        <v>174711.11</v>
      </c>
      <c r="P100" s="66">
        <v>84508.62</v>
      </c>
    </row>
    <row r="101" spans="1:16" x14ac:dyDescent="0.2">
      <c r="A101" s="52"/>
      <c r="B101" s="72">
        <v>205203</v>
      </c>
      <c r="C101" s="73">
        <v>20250317</v>
      </c>
      <c r="D101" s="52">
        <v>380</v>
      </c>
      <c r="E101" s="63">
        <v>6094</v>
      </c>
      <c r="F101" s="63">
        <v>25321935</v>
      </c>
      <c r="G101" s="64">
        <v>6045</v>
      </c>
      <c r="H101" s="59">
        <v>320</v>
      </c>
      <c r="I101" s="65">
        <v>851598.73</v>
      </c>
      <c r="J101" s="53">
        <v>5774</v>
      </c>
      <c r="K101" s="54">
        <v>24470336.27</v>
      </c>
      <c r="L101" s="63">
        <v>13184</v>
      </c>
      <c r="M101" s="97">
        <v>22522630.719999999</v>
      </c>
      <c r="N101" s="64">
        <v>10805</v>
      </c>
      <c r="O101" s="66">
        <v>176103.41</v>
      </c>
      <c r="P101" s="66">
        <v>120259.73000000001</v>
      </c>
    </row>
    <row r="102" spans="1:16" x14ac:dyDescent="0.2">
      <c r="A102" s="52"/>
      <c r="B102" s="72">
        <v>205203</v>
      </c>
      <c r="C102" s="73">
        <v>20250318</v>
      </c>
      <c r="D102" s="52">
        <v>379</v>
      </c>
      <c r="E102" s="63">
        <v>6657</v>
      </c>
      <c r="F102" s="63">
        <v>23736161</v>
      </c>
      <c r="G102" s="64">
        <v>6612</v>
      </c>
      <c r="H102" s="59">
        <v>510</v>
      </c>
      <c r="I102" s="65">
        <v>1021827.11</v>
      </c>
      <c r="J102" s="53">
        <v>6147</v>
      </c>
      <c r="K102" s="54">
        <v>22714333.890000001</v>
      </c>
      <c r="L102" s="63">
        <v>13268</v>
      </c>
      <c r="M102" s="97">
        <v>21129496.109999999</v>
      </c>
      <c r="N102" s="64">
        <v>10871</v>
      </c>
      <c r="O102" s="66">
        <v>176799.81</v>
      </c>
      <c r="P102" s="66">
        <v>103917.68999999999</v>
      </c>
    </row>
    <row r="103" spans="1:16" x14ac:dyDescent="0.2">
      <c r="A103" s="52"/>
      <c r="B103" s="72">
        <v>205203</v>
      </c>
      <c r="C103" s="73">
        <v>20250319</v>
      </c>
      <c r="D103" s="52">
        <v>378</v>
      </c>
      <c r="E103" s="63">
        <v>7969</v>
      </c>
      <c r="F103" s="63">
        <v>26227780</v>
      </c>
      <c r="G103" s="64">
        <v>7899</v>
      </c>
      <c r="H103" s="59">
        <v>860</v>
      </c>
      <c r="I103" s="65">
        <v>1465226.51</v>
      </c>
      <c r="J103" s="53">
        <v>7109</v>
      </c>
      <c r="K103" s="54">
        <v>24762553.489999998</v>
      </c>
      <c r="L103" s="63">
        <v>13285</v>
      </c>
      <c r="M103" s="97">
        <v>20930217.920000002</v>
      </c>
      <c r="N103" s="64">
        <v>10847</v>
      </c>
      <c r="O103" s="66">
        <v>177442.91</v>
      </c>
      <c r="P103" s="66">
        <v>107029.6</v>
      </c>
    </row>
    <row r="104" spans="1:16" x14ac:dyDescent="0.2">
      <c r="A104" s="52"/>
      <c r="B104" s="72">
        <v>205203</v>
      </c>
      <c r="C104" s="73">
        <v>20250320</v>
      </c>
      <c r="D104" s="52">
        <v>377</v>
      </c>
      <c r="E104" s="63">
        <v>6929</v>
      </c>
      <c r="F104" s="63">
        <v>24977378</v>
      </c>
      <c r="G104" s="64">
        <v>6880</v>
      </c>
      <c r="H104" s="59">
        <v>570</v>
      </c>
      <c r="I104" s="65">
        <v>1043391.21</v>
      </c>
      <c r="J104" s="53">
        <v>6359</v>
      </c>
      <c r="K104" s="54">
        <v>23933986.789999999</v>
      </c>
      <c r="L104" s="63">
        <v>12785</v>
      </c>
      <c r="M104" s="97">
        <v>21017393.789999999</v>
      </c>
      <c r="N104" s="64">
        <v>10468</v>
      </c>
      <c r="O104" s="66">
        <v>178728.29</v>
      </c>
      <c r="P104" s="66">
        <v>106062.65000000001</v>
      </c>
    </row>
    <row r="105" spans="1:16" x14ac:dyDescent="0.2">
      <c r="A105" s="52"/>
      <c r="B105" s="72">
        <v>205203</v>
      </c>
      <c r="C105" s="73">
        <v>20250321</v>
      </c>
      <c r="D105" s="52">
        <v>376</v>
      </c>
      <c r="E105" s="63">
        <v>6448</v>
      </c>
      <c r="F105" s="63">
        <v>24194634</v>
      </c>
      <c r="G105" s="64">
        <v>6395</v>
      </c>
      <c r="H105" s="59">
        <v>500</v>
      </c>
      <c r="I105" s="65">
        <v>1170735.47</v>
      </c>
      <c r="J105" s="53">
        <v>5948</v>
      </c>
      <c r="K105" s="54">
        <v>23023898.530000001</v>
      </c>
      <c r="L105" s="63">
        <v>12543</v>
      </c>
      <c r="M105" s="97">
        <v>20914500.73</v>
      </c>
      <c r="N105" s="64">
        <v>10263</v>
      </c>
      <c r="O105" s="66">
        <v>179761.5</v>
      </c>
      <c r="P105" s="66">
        <v>108109.34000000001</v>
      </c>
    </row>
    <row r="106" spans="1:16" x14ac:dyDescent="0.2">
      <c r="A106" s="52"/>
      <c r="B106" s="72">
        <v>205203</v>
      </c>
      <c r="C106" s="73">
        <v>20250322</v>
      </c>
      <c r="D106" s="52">
        <v>375</v>
      </c>
      <c r="E106" s="63">
        <v>6418</v>
      </c>
      <c r="F106" s="63">
        <v>23678471</v>
      </c>
      <c r="G106" s="64">
        <v>6329</v>
      </c>
      <c r="H106" s="59">
        <v>526</v>
      </c>
      <c r="I106" s="65">
        <v>1039845.11</v>
      </c>
      <c r="J106" s="53">
        <v>5892</v>
      </c>
      <c r="K106" s="54">
        <v>22638625.890000001</v>
      </c>
      <c r="L106" s="63">
        <v>12629</v>
      </c>
      <c r="M106" s="97">
        <v>20592161.66</v>
      </c>
      <c r="N106" s="64">
        <v>10215</v>
      </c>
      <c r="O106" s="66">
        <v>180608</v>
      </c>
      <c r="P106" s="66">
        <v>101725.06999999999</v>
      </c>
    </row>
    <row r="107" spans="1:16" x14ac:dyDescent="0.2">
      <c r="A107" s="52"/>
      <c r="B107" s="72">
        <v>205203</v>
      </c>
      <c r="C107" s="73">
        <v>20250323</v>
      </c>
      <c r="D107" s="52">
        <v>374</v>
      </c>
      <c r="E107" s="63">
        <v>5386</v>
      </c>
      <c r="F107" s="63">
        <v>18389252</v>
      </c>
      <c r="G107" s="64">
        <v>5339</v>
      </c>
      <c r="H107" s="59">
        <v>389</v>
      </c>
      <c r="I107" s="65">
        <v>839545.48</v>
      </c>
      <c r="J107" s="53">
        <v>4997</v>
      </c>
      <c r="K107" s="54">
        <v>17549706.52</v>
      </c>
      <c r="L107" s="63">
        <v>10655</v>
      </c>
      <c r="M107" s="97">
        <v>15967561.02</v>
      </c>
      <c r="N107" s="64">
        <v>8622</v>
      </c>
      <c r="O107" s="66">
        <v>181354.61</v>
      </c>
      <c r="P107" s="66">
        <v>81115.78</v>
      </c>
    </row>
    <row r="108" spans="1:16" x14ac:dyDescent="0.2">
      <c r="A108" s="52"/>
      <c r="B108" s="72">
        <v>205203</v>
      </c>
      <c r="C108" s="73">
        <v>20250324</v>
      </c>
      <c r="D108" s="52">
        <v>373</v>
      </c>
      <c r="E108" s="63">
        <v>8984</v>
      </c>
      <c r="F108" s="63">
        <v>27389262</v>
      </c>
      <c r="G108" s="64">
        <v>8927</v>
      </c>
      <c r="H108" s="59">
        <v>1091</v>
      </c>
      <c r="I108" s="65">
        <v>1598300.92</v>
      </c>
      <c r="J108" s="53">
        <v>7893</v>
      </c>
      <c r="K108" s="54">
        <v>25790961.079999998</v>
      </c>
      <c r="L108" s="63">
        <v>13528</v>
      </c>
      <c r="M108" s="97">
        <v>22915842.510000002</v>
      </c>
      <c r="N108" s="64">
        <v>11219</v>
      </c>
      <c r="O108" s="66">
        <v>182035.69</v>
      </c>
      <c r="P108" s="66">
        <v>119739.89</v>
      </c>
    </row>
    <row r="109" spans="1:16" x14ac:dyDescent="0.2">
      <c r="A109" s="52"/>
      <c r="B109" s="72">
        <v>205203</v>
      </c>
      <c r="C109" s="73">
        <v>20250325</v>
      </c>
      <c r="D109" s="52">
        <v>372</v>
      </c>
      <c r="E109" s="63">
        <v>7077</v>
      </c>
      <c r="F109" s="63">
        <v>25108363</v>
      </c>
      <c r="G109" s="64">
        <v>7030</v>
      </c>
      <c r="H109" s="59">
        <v>617</v>
      </c>
      <c r="I109" s="65">
        <v>1047724.99</v>
      </c>
      <c r="J109" s="53">
        <v>6460</v>
      </c>
      <c r="K109" s="54">
        <v>24060638.010000002</v>
      </c>
      <c r="L109" s="63">
        <v>13761</v>
      </c>
      <c r="M109" s="97">
        <v>25527228.210000001</v>
      </c>
      <c r="N109" s="64">
        <v>11503</v>
      </c>
      <c r="O109" s="66">
        <v>183121</v>
      </c>
      <c r="P109" s="66">
        <v>132292.10999999999</v>
      </c>
    </row>
    <row r="110" spans="1:16" x14ac:dyDescent="0.2">
      <c r="A110" s="52"/>
      <c r="B110" s="72">
        <v>205203</v>
      </c>
      <c r="C110" s="73">
        <v>20250326</v>
      </c>
      <c r="D110" s="52">
        <v>371</v>
      </c>
      <c r="E110" s="63">
        <v>6908</v>
      </c>
      <c r="F110" s="63">
        <v>26102791</v>
      </c>
      <c r="G110" s="64">
        <v>6839</v>
      </c>
      <c r="H110" s="59">
        <v>532</v>
      </c>
      <c r="I110" s="65">
        <v>1177005.74</v>
      </c>
      <c r="J110" s="53">
        <v>6376</v>
      </c>
      <c r="K110" s="54">
        <v>24925785.260000002</v>
      </c>
      <c r="L110" s="63">
        <v>14730</v>
      </c>
      <c r="M110" s="97">
        <v>29496786.030000001</v>
      </c>
      <c r="N110" s="64">
        <v>12340</v>
      </c>
      <c r="O110" s="66">
        <v>183055.68</v>
      </c>
      <c r="P110" s="66">
        <v>152512.33000000002</v>
      </c>
    </row>
    <row r="111" spans="1:16" x14ac:dyDescent="0.2">
      <c r="A111" s="52"/>
      <c r="B111" s="72">
        <v>205203</v>
      </c>
      <c r="C111" s="73">
        <v>20250327</v>
      </c>
      <c r="D111" s="52">
        <v>370</v>
      </c>
      <c r="E111" s="63">
        <v>7613</v>
      </c>
      <c r="F111" s="63">
        <v>27877605</v>
      </c>
      <c r="G111" s="64">
        <v>7557</v>
      </c>
      <c r="H111" s="59">
        <v>730</v>
      </c>
      <c r="I111" s="65">
        <v>1326588.72</v>
      </c>
      <c r="J111" s="53">
        <v>6883</v>
      </c>
      <c r="K111" s="54">
        <v>26551016.280000001</v>
      </c>
      <c r="L111" s="63">
        <v>15037</v>
      </c>
      <c r="M111" s="97">
        <v>28205100.48</v>
      </c>
      <c r="N111" s="64">
        <v>12438</v>
      </c>
      <c r="O111" s="66">
        <v>182388.34</v>
      </c>
      <c r="P111" s="66">
        <v>147137.72999999998</v>
      </c>
    </row>
    <row r="112" spans="1:16" x14ac:dyDescent="0.2">
      <c r="A112" s="52"/>
      <c r="B112" s="72">
        <v>205203</v>
      </c>
      <c r="C112" s="73">
        <v>20250328</v>
      </c>
      <c r="D112" s="52">
        <v>369</v>
      </c>
      <c r="E112" s="63">
        <v>4501</v>
      </c>
      <c r="F112" s="63">
        <v>18045939</v>
      </c>
      <c r="G112" s="64">
        <v>4475</v>
      </c>
      <c r="H112" s="59">
        <v>349</v>
      </c>
      <c r="I112" s="65">
        <v>813468.39</v>
      </c>
      <c r="J112" s="53">
        <v>4152</v>
      </c>
      <c r="K112" s="54">
        <v>17232470.609999999</v>
      </c>
      <c r="L112" s="63">
        <v>14785</v>
      </c>
      <c r="M112" s="97">
        <v>30065308.550000001</v>
      </c>
      <c r="N112" s="64">
        <v>12376</v>
      </c>
      <c r="O112" s="66">
        <v>182466.58000000002</v>
      </c>
      <c r="P112" s="66">
        <v>160379.07</v>
      </c>
    </row>
    <row r="113" spans="1:16" x14ac:dyDescent="0.2">
      <c r="A113" s="52"/>
      <c r="B113" s="72">
        <v>205203</v>
      </c>
      <c r="C113" s="73">
        <v>20250329</v>
      </c>
      <c r="D113" s="52">
        <v>368</v>
      </c>
      <c r="E113" s="63">
        <v>9563</v>
      </c>
      <c r="F113" s="63">
        <v>38377189</v>
      </c>
      <c r="G113" s="64">
        <v>9470</v>
      </c>
      <c r="H113" s="59">
        <v>793</v>
      </c>
      <c r="I113" s="65">
        <v>2122551.48</v>
      </c>
      <c r="J113" s="53">
        <v>8770</v>
      </c>
      <c r="K113" s="54">
        <v>36254637.520000003</v>
      </c>
      <c r="L113" s="63">
        <v>14686</v>
      </c>
      <c r="M113" s="97">
        <v>29111293.440000001</v>
      </c>
      <c r="N113" s="64">
        <v>12203</v>
      </c>
      <c r="O113" s="66">
        <v>179874.76</v>
      </c>
      <c r="P113" s="66">
        <v>153467.48000000001</v>
      </c>
    </row>
    <row r="114" spans="1:16" x14ac:dyDescent="0.2">
      <c r="A114" s="52"/>
      <c r="B114" s="72">
        <v>205203</v>
      </c>
      <c r="C114" s="73">
        <v>20250330</v>
      </c>
      <c r="D114" s="52">
        <v>367</v>
      </c>
      <c r="E114" s="63">
        <v>6739</v>
      </c>
      <c r="F114" s="63">
        <v>24897466</v>
      </c>
      <c r="G114" s="64">
        <v>6684</v>
      </c>
      <c r="H114" s="59">
        <v>481</v>
      </c>
      <c r="I114" s="65">
        <v>986221.67</v>
      </c>
      <c r="J114" s="53">
        <v>6258</v>
      </c>
      <c r="K114" s="54">
        <v>23911244.329999998</v>
      </c>
      <c r="L114" s="63">
        <v>12880</v>
      </c>
      <c r="M114" s="97">
        <v>22713642.84</v>
      </c>
      <c r="N114" s="64">
        <v>10536</v>
      </c>
      <c r="O114" s="66">
        <v>181989.75</v>
      </c>
      <c r="P114" s="66">
        <v>120544.23999999999</v>
      </c>
    </row>
    <row r="115" spans="1:16" ht="11.45" customHeight="1" x14ac:dyDescent="0.2">
      <c r="A115" s="52"/>
      <c r="B115" s="72">
        <v>205203</v>
      </c>
      <c r="C115" s="73">
        <v>20250331</v>
      </c>
      <c r="D115" s="52">
        <v>366</v>
      </c>
      <c r="E115" s="63">
        <v>7636</v>
      </c>
      <c r="F115" s="63">
        <v>30714651</v>
      </c>
      <c r="G115" s="64">
        <v>7581</v>
      </c>
      <c r="H115" s="59">
        <v>515</v>
      </c>
      <c r="I115" s="65">
        <v>1080957.92</v>
      </c>
      <c r="J115" s="53">
        <v>7121</v>
      </c>
      <c r="K115" s="54">
        <v>29633693.079999998</v>
      </c>
      <c r="L115" s="63">
        <v>14217</v>
      </c>
      <c r="M115" s="97">
        <v>26836221.539999999</v>
      </c>
      <c r="N115" s="64">
        <v>11833</v>
      </c>
      <c r="O115" s="66">
        <v>182811.24</v>
      </c>
      <c r="P115" s="66">
        <v>146630.78</v>
      </c>
    </row>
    <row r="116" spans="1:16" x14ac:dyDescent="0.2">
      <c r="B116" s="72" t="s">
        <v>32</v>
      </c>
      <c r="C116" s="73">
        <v>20250401</v>
      </c>
      <c r="D116" s="52">
        <v>365</v>
      </c>
      <c r="E116" s="63">
        <v>7674</v>
      </c>
      <c r="F116" s="63">
        <v>32503664</v>
      </c>
      <c r="G116" s="64">
        <v>7645</v>
      </c>
      <c r="H116" s="59">
        <v>516</v>
      </c>
      <c r="I116" s="65">
        <v>1156356.1000000001</v>
      </c>
      <c r="J116" s="53">
        <v>7158</v>
      </c>
      <c r="K116" s="54">
        <v>31347307.899999999</v>
      </c>
      <c r="L116" s="63">
        <v>15981</v>
      </c>
      <c r="M116" s="97">
        <v>33409876.489999998</v>
      </c>
      <c r="N116" s="64">
        <v>13428</v>
      </c>
      <c r="O116" s="66">
        <v>183900.67</v>
      </c>
      <c r="P116" s="66">
        <v>180813.48</v>
      </c>
    </row>
    <row r="117" spans="1:16" x14ac:dyDescent="0.2">
      <c r="B117" s="72" t="s">
        <v>32</v>
      </c>
      <c r="C117" s="73">
        <v>20250402</v>
      </c>
      <c r="D117" s="52">
        <v>364</v>
      </c>
      <c r="E117" s="63">
        <v>7998</v>
      </c>
      <c r="F117" s="63">
        <v>33229062</v>
      </c>
      <c r="G117" s="64">
        <v>7932</v>
      </c>
      <c r="H117" s="59">
        <v>577</v>
      </c>
      <c r="I117" s="65">
        <v>1464768.28</v>
      </c>
      <c r="J117" s="53">
        <v>7421</v>
      </c>
      <c r="K117" s="54">
        <v>31764293.719999999</v>
      </c>
      <c r="L117" s="63">
        <v>17021</v>
      </c>
      <c r="M117" s="97">
        <v>35571277.280000001</v>
      </c>
      <c r="N117" s="64">
        <v>14242</v>
      </c>
      <c r="O117" s="66">
        <v>183817.24</v>
      </c>
      <c r="P117" s="66">
        <v>193966.55</v>
      </c>
    </row>
    <row r="118" spans="1:16" x14ac:dyDescent="0.2">
      <c r="B118" s="72" t="s">
        <v>32</v>
      </c>
      <c r="C118" s="73">
        <v>20250403</v>
      </c>
      <c r="D118" s="52">
        <v>363</v>
      </c>
      <c r="E118" s="63">
        <v>8749</v>
      </c>
      <c r="F118" s="63">
        <v>35377301</v>
      </c>
      <c r="G118" s="64">
        <v>8650</v>
      </c>
      <c r="H118" s="59">
        <v>638</v>
      </c>
      <c r="I118" s="65">
        <v>1489409.59</v>
      </c>
      <c r="J118" s="53">
        <v>8111</v>
      </c>
      <c r="K118" s="54">
        <v>33887891.409999996</v>
      </c>
      <c r="L118" s="63">
        <v>17130</v>
      </c>
      <c r="M118" s="97">
        <v>34235176.140000001</v>
      </c>
      <c r="N118" s="64">
        <v>14309</v>
      </c>
      <c r="O118" s="66">
        <v>183614.85</v>
      </c>
      <c r="P118" s="66">
        <v>187085.71</v>
      </c>
    </row>
    <row r="119" spans="1:16" x14ac:dyDescent="0.2">
      <c r="B119" s="72" t="s">
        <v>32</v>
      </c>
      <c r="C119" s="73">
        <v>20250404</v>
      </c>
      <c r="D119" s="52">
        <v>362</v>
      </c>
      <c r="E119" s="63">
        <v>5276</v>
      </c>
      <c r="F119" s="63">
        <v>22147977</v>
      </c>
      <c r="G119" s="64">
        <v>5244</v>
      </c>
      <c r="H119" s="59">
        <v>354</v>
      </c>
      <c r="I119" s="65">
        <v>854023.45</v>
      </c>
      <c r="J119" s="53">
        <v>4922</v>
      </c>
      <c r="K119" s="54">
        <v>21293953.550000001</v>
      </c>
      <c r="L119" s="63">
        <v>16921</v>
      </c>
      <c r="M119" s="97">
        <v>33047527.129999999</v>
      </c>
      <c r="N119" s="64">
        <v>13899</v>
      </c>
      <c r="O119" s="66">
        <v>184103.83</v>
      </c>
      <c r="P119" s="66">
        <v>185652</v>
      </c>
    </row>
    <row r="120" spans="1:16" x14ac:dyDescent="0.2">
      <c r="B120" s="72" t="s">
        <v>32</v>
      </c>
      <c r="C120" s="73">
        <v>20250405</v>
      </c>
      <c r="D120" s="52">
        <v>361</v>
      </c>
      <c r="E120" s="63">
        <v>10759</v>
      </c>
      <c r="F120" s="63">
        <v>43706447</v>
      </c>
      <c r="G120" s="64">
        <v>10692</v>
      </c>
      <c r="H120" s="59">
        <v>775</v>
      </c>
      <c r="I120" s="65">
        <v>2007683.31</v>
      </c>
      <c r="J120" s="53">
        <v>9984</v>
      </c>
      <c r="K120" s="54">
        <v>41698763.689999998</v>
      </c>
      <c r="L120" s="63">
        <v>15404</v>
      </c>
      <c r="M120" s="97">
        <v>29002342.920000002</v>
      </c>
      <c r="N120" s="64">
        <v>12823</v>
      </c>
      <c r="O120" s="66">
        <v>182226.83000000002</v>
      </c>
      <c r="P120" s="66">
        <v>159405.65000000002</v>
      </c>
    </row>
    <row r="121" spans="1:16" x14ac:dyDescent="0.2">
      <c r="B121" s="72" t="s">
        <v>32</v>
      </c>
      <c r="C121" s="73">
        <v>20250406</v>
      </c>
      <c r="D121" s="52">
        <v>360</v>
      </c>
      <c r="E121" s="63">
        <v>7343</v>
      </c>
      <c r="F121" s="63">
        <v>26552757</v>
      </c>
      <c r="G121" s="64">
        <v>7281</v>
      </c>
      <c r="H121" s="59">
        <v>459</v>
      </c>
      <c r="I121" s="65">
        <v>951038.53</v>
      </c>
      <c r="J121" s="53">
        <v>6884</v>
      </c>
      <c r="K121" s="54">
        <v>25601718.469999999</v>
      </c>
      <c r="L121" s="63">
        <v>13084</v>
      </c>
      <c r="M121" s="97">
        <v>21788128.030000001</v>
      </c>
      <c r="N121" s="64">
        <v>10796</v>
      </c>
      <c r="O121" s="66">
        <v>185633.47</v>
      </c>
      <c r="P121" s="66">
        <v>120031.56</v>
      </c>
    </row>
    <row r="122" spans="1:16" x14ac:dyDescent="0.2">
      <c r="B122" s="72" t="s">
        <v>32</v>
      </c>
      <c r="C122" s="73">
        <v>20250407</v>
      </c>
      <c r="D122" s="52">
        <v>359</v>
      </c>
      <c r="E122" s="63">
        <v>5848</v>
      </c>
      <c r="F122" s="63">
        <v>25013845</v>
      </c>
      <c r="G122" s="64">
        <v>5819</v>
      </c>
      <c r="H122" s="59">
        <v>412</v>
      </c>
      <c r="I122" s="65">
        <v>999878.57</v>
      </c>
      <c r="J122" s="53">
        <v>5436</v>
      </c>
      <c r="K122" s="54">
        <v>24013966.43</v>
      </c>
      <c r="L122" s="63">
        <v>14960</v>
      </c>
      <c r="M122" s="97">
        <v>27095817.969999999</v>
      </c>
      <c r="N122" s="64">
        <v>12490</v>
      </c>
      <c r="O122" s="66">
        <v>186972.59</v>
      </c>
      <c r="P122" s="66">
        <v>153761.13</v>
      </c>
    </row>
    <row r="123" spans="1:16" x14ac:dyDescent="0.2">
      <c r="B123" s="72" t="s">
        <v>32</v>
      </c>
      <c r="C123" s="73">
        <v>20250408</v>
      </c>
      <c r="D123" s="52">
        <v>358</v>
      </c>
      <c r="E123" s="63">
        <v>6615</v>
      </c>
      <c r="F123" s="63">
        <v>26942048</v>
      </c>
      <c r="G123" s="64">
        <v>6569</v>
      </c>
      <c r="H123" s="59">
        <v>454</v>
      </c>
      <c r="I123" s="65">
        <v>1264958.0900000001</v>
      </c>
      <c r="J123" s="53">
        <v>6161</v>
      </c>
      <c r="K123" s="54">
        <v>25677089.91</v>
      </c>
      <c r="L123" s="63">
        <v>14539</v>
      </c>
      <c r="M123" s="97">
        <v>25698872.879999999</v>
      </c>
      <c r="N123" s="64">
        <v>12098</v>
      </c>
      <c r="O123" s="66">
        <v>186546.05</v>
      </c>
      <c r="P123" s="66">
        <v>146344.53999999998</v>
      </c>
    </row>
    <row r="124" spans="1:16" x14ac:dyDescent="0.2">
      <c r="B124" s="72" t="s">
        <v>32</v>
      </c>
      <c r="C124" s="73">
        <v>20250409</v>
      </c>
      <c r="D124" s="52">
        <v>357</v>
      </c>
      <c r="E124" s="63">
        <v>6371</v>
      </c>
      <c r="F124" s="63">
        <v>25552449</v>
      </c>
      <c r="G124" s="64">
        <v>6337</v>
      </c>
      <c r="H124" s="59">
        <v>447</v>
      </c>
      <c r="I124" s="65">
        <v>1043855.31</v>
      </c>
      <c r="J124" s="53">
        <v>5924</v>
      </c>
      <c r="K124" s="54">
        <v>24508593.690000001</v>
      </c>
      <c r="L124" s="63">
        <v>14310</v>
      </c>
      <c r="M124" s="97">
        <v>24879506.5</v>
      </c>
      <c r="N124" s="64">
        <v>11829</v>
      </c>
      <c r="O124" s="66">
        <v>186800.35</v>
      </c>
      <c r="P124" s="66">
        <v>136641.91</v>
      </c>
    </row>
    <row r="125" spans="1:16" x14ac:dyDescent="0.2">
      <c r="B125" s="72" t="s">
        <v>32</v>
      </c>
      <c r="C125" s="73">
        <v>20250410</v>
      </c>
      <c r="D125" s="52">
        <v>356</v>
      </c>
      <c r="E125" s="63">
        <v>6019</v>
      </c>
      <c r="F125" s="63">
        <v>24735198</v>
      </c>
      <c r="G125" s="64">
        <v>5988</v>
      </c>
      <c r="H125" s="59">
        <v>426</v>
      </c>
      <c r="I125" s="65">
        <v>1163215.83</v>
      </c>
      <c r="J125" s="53">
        <v>5593</v>
      </c>
      <c r="K125" s="54">
        <v>23571982.170000002</v>
      </c>
      <c r="L125" s="63">
        <v>13678</v>
      </c>
      <c r="M125" s="97">
        <v>23564098.66</v>
      </c>
      <c r="N125" s="64">
        <v>11203</v>
      </c>
      <c r="O125" s="66">
        <v>187192</v>
      </c>
      <c r="P125" s="66">
        <v>128698.65000000001</v>
      </c>
    </row>
    <row r="126" spans="1:16" x14ac:dyDescent="0.2">
      <c r="B126" s="72" t="s">
        <v>32</v>
      </c>
      <c r="C126" s="73">
        <v>20250411</v>
      </c>
      <c r="D126" s="52">
        <v>355</v>
      </c>
      <c r="E126" s="63">
        <v>6005</v>
      </c>
      <c r="F126" s="63">
        <v>23437629</v>
      </c>
      <c r="G126" s="64">
        <v>5967</v>
      </c>
      <c r="H126" s="59">
        <v>491</v>
      </c>
      <c r="I126" s="65">
        <v>1116422.42</v>
      </c>
      <c r="J126" s="53">
        <v>5514</v>
      </c>
      <c r="K126" s="54">
        <v>22321206.579999998</v>
      </c>
      <c r="L126" s="63">
        <v>16444</v>
      </c>
      <c r="M126" s="97">
        <v>31288069.559999999</v>
      </c>
      <c r="N126" s="64">
        <v>14192</v>
      </c>
      <c r="O126" s="66">
        <v>187554.19</v>
      </c>
      <c r="P126" s="66">
        <v>168510.6</v>
      </c>
    </row>
    <row r="127" spans="1:16" x14ac:dyDescent="0.2">
      <c r="B127" s="72" t="s">
        <v>32</v>
      </c>
      <c r="C127" s="73">
        <v>20250412</v>
      </c>
      <c r="D127" s="52">
        <v>354</v>
      </c>
      <c r="E127" s="63">
        <v>4916</v>
      </c>
      <c r="F127" s="63">
        <v>21079041</v>
      </c>
      <c r="G127" s="64">
        <v>4899</v>
      </c>
      <c r="H127" s="59">
        <v>369</v>
      </c>
      <c r="I127" s="65">
        <v>1060958.0900000001</v>
      </c>
      <c r="J127" s="53">
        <v>4547</v>
      </c>
      <c r="K127" s="54">
        <v>20018082.91</v>
      </c>
      <c r="L127" s="63">
        <v>13708</v>
      </c>
      <c r="M127" s="97">
        <v>24042675.690000001</v>
      </c>
      <c r="N127" s="64">
        <v>11356</v>
      </c>
      <c r="O127" s="66">
        <v>185875.82</v>
      </c>
      <c r="P127" s="66">
        <v>127557.95000000001</v>
      </c>
    </row>
    <row r="128" spans="1:16" x14ac:dyDescent="0.2">
      <c r="B128" s="72" t="s">
        <v>32</v>
      </c>
      <c r="C128" s="73">
        <v>20250413</v>
      </c>
      <c r="D128" s="52">
        <v>353</v>
      </c>
      <c r="E128" s="63">
        <v>9002</v>
      </c>
      <c r="F128" s="63">
        <v>33961501</v>
      </c>
      <c r="G128" s="64">
        <v>8949</v>
      </c>
      <c r="H128" s="59">
        <v>700</v>
      </c>
      <c r="I128" s="65">
        <v>1591438.36</v>
      </c>
      <c r="J128" s="53">
        <v>8302</v>
      </c>
      <c r="K128" s="54">
        <v>32370062.640000001</v>
      </c>
      <c r="L128" s="63">
        <v>11165</v>
      </c>
      <c r="M128" s="97">
        <v>17360444.329999998</v>
      </c>
      <c r="N128" s="64">
        <v>9186</v>
      </c>
      <c r="O128" s="66">
        <v>185326.27000000002</v>
      </c>
      <c r="P128" s="66">
        <v>95449.06</v>
      </c>
    </row>
    <row r="129" spans="2:16" x14ac:dyDescent="0.2">
      <c r="B129" s="72" t="s">
        <v>32</v>
      </c>
      <c r="C129" s="73">
        <v>20250414</v>
      </c>
      <c r="D129" s="52">
        <v>352</v>
      </c>
      <c r="E129" s="63">
        <v>4091</v>
      </c>
      <c r="F129" s="63">
        <v>17258956</v>
      </c>
      <c r="G129" s="64">
        <v>4081</v>
      </c>
      <c r="H129" s="59">
        <v>283</v>
      </c>
      <c r="I129" s="65">
        <v>832418.23</v>
      </c>
      <c r="J129" s="53">
        <v>3808</v>
      </c>
      <c r="K129" s="54">
        <v>16426537.77</v>
      </c>
      <c r="L129" s="63">
        <v>12741</v>
      </c>
      <c r="M129" s="97">
        <v>21566722.420000002</v>
      </c>
      <c r="N129" s="64">
        <v>10614</v>
      </c>
      <c r="O129" s="66">
        <v>189146.97</v>
      </c>
      <c r="P129" s="66">
        <v>118601.17000000001</v>
      </c>
    </row>
    <row r="130" spans="2:16" x14ac:dyDescent="0.2">
      <c r="B130" s="72" t="s">
        <v>32</v>
      </c>
      <c r="C130" s="73">
        <v>20250415</v>
      </c>
      <c r="D130" s="52">
        <v>351</v>
      </c>
      <c r="E130" s="63">
        <v>4977</v>
      </c>
      <c r="F130" s="63">
        <v>21438149</v>
      </c>
      <c r="G130" s="64">
        <v>4961</v>
      </c>
      <c r="H130" s="59">
        <v>364</v>
      </c>
      <c r="I130" s="65">
        <v>1079891.47</v>
      </c>
      <c r="J130" s="53">
        <v>4613</v>
      </c>
      <c r="K130" s="54">
        <v>20358257.530000001</v>
      </c>
      <c r="L130" s="63">
        <v>13203</v>
      </c>
      <c r="M130" s="97">
        <v>23165059.25</v>
      </c>
      <c r="N130" s="64">
        <v>10997</v>
      </c>
      <c r="O130" s="66">
        <v>188303.7</v>
      </c>
      <c r="P130" s="66">
        <v>125960.34</v>
      </c>
    </row>
    <row r="131" spans="2:16" x14ac:dyDescent="0.2">
      <c r="B131" s="72" t="s">
        <v>32</v>
      </c>
      <c r="C131" s="73">
        <v>20250416</v>
      </c>
      <c r="D131" s="52">
        <v>350</v>
      </c>
      <c r="E131" s="63">
        <v>10318</v>
      </c>
      <c r="F131" s="63">
        <v>40787233</v>
      </c>
      <c r="G131" s="64">
        <v>10239</v>
      </c>
      <c r="H131" s="59">
        <v>803</v>
      </c>
      <c r="I131" s="65">
        <v>2018248.83</v>
      </c>
      <c r="J131" s="53">
        <v>9515</v>
      </c>
      <c r="K131" s="54">
        <v>38768984.170000002</v>
      </c>
      <c r="L131" s="63">
        <v>13015</v>
      </c>
      <c r="M131" s="97">
        <v>22419291.52</v>
      </c>
      <c r="N131" s="64">
        <v>10767</v>
      </c>
      <c r="O131" s="66">
        <v>187993.51</v>
      </c>
      <c r="P131" s="66">
        <v>124216.23999999999</v>
      </c>
    </row>
    <row r="132" spans="2:16" x14ac:dyDescent="0.2">
      <c r="B132" s="72" t="s">
        <v>32</v>
      </c>
      <c r="C132" s="73">
        <v>20250417</v>
      </c>
      <c r="D132" s="52">
        <v>349</v>
      </c>
      <c r="E132" s="63">
        <v>7095</v>
      </c>
      <c r="F132" s="63">
        <v>27928945</v>
      </c>
      <c r="G132" s="64">
        <v>7053</v>
      </c>
      <c r="H132" s="59">
        <v>483</v>
      </c>
      <c r="I132" s="65">
        <v>1177526.6100000001</v>
      </c>
      <c r="J132" s="53">
        <v>6612</v>
      </c>
      <c r="K132" s="54">
        <v>26751418.390000001</v>
      </c>
      <c r="L132" s="63">
        <v>13317</v>
      </c>
      <c r="M132" s="97">
        <v>22908987.379999999</v>
      </c>
      <c r="N132" s="64">
        <v>11012</v>
      </c>
      <c r="O132" s="66">
        <v>192121.83000000002</v>
      </c>
      <c r="P132" s="66">
        <v>125503.59999999999</v>
      </c>
    </row>
    <row r="133" spans="2:16" x14ac:dyDescent="0.2">
      <c r="B133" s="72" t="s">
        <v>32</v>
      </c>
      <c r="C133" s="73">
        <v>20250418</v>
      </c>
      <c r="D133" s="52">
        <v>348</v>
      </c>
      <c r="E133" s="63">
        <v>6712</v>
      </c>
      <c r="F133" s="63">
        <v>25157904</v>
      </c>
      <c r="G133" s="64">
        <v>6655</v>
      </c>
      <c r="H133" s="59">
        <v>474</v>
      </c>
      <c r="I133" s="65">
        <v>1198718.18</v>
      </c>
      <c r="J133" s="53">
        <v>6238</v>
      </c>
      <c r="K133" s="54">
        <v>23959185.82</v>
      </c>
      <c r="L133" s="63">
        <v>12654</v>
      </c>
      <c r="M133" s="97">
        <v>19298309.989999998</v>
      </c>
      <c r="N133" s="64">
        <v>10160</v>
      </c>
      <c r="O133" s="66">
        <v>193291.15</v>
      </c>
      <c r="P133" s="66">
        <v>110286.79999999999</v>
      </c>
    </row>
    <row r="134" spans="2:16" x14ac:dyDescent="0.2">
      <c r="B134" s="72" t="s">
        <v>32</v>
      </c>
      <c r="C134" s="73">
        <v>20250419</v>
      </c>
      <c r="D134" s="52">
        <v>347</v>
      </c>
      <c r="E134" s="63">
        <v>6149</v>
      </c>
      <c r="F134" s="63">
        <v>22825923</v>
      </c>
      <c r="G134" s="64">
        <v>6120</v>
      </c>
      <c r="H134" s="59">
        <v>418</v>
      </c>
      <c r="I134" s="65">
        <v>1073011.08</v>
      </c>
      <c r="J134" s="53">
        <v>5731</v>
      </c>
      <c r="K134" s="54">
        <v>21752911.920000002</v>
      </c>
      <c r="L134" s="63">
        <v>11636</v>
      </c>
      <c r="M134" s="97">
        <v>17781827.52</v>
      </c>
      <c r="N134" s="64">
        <v>9290</v>
      </c>
      <c r="O134" s="66">
        <v>194743.59</v>
      </c>
      <c r="P134" s="66">
        <v>96451.23</v>
      </c>
    </row>
    <row r="135" spans="2:16" x14ac:dyDescent="0.2">
      <c r="B135" s="72" t="s">
        <v>32</v>
      </c>
      <c r="C135" s="73">
        <v>20250420</v>
      </c>
      <c r="D135" s="52">
        <v>346</v>
      </c>
      <c r="E135" s="63">
        <v>5342</v>
      </c>
      <c r="F135" s="63">
        <v>18660513</v>
      </c>
      <c r="G135" s="64">
        <v>5305</v>
      </c>
      <c r="H135" s="59">
        <v>380</v>
      </c>
      <c r="I135" s="65">
        <v>702088.11</v>
      </c>
      <c r="J135" s="53">
        <v>4962</v>
      </c>
      <c r="K135" s="54">
        <v>17958424.890000001</v>
      </c>
      <c r="L135" s="63">
        <v>10112</v>
      </c>
      <c r="M135" s="97">
        <v>14414454.51</v>
      </c>
      <c r="N135" s="64">
        <v>8153</v>
      </c>
      <c r="O135" s="66">
        <v>195971.24</v>
      </c>
      <c r="P135" s="66">
        <v>79982.739999999991</v>
      </c>
    </row>
    <row r="136" spans="2:16" x14ac:dyDescent="0.2">
      <c r="B136" s="72" t="s">
        <v>32</v>
      </c>
      <c r="C136" s="73">
        <v>20250421</v>
      </c>
      <c r="D136" s="52">
        <v>345</v>
      </c>
      <c r="E136" s="63">
        <v>5813</v>
      </c>
      <c r="F136" s="63">
        <v>21803861</v>
      </c>
      <c r="G136" s="64">
        <v>5780</v>
      </c>
      <c r="H136" s="59">
        <v>408</v>
      </c>
      <c r="I136" s="65">
        <v>850612.05</v>
      </c>
      <c r="J136" s="53">
        <v>5405</v>
      </c>
      <c r="K136" s="54">
        <v>20953248.949999999</v>
      </c>
      <c r="L136" s="63">
        <v>11093</v>
      </c>
      <c r="M136" s="97">
        <v>16284582.9</v>
      </c>
      <c r="N136" s="64">
        <v>8927</v>
      </c>
      <c r="O136" s="66">
        <v>197052.45</v>
      </c>
      <c r="P136" s="66">
        <v>95960.320000000007</v>
      </c>
    </row>
    <row r="137" spans="2:16" x14ac:dyDescent="0.2">
      <c r="B137" s="72" t="s">
        <v>32</v>
      </c>
      <c r="C137" s="73">
        <v>20250422</v>
      </c>
      <c r="D137" s="52">
        <v>344</v>
      </c>
      <c r="E137" s="63">
        <v>5821</v>
      </c>
      <c r="F137" s="63">
        <v>22137030</v>
      </c>
      <c r="G137" s="64">
        <v>5796</v>
      </c>
      <c r="H137" s="59">
        <v>437</v>
      </c>
      <c r="I137" s="65">
        <v>1028397.1</v>
      </c>
      <c r="J137" s="53">
        <v>5384</v>
      </c>
      <c r="K137" s="54">
        <v>21108632.899999999</v>
      </c>
      <c r="L137" s="63">
        <v>11931</v>
      </c>
      <c r="M137" s="97">
        <v>19212844.399999999</v>
      </c>
      <c r="N137" s="64">
        <v>9846</v>
      </c>
      <c r="O137" s="66">
        <v>198436.1</v>
      </c>
      <c r="P137" s="66">
        <v>109579.6</v>
      </c>
    </row>
    <row r="138" spans="2:16" x14ac:dyDescent="0.2">
      <c r="B138" s="72" t="s">
        <v>32</v>
      </c>
      <c r="C138" s="73">
        <v>20250423</v>
      </c>
      <c r="D138" s="52">
        <v>343</v>
      </c>
      <c r="E138" s="63">
        <v>5876</v>
      </c>
      <c r="F138" s="63">
        <v>23240507</v>
      </c>
      <c r="G138" s="64">
        <v>5844</v>
      </c>
      <c r="H138" s="59">
        <v>441</v>
      </c>
      <c r="I138" s="65">
        <v>1046048.05</v>
      </c>
      <c r="J138" s="53">
        <v>5435</v>
      </c>
      <c r="K138" s="54">
        <v>22194458.949999999</v>
      </c>
      <c r="L138" s="63">
        <v>12461</v>
      </c>
      <c r="M138" s="97">
        <v>22581956.719999999</v>
      </c>
      <c r="N138" s="64">
        <v>10332</v>
      </c>
      <c r="O138" s="66">
        <v>199142.76</v>
      </c>
      <c r="P138" s="66">
        <v>129717.90000000001</v>
      </c>
    </row>
    <row r="139" spans="2:16" x14ac:dyDescent="0.2">
      <c r="B139" s="72" t="s">
        <v>32</v>
      </c>
      <c r="C139" s="73">
        <v>20250424</v>
      </c>
      <c r="D139" s="52">
        <v>342</v>
      </c>
      <c r="E139" s="63">
        <v>6460</v>
      </c>
      <c r="F139" s="63">
        <v>26553768</v>
      </c>
      <c r="G139" s="64">
        <v>6416</v>
      </c>
      <c r="H139" s="59">
        <v>472</v>
      </c>
      <c r="I139" s="65">
        <v>961231</v>
      </c>
      <c r="J139" s="53">
        <v>5988</v>
      </c>
      <c r="K139" s="54">
        <v>25592537</v>
      </c>
      <c r="L139" s="63">
        <v>12915</v>
      </c>
      <c r="M139" s="97">
        <v>24722080.48</v>
      </c>
      <c r="N139" s="64">
        <v>10661</v>
      </c>
      <c r="O139" s="66">
        <v>199482.52000000002</v>
      </c>
      <c r="P139" s="66">
        <v>141822.33000000002</v>
      </c>
    </row>
    <row r="140" spans="2:16" x14ac:dyDescent="0.2">
      <c r="B140" s="72" t="s">
        <v>32</v>
      </c>
      <c r="C140" s="73">
        <v>20250425</v>
      </c>
      <c r="D140" s="52">
        <v>341</v>
      </c>
      <c r="E140" s="63">
        <v>7007</v>
      </c>
      <c r="F140" s="63">
        <v>29615977</v>
      </c>
      <c r="G140" s="64">
        <v>6956</v>
      </c>
      <c r="H140" s="59">
        <v>594</v>
      </c>
      <c r="I140" s="65">
        <v>1508318.17</v>
      </c>
      <c r="J140" s="53">
        <v>6413</v>
      </c>
      <c r="K140" s="54">
        <v>28107658.829999998</v>
      </c>
      <c r="L140" s="63">
        <v>14378</v>
      </c>
      <c r="M140" s="97">
        <v>30993877.57</v>
      </c>
      <c r="N140" s="64">
        <v>12060</v>
      </c>
      <c r="O140" s="66">
        <v>200022.23</v>
      </c>
      <c r="P140" s="66">
        <v>170580.76</v>
      </c>
    </row>
    <row r="141" spans="2:16" x14ac:dyDescent="0.2">
      <c r="B141" s="72" t="s">
        <v>32</v>
      </c>
      <c r="C141" s="73">
        <v>20250426</v>
      </c>
      <c r="D141" s="52">
        <v>340</v>
      </c>
      <c r="E141" s="63">
        <v>6918</v>
      </c>
      <c r="F141" s="63">
        <v>27946076</v>
      </c>
      <c r="G141" s="64">
        <v>6860</v>
      </c>
      <c r="H141" s="59">
        <v>550</v>
      </c>
      <c r="I141" s="65">
        <v>1197726.22</v>
      </c>
      <c r="J141" s="53">
        <v>6368</v>
      </c>
      <c r="K141" s="54">
        <v>26748349.780000001</v>
      </c>
      <c r="L141" s="63">
        <v>13797</v>
      </c>
      <c r="M141" s="97">
        <v>27278540.84</v>
      </c>
      <c r="N141" s="64">
        <v>11212</v>
      </c>
      <c r="O141" s="66">
        <v>199813.85</v>
      </c>
      <c r="P141" s="66">
        <v>149329.21</v>
      </c>
    </row>
    <row r="142" spans="2:16" x14ac:dyDescent="0.2">
      <c r="B142" s="72" t="s">
        <v>32</v>
      </c>
      <c r="C142" s="73">
        <v>20250427</v>
      </c>
      <c r="D142" s="52">
        <v>339</v>
      </c>
      <c r="E142" s="63">
        <v>5985</v>
      </c>
      <c r="F142" s="63">
        <v>23623381</v>
      </c>
      <c r="G142" s="64">
        <v>5936</v>
      </c>
      <c r="H142" s="59">
        <v>489</v>
      </c>
      <c r="I142" s="65">
        <v>813366.17</v>
      </c>
      <c r="J142" s="53">
        <v>5496</v>
      </c>
      <c r="K142" s="54">
        <v>22810014.829999998</v>
      </c>
      <c r="L142" s="63">
        <v>11470</v>
      </c>
      <c r="M142" s="97">
        <v>20994855.460000001</v>
      </c>
      <c r="N142" s="64">
        <v>9471</v>
      </c>
      <c r="O142" s="66">
        <v>200145.57</v>
      </c>
      <c r="P142" s="66">
        <v>120069.92</v>
      </c>
    </row>
    <row r="143" spans="2:16" x14ac:dyDescent="0.2">
      <c r="B143" s="72" t="s">
        <v>32</v>
      </c>
      <c r="C143" s="73">
        <v>20250428</v>
      </c>
      <c r="D143" s="52">
        <v>338</v>
      </c>
      <c r="E143" s="63">
        <v>8747</v>
      </c>
      <c r="F143" s="63">
        <v>35390620</v>
      </c>
      <c r="G143" s="64">
        <v>8677</v>
      </c>
      <c r="H143" s="59">
        <v>727</v>
      </c>
      <c r="I143" s="65">
        <v>1707910.53</v>
      </c>
      <c r="J143" s="53">
        <v>8020</v>
      </c>
      <c r="K143" s="54">
        <v>33682709.469999999</v>
      </c>
      <c r="L143" s="63">
        <v>14915</v>
      </c>
      <c r="M143" s="97">
        <v>31068659.329999998</v>
      </c>
      <c r="N143" s="64">
        <v>12577</v>
      </c>
      <c r="O143" s="66">
        <v>200780.72</v>
      </c>
      <c r="P143" s="66">
        <v>186899</v>
      </c>
    </row>
    <row r="144" spans="2:16" x14ac:dyDescent="0.2">
      <c r="B144" s="72" t="s">
        <v>32</v>
      </c>
      <c r="C144" s="73">
        <v>20250429</v>
      </c>
      <c r="D144" s="52">
        <v>337</v>
      </c>
      <c r="E144" s="63">
        <v>7454</v>
      </c>
      <c r="F144" s="63">
        <v>29816596</v>
      </c>
      <c r="G144" s="64">
        <v>7405</v>
      </c>
      <c r="H144" s="59">
        <v>579</v>
      </c>
      <c r="I144" s="65">
        <v>1281704.7</v>
      </c>
      <c r="J144" s="53">
        <v>6875</v>
      </c>
      <c r="K144" s="54">
        <v>28534891.300000001</v>
      </c>
      <c r="L144" s="63">
        <v>14565</v>
      </c>
      <c r="M144" s="97">
        <v>28464251.609999999</v>
      </c>
      <c r="N144" s="64">
        <v>12159</v>
      </c>
      <c r="O144" s="66">
        <v>202018.41999999998</v>
      </c>
      <c r="P144" s="66">
        <v>169144.4</v>
      </c>
    </row>
    <row r="145" spans="2:16" x14ac:dyDescent="0.2">
      <c r="B145" s="72" t="s">
        <v>32</v>
      </c>
      <c r="C145" s="73">
        <v>20250430</v>
      </c>
      <c r="D145" s="52">
        <v>336</v>
      </c>
      <c r="E145" s="63">
        <v>8380</v>
      </c>
      <c r="F145" s="63">
        <v>33713586</v>
      </c>
      <c r="G145" s="64">
        <v>8329</v>
      </c>
      <c r="H145" s="59">
        <v>683</v>
      </c>
      <c r="I145" s="65">
        <v>1591356.21</v>
      </c>
      <c r="J145" s="53">
        <v>7697</v>
      </c>
      <c r="K145" s="54">
        <v>32122229.789999999</v>
      </c>
      <c r="L145" s="63">
        <v>16502</v>
      </c>
      <c r="M145" s="97">
        <v>35156036.189999998</v>
      </c>
      <c r="N145" s="64">
        <v>13826</v>
      </c>
      <c r="O145" s="66">
        <v>202398.94999999998</v>
      </c>
      <c r="P145" s="66">
        <v>211906.97999999998</v>
      </c>
    </row>
    <row r="146" spans="2:16" x14ac:dyDescent="0.2">
      <c r="B146" s="72" t="s">
        <v>33</v>
      </c>
      <c r="C146" s="75">
        <v>20250501</v>
      </c>
      <c r="D146" s="52">
        <v>335</v>
      </c>
      <c r="E146" s="63">
        <v>7882</v>
      </c>
      <c r="F146" s="63">
        <v>31963970</v>
      </c>
      <c r="G146" s="64">
        <v>7824</v>
      </c>
      <c r="H146" s="59">
        <v>550</v>
      </c>
      <c r="I146" s="65">
        <v>1239752.97</v>
      </c>
      <c r="J146" s="53">
        <v>7332</v>
      </c>
      <c r="K146" s="54">
        <v>30724217.030000001</v>
      </c>
      <c r="L146" s="63">
        <v>15563</v>
      </c>
      <c r="M146" s="97">
        <v>30991899.539999999</v>
      </c>
      <c r="N146" s="64">
        <v>12941</v>
      </c>
      <c r="O146" s="66">
        <v>202129.91999999998</v>
      </c>
      <c r="P146" s="66">
        <v>185034.48</v>
      </c>
    </row>
    <row r="147" spans="2:16" x14ac:dyDescent="0.2">
      <c r="B147" s="72" t="s">
        <v>33</v>
      </c>
      <c r="C147" s="75">
        <v>20250502</v>
      </c>
      <c r="D147" s="52">
        <v>334</v>
      </c>
      <c r="E147" s="63">
        <v>7856</v>
      </c>
      <c r="F147" s="63">
        <v>32714572</v>
      </c>
      <c r="G147" s="64">
        <v>7811</v>
      </c>
      <c r="H147" s="59">
        <v>594</v>
      </c>
      <c r="I147" s="65">
        <v>1528028.65</v>
      </c>
      <c r="J147" s="53">
        <v>7262</v>
      </c>
      <c r="K147" s="54">
        <v>31186543.350000001</v>
      </c>
      <c r="L147" s="63">
        <v>16199</v>
      </c>
      <c r="M147" s="97">
        <v>32419413.260000002</v>
      </c>
      <c r="N147" s="64">
        <v>13389</v>
      </c>
      <c r="O147" s="66">
        <v>202490.2</v>
      </c>
      <c r="P147" s="66">
        <v>191669.94</v>
      </c>
    </row>
    <row r="148" spans="2:16" x14ac:dyDescent="0.2">
      <c r="B148" s="72" t="s">
        <v>33</v>
      </c>
      <c r="C148" s="75">
        <v>20250503</v>
      </c>
      <c r="D148" s="52">
        <v>333</v>
      </c>
      <c r="E148" s="63">
        <v>8099</v>
      </c>
      <c r="F148" s="63">
        <v>32039148</v>
      </c>
      <c r="G148" s="64">
        <v>8039</v>
      </c>
      <c r="H148" s="59">
        <v>556</v>
      </c>
      <c r="I148" s="65">
        <v>1334998.06</v>
      </c>
      <c r="J148" s="53">
        <v>7543</v>
      </c>
      <c r="K148" s="54">
        <v>30704149.940000001</v>
      </c>
      <c r="L148" s="63">
        <v>16012</v>
      </c>
      <c r="M148" s="97">
        <v>30700207.210000001</v>
      </c>
      <c r="N148" s="64">
        <v>13021</v>
      </c>
      <c r="O148" s="66">
        <v>202726.21000000002</v>
      </c>
      <c r="P148" s="66">
        <v>178187.18</v>
      </c>
    </row>
    <row r="149" spans="2:16" x14ac:dyDescent="0.2">
      <c r="B149" s="72" t="s">
        <v>33</v>
      </c>
      <c r="C149" s="75">
        <v>20250504</v>
      </c>
      <c r="D149" s="52">
        <v>332</v>
      </c>
      <c r="E149" s="63">
        <v>7073</v>
      </c>
      <c r="F149" s="63">
        <v>26154986</v>
      </c>
      <c r="G149" s="64">
        <v>7033</v>
      </c>
      <c r="H149" s="59">
        <v>523</v>
      </c>
      <c r="I149" s="65">
        <v>1141027.68</v>
      </c>
      <c r="J149" s="53">
        <v>6550</v>
      </c>
      <c r="K149" s="54">
        <v>25013958.32</v>
      </c>
      <c r="L149" s="63">
        <v>13206</v>
      </c>
      <c r="M149" s="97">
        <v>22406283.620000001</v>
      </c>
      <c r="N149" s="64">
        <v>10735</v>
      </c>
      <c r="O149" s="66">
        <v>203200.56</v>
      </c>
      <c r="P149" s="66">
        <v>130749.78</v>
      </c>
    </row>
    <row r="150" spans="2:16" x14ac:dyDescent="0.2">
      <c r="B150" s="72" t="s">
        <v>33</v>
      </c>
      <c r="C150" s="75">
        <v>20250505</v>
      </c>
      <c r="D150" s="52">
        <v>331</v>
      </c>
      <c r="E150" s="63">
        <v>8966</v>
      </c>
      <c r="F150" s="63">
        <v>36003021</v>
      </c>
      <c r="G150" s="64">
        <v>8916</v>
      </c>
      <c r="H150" s="59">
        <v>651</v>
      </c>
      <c r="I150" s="65">
        <v>1557955.14</v>
      </c>
      <c r="J150" s="53">
        <v>8315</v>
      </c>
      <c r="K150" s="54">
        <v>34445065.859999999</v>
      </c>
      <c r="L150" s="63">
        <v>16501</v>
      </c>
      <c r="M150" s="97">
        <v>32866625.84</v>
      </c>
      <c r="N150" s="64">
        <v>13857</v>
      </c>
      <c r="O150" s="66">
        <v>204107.91999999998</v>
      </c>
      <c r="P150" s="66">
        <v>198004.17</v>
      </c>
    </row>
    <row r="151" spans="2:16" x14ac:dyDescent="0.2">
      <c r="B151" s="72" t="s">
        <v>33</v>
      </c>
      <c r="C151" s="75">
        <v>20250506</v>
      </c>
      <c r="D151" s="52">
        <v>330</v>
      </c>
      <c r="E151" s="63">
        <v>7732</v>
      </c>
      <c r="F151" s="63">
        <v>31146063</v>
      </c>
      <c r="G151" s="64">
        <v>7684</v>
      </c>
      <c r="H151" s="59">
        <v>554</v>
      </c>
      <c r="I151" s="65">
        <v>1305272.6599999999</v>
      </c>
      <c r="J151" s="53">
        <v>7178</v>
      </c>
      <c r="K151" s="54">
        <v>29840790.34</v>
      </c>
      <c r="L151" s="63">
        <v>15692</v>
      </c>
      <c r="M151" s="97">
        <v>30272639.379999999</v>
      </c>
      <c r="N151" s="64">
        <v>13085</v>
      </c>
      <c r="O151" s="66">
        <v>192546.89</v>
      </c>
      <c r="P151" s="66">
        <v>164384.44</v>
      </c>
    </row>
    <row r="152" spans="2:16" x14ac:dyDescent="0.2">
      <c r="B152" s="72" t="s">
        <v>33</v>
      </c>
      <c r="C152" s="75">
        <v>20250507</v>
      </c>
      <c r="D152" s="52">
        <v>329</v>
      </c>
      <c r="E152" s="63">
        <v>7337</v>
      </c>
      <c r="F152" s="63">
        <v>28737334</v>
      </c>
      <c r="G152" s="64">
        <v>7287</v>
      </c>
      <c r="H152" s="59">
        <v>483</v>
      </c>
      <c r="I152" s="65">
        <v>988959.51</v>
      </c>
      <c r="J152" s="53">
        <v>6854</v>
      </c>
      <c r="K152" s="54">
        <v>27748374.489999998</v>
      </c>
      <c r="L152" s="63">
        <v>14892</v>
      </c>
      <c r="M152" s="97">
        <v>27226976.960000001</v>
      </c>
      <c r="N152" s="64">
        <v>12437</v>
      </c>
      <c r="O152" s="66">
        <v>205253.13</v>
      </c>
      <c r="P152" s="66">
        <v>156936.74</v>
      </c>
    </row>
    <row r="153" spans="2:16" x14ac:dyDescent="0.2">
      <c r="B153" s="72" t="s">
        <v>33</v>
      </c>
      <c r="C153" s="75">
        <v>20250508</v>
      </c>
      <c r="D153" s="52">
        <v>328</v>
      </c>
      <c r="E153" s="63">
        <v>8036</v>
      </c>
      <c r="F153" s="63">
        <v>30089398</v>
      </c>
      <c r="G153" s="64">
        <v>7976</v>
      </c>
      <c r="H153" s="59">
        <v>745</v>
      </c>
      <c r="I153" s="65">
        <v>1660801.68</v>
      </c>
      <c r="J153" s="53">
        <v>7291</v>
      </c>
      <c r="K153" s="54">
        <v>28428596.32</v>
      </c>
      <c r="L153" s="63">
        <v>15549</v>
      </c>
      <c r="M153" s="97">
        <v>27757126.280000001</v>
      </c>
      <c r="N153" s="64">
        <v>13056</v>
      </c>
      <c r="O153" s="66">
        <v>205613.56</v>
      </c>
      <c r="P153" s="66">
        <v>170797.58000000002</v>
      </c>
    </row>
    <row r="154" spans="2:16" x14ac:dyDescent="0.2">
      <c r="B154" s="72" t="s">
        <v>33</v>
      </c>
      <c r="C154" s="75">
        <v>20250509</v>
      </c>
      <c r="D154" s="52">
        <v>327</v>
      </c>
      <c r="E154" s="63">
        <v>7600</v>
      </c>
      <c r="F154" s="63">
        <v>28810494</v>
      </c>
      <c r="G154" s="64">
        <v>7549</v>
      </c>
      <c r="H154" s="59">
        <v>590</v>
      </c>
      <c r="I154" s="65">
        <v>1346983.4</v>
      </c>
      <c r="J154" s="53">
        <v>7010</v>
      </c>
      <c r="K154" s="54">
        <v>27463510.600000001</v>
      </c>
      <c r="L154" s="63">
        <v>14263</v>
      </c>
      <c r="M154" s="97">
        <v>26021591.359999999</v>
      </c>
      <c r="N154" s="64">
        <v>11936</v>
      </c>
      <c r="O154" s="66">
        <v>206175.27999999997</v>
      </c>
      <c r="P154" s="66">
        <v>147962.01</v>
      </c>
    </row>
    <row r="155" spans="2:16" x14ac:dyDescent="0.2">
      <c r="B155" s="72" t="s">
        <v>33</v>
      </c>
      <c r="C155" s="75">
        <v>20250510</v>
      </c>
      <c r="D155" s="52">
        <v>326</v>
      </c>
      <c r="E155" s="63">
        <v>7537</v>
      </c>
      <c r="F155" s="63">
        <v>28904317</v>
      </c>
      <c r="G155" s="64">
        <v>7484</v>
      </c>
      <c r="H155" s="59">
        <v>526</v>
      </c>
      <c r="I155" s="65">
        <v>1124822.6000000001</v>
      </c>
      <c r="J155" s="53">
        <v>7011</v>
      </c>
      <c r="K155" s="54">
        <v>27779494.399999999</v>
      </c>
      <c r="L155" s="63">
        <v>13513</v>
      </c>
      <c r="M155" s="97">
        <v>24288486.09</v>
      </c>
      <c r="N155" s="64">
        <v>11139</v>
      </c>
      <c r="O155" s="66">
        <v>206858.59999999998</v>
      </c>
      <c r="P155" s="66">
        <v>134785.4</v>
      </c>
    </row>
    <row r="156" spans="2:16" x14ac:dyDescent="0.2">
      <c r="B156" s="72" t="s">
        <v>33</v>
      </c>
      <c r="C156" s="75">
        <v>20250511</v>
      </c>
      <c r="D156" s="52">
        <v>325</v>
      </c>
      <c r="E156" s="63">
        <v>6484</v>
      </c>
      <c r="F156" s="63">
        <v>22690636</v>
      </c>
      <c r="G156" s="64">
        <v>6456</v>
      </c>
      <c r="H156" s="59">
        <v>440</v>
      </c>
      <c r="I156" s="65">
        <v>931117.27</v>
      </c>
      <c r="J156" s="53">
        <v>6044</v>
      </c>
      <c r="K156" s="54">
        <v>21759518.73</v>
      </c>
      <c r="L156" s="63">
        <v>11860</v>
      </c>
      <c r="M156" s="97">
        <v>18596358.850000001</v>
      </c>
      <c r="N156" s="64">
        <v>9697</v>
      </c>
      <c r="O156" s="66">
        <v>207942.83000000002</v>
      </c>
      <c r="P156" s="66">
        <v>105148.78</v>
      </c>
    </row>
    <row r="157" spans="2:16" x14ac:dyDescent="0.2">
      <c r="B157" s="72" t="s">
        <v>33</v>
      </c>
      <c r="C157" s="75">
        <v>20250512</v>
      </c>
      <c r="D157" s="52">
        <v>324</v>
      </c>
      <c r="E157" s="63">
        <v>6938</v>
      </c>
      <c r="F157" s="63">
        <v>27831371</v>
      </c>
      <c r="G157" s="64">
        <v>6899</v>
      </c>
      <c r="H157" s="59">
        <v>449</v>
      </c>
      <c r="I157" s="65">
        <v>1068179</v>
      </c>
      <c r="J157" s="53">
        <v>6489</v>
      </c>
      <c r="K157" s="54">
        <v>26763192</v>
      </c>
      <c r="L157" s="63">
        <v>13840</v>
      </c>
      <c r="M157" s="97">
        <v>24701960.050000001</v>
      </c>
      <c r="N157" s="64">
        <v>11393</v>
      </c>
      <c r="O157" s="66">
        <v>208943.01</v>
      </c>
      <c r="P157" s="66">
        <v>143478.64000000001</v>
      </c>
    </row>
    <row r="158" spans="2:16" x14ac:dyDescent="0.2">
      <c r="B158" s="72" t="s">
        <v>33</v>
      </c>
      <c r="C158" s="75">
        <v>20250513</v>
      </c>
      <c r="D158" s="52">
        <v>323</v>
      </c>
      <c r="E158" s="63">
        <v>6280</v>
      </c>
      <c r="F158" s="63">
        <v>24724675</v>
      </c>
      <c r="G158" s="64">
        <v>6233</v>
      </c>
      <c r="H158" s="59">
        <v>464</v>
      </c>
      <c r="I158" s="65">
        <v>1103080.44</v>
      </c>
      <c r="J158" s="53">
        <v>5816</v>
      </c>
      <c r="K158" s="54">
        <v>23621594.559999999</v>
      </c>
      <c r="L158" s="63">
        <v>13255</v>
      </c>
      <c r="M158" s="97">
        <v>22624218.579999998</v>
      </c>
      <c r="N158" s="64">
        <v>11006</v>
      </c>
      <c r="O158" s="66">
        <v>209633.06</v>
      </c>
      <c r="P158" s="66">
        <v>137351.23000000001</v>
      </c>
    </row>
    <row r="159" spans="2:16" x14ac:dyDescent="0.2">
      <c r="B159" s="72" t="s">
        <v>33</v>
      </c>
      <c r="C159" s="75">
        <v>20250514</v>
      </c>
      <c r="D159" s="52">
        <v>322</v>
      </c>
      <c r="E159" s="63">
        <v>10521</v>
      </c>
      <c r="F159" s="63">
        <v>40712158</v>
      </c>
      <c r="G159" s="64">
        <v>10451</v>
      </c>
      <c r="H159" s="59">
        <v>869</v>
      </c>
      <c r="I159" s="65">
        <v>2080039.8</v>
      </c>
      <c r="J159" s="53">
        <v>9652</v>
      </c>
      <c r="K159" s="54">
        <v>38632118.200000003</v>
      </c>
      <c r="L159" s="63">
        <v>16722</v>
      </c>
      <c r="M159" s="97">
        <v>30062363.07</v>
      </c>
      <c r="N159" s="64">
        <v>13800</v>
      </c>
      <c r="O159" s="66">
        <v>210332.65999999997</v>
      </c>
      <c r="P159" s="66">
        <v>183785.39</v>
      </c>
    </row>
    <row r="160" spans="2:16" x14ac:dyDescent="0.2">
      <c r="B160" s="72" t="s">
        <v>33</v>
      </c>
      <c r="C160" s="75">
        <v>20250515</v>
      </c>
      <c r="D160" s="52">
        <v>321</v>
      </c>
      <c r="E160" s="63">
        <v>8516</v>
      </c>
      <c r="F160" s="63">
        <v>34102850</v>
      </c>
      <c r="G160" s="64">
        <v>8465</v>
      </c>
      <c r="H160" s="59">
        <v>635</v>
      </c>
      <c r="I160" s="65">
        <v>1793859</v>
      </c>
      <c r="J160" s="53">
        <v>7881</v>
      </c>
      <c r="K160" s="54">
        <v>32308991</v>
      </c>
      <c r="L160" s="63">
        <v>14637</v>
      </c>
      <c r="M160" s="97">
        <v>25775907.600000001</v>
      </c>
      <c r="N160" s="64">
        <v>12166</v>
      </c>
      <c r="O160" s="66">
        <v>212602.47</v>
      </c>
      <c r="P160" s="66">
        <v>145730.12</v>
      </c>
    </row>
    <row r="161" spans="2:16" x14ac:dyDescent="0.2">
      <c r="B161" s="72" t="s">
        <v>33</v>
      </c>
      <c r="C161" s="75">
        <v>20250516</v>
      </c>
      <c r="D161" s="52">
        <v>320</v>
      </c>
      <c r="E161" s="63">
        <v>7488</v>
      </c>
      <c r="F161" s="63">
        <v>30398745</v>
      </c>
      <c r="G161" s="64">
        <v>7446</v>
      </c>
      <c r="H161" s="59">
        <v>585</v>
      </c>
      <c r="I161" s="65">
        <v>1469040.1</v>
      </c>
      <c r="J161" s="53">
        <v>6903</v>
      </c>
      <c r="K161" s="54">
        <v>28929704.899999999</v>
      </c>
      <c r="L161" s="63">
        <v>14048</v>
      </c>
      <c r="M161" s="97">
        <v>25531807.210000001</v>
      </c>
      <c r="N161" s="64">
        <v>11658</v>
      </c>
      <c r="O161" s="66">
        <v>214500.03000000003</v>
      </c>
      <c r="P161" s="66">
        <v>143967.51</v>
      </c>
    </row>
    <row r="162" spans="2:16" x14ac:dyDescent="0.2">
      <c r="B162" s="72" t="s">
        <v>33</v>
      </c>
      <c r="C162" s="75">
        <v>20250517</v>
      </c>
      <c r="D162" s="52">
        <v>319</v>
      </c>
      <c r="E162" s="63">
        <v>7209</v>
      </c>
      <c r="F162" s="63">
        <v>27272436</v>
      </c>
      <c r="G162" s="64">
        <v>7161</v>
      </c>
      <c r="H162" s="59">
        <v>508</v>
      </c>
      <c r="I162" s="65">
        <v>1235149.49</v>
      </c>
      <c r="J162" s="53">
        <v>6701</v>
      </c>
      <c r="K162" s="54">
        <v>26037286.510000002</v>
      </c>
      <c r="L162" s="63">
        <v>13024</v>
      </c>
      <c r="M162" s="97">
        <v>21745089.77</v>
      </c>
      <c r="N162" s="64">
        <v>10764</v>
      </c>
      <c r="O162" s="66">
        <v>215844.21</v>
      </c>
      <c r="P162" s="66">
        <v>123784.9</v>
      </c>
    </row>
    <row r="163" spans="2:16" x14ac:dyDescent="0.2">
      <c r="B163" s="72" t="s">
        <v>33</v>
      </c>
      <c r="C163" s="75">
        <v>20250518</v>
      </c>
      <c r="D163" s="52">
        <v>318</v>
      </c>
      <c r="E163" s="63">
        <v>5990</v>
      </c>
      <c r="F163" s="63">
        <v>20744094</v>
      </c>
      <c r="G163" s="64">
        <v>5956</v>
      </c>
      <c r="H163" s="59">
        <v>439</v>
      </c>
      <c r="I163" s="65">
        <v>914448.86</v>
      </c>
      <c r="J163" s="53">
        <v>5551</v>
      </c>
      <c r="K163" s="54">
        <v>19829645.140000001</v>
      </c>
      <c r="L163" s="63">
        <v>11043</v>
      </c>
      <c r="M163" s="97">
        <v>16101809.630000001</v>
      </c>
      <c r="N163" s="64">
        <v>9024</v>
      </c>
      <c r="O163" s="66">
        <v>217194.72000000003</v>
      </c>
      <c r="P163" s="66">
        <v>91873.709999999992</v>
      </c>
    </row>
    <row r="164" spans="2:16" x14ac:dyDescent="0.2">
      <c r="B164" s="72" t="s">
        <v>33</v>
      </c>
      <c r="C164" s="75">
        <v>20250519</v>
      </c>
      <c r="D164" s="52">
        <v>317</v>
      </c>
      <c r="E164" s="63">
        <v>6430</v>
      </c>
      <c r="F164" s="63">
        <v>25466059</v>
      </c>
      <c r="G164" s="64">
        <v>6395</v>
      </c>
      <c r="H164" s="59">
        <v>435</v>
      </c>
      <c r="I164" s="65">
        <v>1006702.69</v>
      </c>
      <c r="J164" s="53">
        <v>5995</v>
      </c>
      <c r="K164" s="54">
        <v>24459356.309999999</v>
      </c>
      <c r="L164" s="63">
        <v>12668</v>
      </c>
      <c r="M164" s="97">
        <v>21012289.010000002</v>
      </c>
      <c r="N164" s="64">
        <v>10519</v>
      </c>
      <c r="O164" s="66">
        <v>218380.87999999998</v>
      </c>
      <c r="P164" s="66">
        <v>123781.46</v>
      </c>
    </row>
    <row r="165" spans="2:16" x14ac:dyDescent="0.2">
      <c r="B165" s="72" t="s">
        <v>33</v>
      </c>
      <c r="C165" s="75">
        <v>20250520</v>
      </c>
      <c r="D165" s="52">
        <v>316</v>
      </c>
      <c r="E165" s="63">
        <v>6572</v>
      </c>
      <c r="F165" s="63">
        <v>22721840</v>
      </c>
      <c r="G165" s="64">
        <v>6537</v>
      </c>
      <c r="H165" s="59">
        <v>696</v>
      </c>
      <c r="I165" s="65">
        <v>1340508.7</v>
      </c>
      <c r="J165" s="53">
        <v>5876</v>
      </c>
      <c r="K165" s="54">
        <v>21381331.300000001</v>
      </c>
      <c r="L165" s="63">
        <v>13753</v>
      </c>
      <c r="M165" s="97">
        <v>22434120.32</v>
      </c>
      <c r="N165" s="64">
        <v>11477</v>
      </c>
      <c r="O165" s="66">
        <v>219466.33000000002</v>
      </c>
      <c r="P165" s="66">
        <v>129510.78</v>
      </c>
    </row>
    <row r="166" spans="2:16" x14ac:dyDescent="0.2">
      <c r="B166" s="72" t="s">
        <v>33</v>
      </c>
      <c r="C166" s="75">
        <v>20250521</v>
      </c>
      <c r="D166" s="52">
        <v>315</v>
      </c>
      <c r="E166" s="63">
        <v>9751</v>
      </c>
      <c r="F166" s="63">
        <v>33778665</v>
      </c>
      <c r="G166" s="64">
        <v>9672</v>
      </c>
      <c r="H166" s="59">
        <v>990</v>
      </c>
      <c r="I166" s="65">
        <v>1805206.75</v>
      </c>
      <c r="J166" s="53">
        <v>8761</v>
      </c>
      <c r="K166" s="54">
        <v>31973458.25</v>
      </c>
      <c r="L166" s="63">
        <v>14083</v>
      </c>
      <c r="M166" s="97">
        <v>23931721.899999999</v>
      </c>
      <c r="N166" s="64">
        <v>11623</v>
      </c>
      <c r="O166" s="66">
        <v>219554.83</v>
      </c>
      <c r="P166" s="66">
        <v>140451.13</v>
      </c>
    </row>
    <row r="167" spans="2:16" x14ac:dyDescent="0.2">
      <c r="B167" s="72" t="s">
        <v>33</v>
      </c>
      <c r="C167" s="75">
        <v>20250522</v>
      </c>
      <c r="D167" s="52">
        <v>314</v>
      </c>
      <c r="E167" s="63">
        <v>7456</v>
      </c>
      <c r="F167" s="63">
        <v>27410042</v>
      </c>
      <c r="G167" s="64">
        <v>7403</v>
      </c>
      <c r="H167" s="59">
        <v>707</v>
      </c>
      <c r="I167" s="65">
        <v>1395420.08</v>
      </c>
      <c r="J167" s="53">
        <v>6749</v>
      </c>
      <c r="K167" s="54">
        <v>26014621.920000002</v>
      </c>
      <c r="L167" s="63">
        <v>13453</v>
      </c>
      <c r="M167" s="97">
        <v>23140006.050000001</v>
      </c>
      <c r="N167" s="64">
        <v>11063</v>
      </c>
      <c r="O167" s="66">
        <v>221776</v>
      </c>
      <c r="P167" s="66">
        <v>136583.09</v>
      </c>
    </row>
    <row r="168" spans="2:16" x14ac:dyDescent="0.2">
      <c r="B168" s="72" t="s">
        <v>33</v>
      </c>
      <c r="C168" s="75">
        <v>20250523</v>
      </c>
      <c r="D168" s="52">
        <v>313</v>
      </c>
      <c r="E168" s="63">
        <v>6855</v>
      </c>
      <c r="F168" s="63">
        <v>27755105</v>
      </c>
      <c r="G168" s="64">
        <v>6805</v>
      </c>
      <c r="H168" s="59">
        <v>523</v>
      </c>
      <c r="I168" s="65">
        <v>1198189.43</v>
      </c>
      <c r="J168" s="53">
        <v>6332</v>
      </c>
      <c r="K168" s="54">
        <v>26556915.57</v>
      </c>
      <c r="L168" s="63">
        <v>13632</v>
      </c>
      <c r="M168" s="97">
        <v>26143721.739999998</v>
      </c>
      <c r="N168" s="64">
        <v>11399</v>
      </c>
      <c r="O168" s="66">
        <v>222834.59000000003</v>
      </c>
      <c r="P168" s="66">
        <v>148431.9</v>
      </c>
    </row>
    <row r="169" spans="2:16" x14ac:dyDescent="0.2">
      <c r="B169" s="72" t="s">
        <v>33</v>
      </c>
      <c r="C169" s="75">
        <v>20250524</v>
      </c>
      <c r="D169" s="52">
        <v>312</v>
      </c>
      <c r="E169" s="63">
        <v>6768</v>
      </c>
      <c r="F169" s="63">
        <v>26110420</v>
      </c>
      <c r="G169" s="64">
        <v>6710</v>
      </c>
      <c r="H169" s="59">
        <v>469</v>
      </c>
      <c r="I169" s="65">
        <v>1077727.2</v>
      </c>
      <c r="J169" s="53">
        <v>6299</v>
      </c>
      <c r="K169" s="54">
        <v>25032692.800000001</v>
      </c>
      <c r="L169" s="63">
        <v>14155</v>
      </c>
      <c r="M169" s="97">
        <v>26107755.41</v>
      </c>
      <c r="N169" s="64">
        <v>11593</v>
      </c>
      <c r="O169" s="66">
        <v>223288.66</v>
      </c>
      <c r="P169" s="66">
        <v>148581.54</v>
      </c>
    </row>
    <row r="170" spans="2:16" x14ac:dyDescent="0.2">
      <c r="B170" s="72" t="s">
        <v>33</v>
      </c>
      <c r="C170" s="75">
        <v>20250525</v>
      </c>
      <c r="D170" s="52">
        <v>311</v>
      </c>
      <c r="E170" s="63">
        <v>6066</v>
      </c>
      <c r="F170" s="63">
        <v>22750948</v>
      </c>
      <c r="G170" s="64">
        <v>6014</v>
      </c>
      <c r="H170" s="59">
        <v>461</v>
      </c>
      <c r="I170" s="65">
        <v>1096909.45</v>
      </c>
      <c r="J170" s="53">
        <v>5605</v>
      </c>
      <c r="K170" s="54">
        <v>21654038.550000001</v>
      </c>
      <c r="L170" s="63">
        <v>11713</v>
      </c>
      <c r="M170" s="97">
        <v>19754211.440000001</v>
      </c>
      <c r="N170" s="64">
        <v>9606</v>
      </c>
      <c r="O170" s="66">
        <v>223459.5</v>
      </c>
      <c r="P170" s="66">
        <v>115384.77</v>
      </c>
    </row>
    <row r="171" spans="2:16" x14ac:dyDescent="0.2">
      <c r="B171" s="72" t="s">
        <v>33</v>
      </c>
      <c r="C171" s="75">
        <v>20250526</v>
      </c>
      <c r="D171" s="52">
        <v>310</v>
      </c>
      <c r="E171" s="63">
        <v>5410</v>
      </c>
      <c r="F171" s="63">
        <v>22833775</v>
      </c>
      <c r="G171" s="64">
        <v>5389</v>
      </c>
      <c r="H171" s="59">
        <v>378</v>
      </c>
      <c r="I171" s="65">
        <v>869763.43</v>
      </c>
      <c r="J171" s="53">
        <v>5032</v>
      </c>
      <c r="K171" s="54">
        <v>21964011.57</v>
      </c>
      <c r="L171" s="63">
        <v>14418</v>
      </c>
      <c r="M171" s="97">
        <v>29074919.93</v>
      </c>
      <c r="N171" s="64">
        <v>12216</v>
      </c>
      <c r="O171" s="66">
        <v>224380.45</v>
      </c>
      <c r="P171" s="66">
        <v>168993.28</v>
      </c>
    </row>
    <row r="172" spans="2:16" x14ac:dyDescent="0.2">
      <c r="B172" s="72" t="s">
        <v>33</v>
      </c>
      <c r="C172" s="75">
        <v>20250527</v>
      </c>
      <c r="D172" s="52">
        <v>309</v>
      </c>
      <c r="E172" s="63">
        <v>6599</v>
      </c>
      <c r="F172" s="63">
        <v>28900382</v>
      </c>
      <c r="G172" s="64">
        <v>6567</v>
      </c>
      <c r="H172" s="59">
        <v>484</v>
      </c>
      <c r="I172" s="65">
        <v>1241965.68</v>
      </c>
      <c r="J172" s="53">
        <v>6115</v>
      </c>
      <c r="K172" s="54">
        <v>27658416.32</v>
      </c>
      <c r="L172" s="63">
        <v>14579</v>
      </c>
      <c r="M172" s="97">
        <v>29039967.100000001</v>
      </c>
      <c r="N172" s="64">
        <v>12215</v>
      </c>
      <c r="O172" s="66">
        <v>223131.49000000002</v>
      </c>
      <c r="P172" s="66">
        <v>171457.81</v>
      </c>
    </row>
    <row r="173" spans="2:16" x14ac:dyDescent="0.2">
      <c r="B173" s="72" t="s">
        <v>33</v>
      </c>
      <c r="C173" s="75">
        <v>20250528</v>
      </c>
      <c r="D173" s="52">
        <v>308</v>
      </c>
      <c r="E173" s="63">
        <v>7063</v>
      </c>
      <c r="F173" s="63">
        <v>28858095</v>
      </c>
      <c r="G173" s="64">
        <v>7013</v>
      </c>
      <c r="H173" s="59">
        <v>603</v>
      </c>
      <c r="I173" s="65">
        <v>1310745.96</v>
      </c>
      <c r="J173" s="53">
        <v>6460</v>
      </c>
      <c r="K173" s="54">
        <v>27547349.039999999</v>
      </c>
      <c r="L173" s="63">
        <v>15171</v>
      </c>
      <c r="M173" s="97">
        <v>29078947.719999999</v>
      </c>
      <c r="N173" s="64">
        <v>12778</v>
      </c>
      <c r="O173" s="66">
        <v>223172.18000000002</v>
      </c>
      <c r="P173" s="66">
        <v>184924.61</v>
      </c>
    </row>
    <row r="174" spans="2:16" x14ac:dyDescent="0.2">
      <c r="B174" s="72" t="s">
        <v>33</v>
      </c>
      <c r="C174" s="75">
        <v>20250529</v>
      </c>
      <c r="D174" s="52">
        <v>307</v>
      </c>
      <c r="E174" s="63">
        <v>30121</v>
      </c>
      <c r="F174" s="63">
        <v>48883719</v>
      </c>
      <c r="G174" s="64">
        <v>29988</v>
      </c>
      <c r="H174" s="59">
        <v>20314</v>
      </c>
      <c r="I174" s="65">
        <v>16769683.67</v>
      </c>
      <c r="J174" s="53">
        <v>9807</v>
      </c>
      <c r="K174" s="54">
        <v>32114035.329999998</v>
      </c>
      <c r="L174" s="63">
        <v>15523</v>
      </c>
      <c r="M174" s="97">
        <v>30256666.859999999</v>
      </c>
      <c r="N174" s="64">
        <v>13102</v>
      </c>
      <c r="O174" s="66">
        <v>223330.77000000002</v>
      </c>
      <c r="P174" s="66">
        <v>180567.92</v>
      </c>
    </row>
    <row r="175" spans="2:16" x14ac:dyDescent="0.2">
      <c r="B175" s="72" t="s">
        <v>33</v>
      </c>
      <c r="C175" s="75">
        <v>20250530</v>
      </c>
      <c r="D175" s="52">
        <v>306</v>
      </c>
      <c r="E175" s="63">
        <v>21787</v>
      </c>
      <c r="F175" s="63">
        <v>38986358</v>
      </c>
      <c r="G175" s="64">
        <v>21710</v>
      </c>
      <c r="H175" s="59">
        <v>14218</v>
      </c>
      <c r="I175" s="65">
        <v>13175026.59</v>
      </c>
      <c r="J175" s="53">
        <v>7569</v>
      </c>
      <c r="K175" s="54">
        <v>25811331.41</v>
      </c>
      <c r="L175" s="63">
        <v>16358</v>
      </c>
      <c r="M175" s="97">
        <v>33483696.899999999</v>
      </c>
      <c r="N175" s="64">
        <v>13901</v>
      </c>
      <c r="O175" s="66">
        <v>227431.81999999998</v>
      </c>
      <c r="P175" s="66">
        <v>201546.09000000003</v>
      </c>
    </row>
    <row r="176" spans="2:16" x14ac:dyDescent="0.2">
      <c r="B176" s="72" t="s">
        <v>33</v>
      </c>
      <c r="C176" s="75">
        <v>20250531</v>
      </c>
      <c r="D176" s="52">
        <v>305</v>
      </c>
      <c r="E176" s="63">
        <v>12967</v>
      </c>
      <c r="F176" s="63">
        <v>42279574</v>
      </c>
      <c r="G176" s="64">
        <v>12874</v>
      </c>
      <c r="H176" s="59">
        <v>3751</v>
      </c>
      <c r="I176" s="65">
        <v>4487148.9800000004</v>
      </c>
      <c r="J176" s="53">
        <v>9216</v>
      </c>
      <c r="K176" s="54">
        <v>37792425.019999996</v>
      </c>
      <c r="L176" s="63">
        <v>15639</v>
      </c>
      <c r="M176" s="97">
        <v>32252415.07</v>
      </c>
      <c r="N176" s="64">
        <v>13274</v>
      </c>
      <c r="O176" s="66">
        <v>228917.93</v>
      </c>
      <c r="P176" s="66">
        <v>186814.4</v>
      </c>
    </row>
    <row r="177" spans="2:16" x14ac:dyDescent="0.2">
      <c r="B177" s="72">
        <v>202506</v>
      </c>
      <c r="C177" s="75">
        <v>20250601</v>
      </c>
      <c r="D177" s="52">
        <v>304</v>
      </c>
      <c r="E177" s="63">
        <v>7043</v>
      </c>
      <c r="F177" s="63">
        <v>27063921</v>
      </c>
      <c r="G177" s="64">
        <v>6977</v>
      </c>
      <c r="H177" s="59">
        <v>462</v>
      </c>
      <c r="I177" s="65">
        <v>1035481.38</v>
      </c>
      <c r="J177" s="53">
        <v>6581</v>
      </c>
      <c r="K177" s="54">
        <v>26028439.620000001</v>
      </c>
      <c r="L177" s="63">
        <v>14043</v>
      </c>
      <c r="M177" s="97">
        <v>25232178.050000001</v>
      </c>
      <c r="N177" s="64">
        <v>11758</v>
      </c>
      <c r="O177" s="66">
        <v>231257.91</v>
      </c>
      <c r="P177" s="66">
        <v>154936.87</v>
      </c>
    </row>
    <row r="178" spans="2:16" x14ac:dyDescent="0.2">
      <c r="B178" s="72">
        <v>202506</v>
      </c>
      <c r="C178" s="75">
        <v>20250602</v>
      </c>
      <c r="D178" s="52">
        <v>303</v>
      </c>
      <c r="E178" s="63">
        <v>7706</v>
      </c>
      <c r="F178" s="63">
        <v>31407217</v>
      </c>
      <c r="G178" s="64">
        <v>7641</v>
      </c>
      <c r="H178" s="59">
        <v>485</v>
      </c>
      <c r="I178" s="65">
        <v>1185001.18</v>
      </c>
      <c r="J178" s="53">
        <v>7221</v>
      </c>
      <c r="K178" s="54">
        <v>30222215.82</v>
      </c>
      <c r="L178" s="63">
        <v>15395</v>
      </c>
      <c r="M178" s="97">
        <v>27117379.620000001</v>
      </c>
      <c r="N178" s="64">
        <v>12760</v>
      </c>
      <c r="O178" s="66">
        <v>231926.69999999998</v>
      </c>
      <c r="P178" s="66">
        <v>167647.87</v>
      </c>
    </row>
    <row r="179" spans="2:16" x14ac:dyDescent="0.2">
      <c r="B179" s="72">
        <v>202506</v>
      </c>
      <c r="C179" s="75">
        <v>20250603</v>
      </c>
      <c r="D179" s="52">
        <v>302</v>
      </c>
      <c r="E179" s="63">
        <v>7613</v>
      </c>
      <c r="F179" s="63">
        <v>31982505</v>
      </c>
      <c r="G179" s="64">
        <v>7555</v>
      </c>
      <c r="H179" s="59">
        <v>453</v>
      </c>
      <c r="I179" s="65">
        <v>1314624.18</v>
      </c>
      <c r="J179" s="53">
        <v>7160</v>
      </c>
      <c r="K179" s="54">
        <v>30667880.82</v>
      </c>
      <c r="L179" s="63">
        <v>16814</v>
      </c>
      <c r="M179" s="97">
        <v>32737001.870000001</v>
      </c>
      <c r="N179" s="64">
        <v>14235</v>
      </c>
      <c r="O179" s="66">
        <v>233062.22999999998</v>
      </c>
      <c r="P179" s="66">
        <v>195796.71999999997</v>
      </c>
    </row>
    <row r="180" spans="2:16" x14ac:dyDescent="0.2">
      <c r="B180" s="72">
        <v>202506</v>
      </c>
      <c r="C180" s="75">
        <v>20250604</v>
      </c>
      <c r="D180" s="52">
        <v>301</v>
      </c>
      <c r="E180" s="63">
        <v>7863</v>
      </c>
      <c r="F180" s="63">
        <v>33707215</v>
      </c>
      <c r="G180" s="64">
        <v>7805</v>
      </c>
      <c r="H180" s="59">
        <v>484</v>
      </c>
      <c r="I180" s="65">
        <v>1276808.1399999999</v>
      </c>
      <c r="J180" s="53">
        <v>7379</v>
      </c>
      <c r="K180" s="54">
        <v>32430406.859999999</v>
      </c>
      <c r="L180" s="63">
        <v>17186</v>
      </c>
      <c r="M180" s="97">
        <v>34489140.359999999</v>
      </c>
      <c r="N180" s="64">
        <v>14530</v>
      </c>
      <c r="O180" s="66">
        <v>232953.83000000002</v>
      </c>
      <c r="P180" s="66">
        <v>205377.52000000002</v>
      </c>
    </row>
    <row r="181" spans="2:16" x14ac:dyDescent="0.2">
      <c r="B181" s="72">
        <v>202506</v>
      </c>
      <c r="C181" s="75">
        <v>20250605</v>
      </c>
      <c r="D181" s="52">
        <v>300</v>
      </c>
      <c r="E181" s="63">
        <v>11035</v>
      </c>
      <c r="F181" s="63">
        <v>37942685</v>
      </c>
      <c r="G181" s="64">
        <v>10951</v>
      </c>
      <c r="H181" s="59">
        <v>1169</v>
      </c>
      <c r="I181" s="65">
        <v>1882498.61</v>
      </c>
      <c r="J181" s="53">
        <v>9866</v>
      </c>
      <c r="K181" s="54">
        <v>36060186.390000001</v>
      </c>
      <c r="L181" s="63">
        <v>19016</v>
      </c>
      <c r="M181" s="97">
        <v>37159516.539999999</v>
      </c>
      <c r="N181" s="64">
        <v>16049</v>
      </c>
      <c r="O181" s="66">
        <v>232990.57</v>
      </c>
      <c r="P181" s="66">
        <v>236733.88</v>
      </c>
    </row>
    <row r="182" spans="2:16" x14ac:dyDescent="0.2">
      <c r="B182" s="72">
        <v>202506</v>
      </c>
      <c r="C182" s="75">
        <v>20250606</v>
      </c>
      <c r="D182" s="52">
        <v>299</v>
      </c>
      <c r="E182" s="63">
        <v>10008</v>
      </c>
      <c r="F182" s="63">
        <v>34984207</v>
      </c>
      <c r="G182" s="64">
        <v>9906</v>
      </c>
      <c r="H182" s="59">
        <v>1008</v>
      </c>
      <c r="I182" s="65">
        <v>1805269.31</v>
      </c>
      <c r="J182" s="53">
        <v>9000</v>
      </c>
      <c r="K182" s="54">
        <v>33178937.690000001</v>
      </c>
      <c r="L182" s="63">
        <v>17170</v>
      </c>
      <c r="M182" s="97">
        <v>30319319.34</v>
      </c>
      <c r="N182" s="64">
        <v>14313</v>
      </c>
      <c r="O182" s="66">
        <v>233189.06999999998</v>
      </c>
      <c r="P182" s="66">
        <v>180032.95</v>
      </c>
    </row>
    <row r="183" spans="2:16" x14ac:dyDescent="0.2">
      <c r="B183" s="72">
        <v>202506</v>
      </c>
      <c r="C183" s="75">
        <v>20250607</v>
      </c>
      <c r="D183" s="52">
        <v>298</v>
      </c>
      <c r="E183" s="63">
        <v>9414</v>
      </c>
      <c r="F183" s="63">
        <v>32722306</v>
      </c>
      <c r="G183" s="64">
        <v>9326</v>
      </c>
      <c r="H183" s="59">
        <v>917</v>
      </c>
      <c r="I183" s="65">
        <v>1579626.84</v>
      </c>
      <c r="J183" s="53">
        <v>8497</v>
      </c>
      <c r="K183" s="54">
        <v>31142679.16</v>
      </c>
      <c r="L183" s="63">
        <v>15691</v>
      </c>
      <c r="M183" s="97">
        <v>27235997.02</v>
      </c>
      <c r="N183" s="64">
        <v>13035</v>
      </c>
      <c r="O183" s="66">
        <v>234230.24</v>
      </c>
      <c r="P183" s="66">
        <v>155407.49</v>
      </c>
    </row>
    <row r="184" spans="2:16" x14ac:dyDescent="0.2">
      <c r="B184" s="72">
        <v>202506</v>
      </c>
      <c r="C184" s="75">
        <v>20250608</v>
      </c>
      <c r="D184" s="52">
        <v>297</v>
      </c>
      <c r="E184" s="63">
        <v>7975</v>
      </c>
      <c r="F184" s="63">
        <v>26986051</v>
      </c>
      <c r="G184" s="64">
        <v>7901</v>
      </c>
      <c r="H184" s="59">
        <v>722</v>
      </c>
      <c r="I184" s="65">
        <v>1253731.5900000001</v>
      </c>
      <c r="J184" s="53">
        <v>7253</v>
      </c>
      <c r="K184" s="54">
        <v>25732319.41</v>
      </c>
      <c r="L184" s="63">
        <v>13058</v>
      </c>
      <c r="M184" s="97">
        <v>20361474.440000001</v>
      </c>
      <c r="N184" s="64">
        <v>10736</v>
      </c>
      <c r="O184" s="66">
        <v>235579.18</v>
      </c>
      <c r="P184" s="66">
        <v>120187.67</v>
      </c>
    </row>
    <row r="185" spans="2:16" x14ac:dyDescent="0.2">
      <c r="B185" s="72">
        <v>202506</v>
      </c>
      <c r="C185" s="75">
        <v>20250609</v>
      </c>
      <c r="D185" s="52">
        <v>296</v>
      </c>
      <c r="E185" s="63">
        <v>13475</v>
      </c>
      <c r="F185" s="63">
        <v>43806153</v>
      </c>
      <c r="G185" s="64">
        <v>13377</v>
      </c>
      <c r="H185" s="59">
        <v>1793</v>
      </c>
      <c r="I185" s="65">
        <v>2619111.8199999998</v>
      </c>
      <c r="J185" s="53">
        <v>11682</v>
      </c>
      <c r="K185" s="54">
        <v>41187041.18</v>
      </c>
      <c r="L185" s="63">
        <v>16929</v>
      </c>
      <c r="M185" s="97">
        <v>30158953.079999998</v>
      </c>
      <c r="N185" s="64">
        <v>14262</v>
      </c>
      <c r="O185" s="66">
        <v>237182.77</v>
      </c>
      <c r="P185" s="66">
        <v>180074.11</v>
      </c>
    </row>
    <row r="186" spans="2:16" x14ac:dyDescent="0.2">
      <c r="B186" s="72">
        <v>202506</v>
      </c>
      <c r="C186" s="75">
        <v>20250610</v>
      </c>
      <c r="D186" s="52">
        <v>295</v>
      </c>
      <c r="E186" s="63">
        <v>9896</v>
      </c>
      <c r="F186" s="63">
        <v>35174056</v>
      </c>
      <c r="G186" s="64">
        <v>9816</v>
      </c>
      <c r="H186" s="59">
        <v>972</v>
      </c>
      <c r="I186" s="65">
        <v>1785870.87</v>
      </c>
      <c r="J186" s="53">
        <v>8924</v>
      </c>
      <c r="K186" s="54">
        <v>33388185.129999999</v>
      </c>
      <c r="L186" s="63">
        <v>16149</v>
      </c>
      <c r="M186" s="97">
        <v>28198554.329999998</v>
      </c>
      <c r="N186" s="64">
        <v>13523</v>
      </c>
      <c r="O186" s="66">
        <v>240241.77999999997</v>
      </c>
      <c r="P186" s="66">
        <v>171279.18</v>
      </c>
    </row>
    <row r="187" spans="2:16" x14ac:dyDescent="0.2">
      <c r="B187" s="72">
        <v>202506</v>
      </c>
      <c r="C187" s="75">
        <v>20250611</v>
      </c>
      <c r="D187" s="52">
        <v>294</v>
      </c>
      <c r="E187" s="63">
        <v>8105</v>
      </c>
      <c r="F187" s="63">
        <v>29408436</v>
      </c>
      <c r="G187" s="64">
        <v>8035</v>
      </c>
      <c r="H187" s="59">
        <v>747</v>
      </c>
      <c r="I187" s="65">
        <v>1531130.4</v>
      </c>
      <c r="J187" s="53">
        <v>7358</v>
      </c>
      <c r="K187" s="54">
        <v>27877305.600000001</v>
      </c>
      <c r="L187" s="63">
        <v>15572</v>
      </c>
      <c r="M187" s="97">
        <v>26966382.210000001</v>
      </c>
      <c r="N187" s="64">
        <v>13079</v>
      </c>
      <c r="O187" s="66">
        <v>241752.72999999998</v>
      </c>
      <c r="P187" s="66">
        <v>161036.95000000001</v>
      </c>
    </row>
    <row r="188" spans="2:16" x14ac:dyDescent="0.2">
      <c r="B188" s="72">
        <v>202506</v>
      </c>
      <c r="C188" s="75">
        <v>20250612</v>
      </c>
      <c r="D188" s="52">
        <v>293</v>
      </c>
      <c r="E188" s="63">
        <v>7148</v>
      </c>
      <c r="F188" s="63">
        <v>26797168</v>
      </c>
      <c r="G188" s="64">
        <v>7099</v>
      </c>
      <c r="H188" s="59">
        <v>664</v>
      </c>
      <c r="I188" s="65">
        <v>1386782.03</v>
      </c>
      <c r="J188" s="53">
        <v>6484</v>
      </c>
      <c r="K188" s="54">
        <v>25410385.969999999</v>
      </c>
      <c r="L188" s="63">
        <v>15557</v>
      </c>
      <c r="M188" s="97">
        <v>26481114.800000001</v>
      </c>
      <c r="N188" s="64">
        <v>13036</v>
      </c>
      <c r="O188" s="66">
        <v>242451.98</v>
      </c>
      <c r="P188" s="66">
        <v>159017.14000000001</v>
      </c>
    </row>
    <row r="189" spans="2:16" x14ac:dyDescent="0.2">
      <c r="B189" s="72">
        <v>202506</v>
      </c>
      <c r="C189" s="75">
        <v>20250613</v>
      </c>
      <c r="D189" s="52">
        <v>292</v>
      </c>
      <c r="E189" s="63">
        <v>7052</v>
      </c>
      <c r="F189" s="63">
        <v>26300836</v>
      </c>
      <c r="G189" s="64">
        <v>6993</v>
      </c>
      <c r="H189" s="59">
        <v>627</v>
      </c>
      <c r="I189" s="65">
        <v>1312042.3999999999</v>
      </c>
      <c r="J189" s="53">
        <v>6425</v>
      </c>
      <c r="K189" s="54">
        <v>24988793.600000001</v>
      </c>
      <c r="L189" s="63">
        <v>14973</v>
      </c>
      <c r="M189" s="97">
        <v>25252185.34</v>
      </c>
      <c r="N189" s="64">
        <v>12477</v>
      </c>
      <c r="O189" s="66">
        <v>242581.36</v>
      </c>
      <c r="P189" s="66">
        <v>150223.81</v>
      </c>
    </row>
    <row r="190" spans="2:16" x14ac:dyDescent="0.2">
      <c r="B190" s="72">
        <v>202506</v>
      </c>
      <c r="C190" s="75">
        <v>20250614</v>
      </c>
      <c r="D190" s="52">
        <v>291</v>
      </c>
      <c r="E190" s="63">
        <v>9262</v>
      </c>
      <c r="F190" s="63">
        <v>34656862</v>
      </c>
      <c r="G190" s="64">
        <v>9207</v>
      </c>
      <c r="H190" s="59">
        <v>877</v>
      </c>
      <c r="I190" s="65">
        <v>1850792.25</v>
      </c>
      <c r="J190" s="53">
        <v>8385</v>
      </c>
      <c r="K190" s="54">
        <v>32806069.75</v>
      </c>
      <c r="L190" s="63">
        <v>14814</v>
      </c>
      <c r="M190" s="97">
        <v>24807422.84</v>
      </c>
      <c r="N190" s="64">
        <v>12222</v>
      </c>
      <c r="O190" s="66">
        <v>243081.26</v>
      </c>
      <c r="P190" s="66">
        <v>146729.40000000002</v>
      </c>
    </row>
    <row r="191" spans="2:16" x14ac:dyDescent="0.2">
      <c r="B191" s="72">
        <v>202506</v>
      </c>
      <c r="C191" s="75">
        <v>20250615</v>
      </c>
      <c r="D191" s="52">
        <v>290</v>
      </c>
      <c r="E191" s="63">
        <v>7146</v>
      </c>
      <c r="F191" s="63">
        <v>23736782</v>
      </c>
      <c r="G191" s="64">
        <v>7088</v>
      </c>
      <c r="H191" s="59">
        <v>635</v>
      </c>
      <c r="I191" s="65">
        <v>1133613.06</v>
      </c>
      <c r="J191" s="53">
        <v>6511</v>
      </c>
      <c r="K191" s="54">
        <v>22603168.940000001</v>
      </c>
      <c r="L191" s="63">
        <v>12507</v>
      </c>
      <c r="M191" s="97">
        <v>18983086</v>
      </c>
      <c r="N191" s="64">
        <v>10188</v>
      </c>
      <c r="O191" s="66">
        <v>245417.2</v>
      </c>
      <c r="P191" s="66">
        <v>113088.88</v>
      </c>
    </row>
    <row r="192" spans="2:16" x14ac:dyDescent="0.2">
      <c r="B192" s="72">
        <v>202506</v>
      </c>
      <c r="C192" s="75">
        <v>20250616</v>
      </c>
      <c r="D192" s="52">
        <v>289</v>
      </c>
      <c r="E192" s="63">
        <v>7657</v>
      </c>
      <c r="F192" s="63">
        <v>29310495</v>
      </c>
      <c r="G192" s="64">
        <v>7601</v>
      </c>
      <c r="H192" s="59">
        <v>664</v>
      </c>
      <c r="I192" s="65">
        <v>1227554.3999999999</v>
      </c>
      <c r="J192" s="53">
        <v>6993</v>
      </c>
      <c r="K192" s="54">
        <v>28082940.600000001</v>
      </c>
      <c r="L192" s="63">
        <v>14942</v>
      </c>
      <c r="M192" s="97">
        <v>25840477.120000001</v>
      </c>
      <c r="N192" s="64">
        <v>12301</v>
      </c>
      <c r="O192" s="66">
        <v>246727.37</v>
      </c>
      <c r="P192" s="66">
        <v>155554</v>
      </c>
    </row>
    <row r="193" spans="2:16" x14ac:dyDescent="0.2">
      <c r="B193" s="72">
        <v>202506</v>
      </c>
      <c r="C193" s="75">
        <v>20250617</v>
      </c>
      <c r="D193" s="52">
        <v>288</v>
      </c>
      <c r="E193" s="63">
        <v>7075</v>
      </c>
      <c r="F193" s="63">
        <v>26240041</v>
      </c>
      <c r="G193" s="64">
        <v>6997</v>
      </c>
      <c r="H193" s="59">
        <v>620</v>
      </c>
      <c r="I193" s="65">
        <v>1258631.5900000001</v>
      </c>
      <c r="J193" s="53">
        <v>6455</v>
      </c>
      <c r="K193" s="54">
        <v>24981409.41</v>
      </c>
      <c r="L193" s="63">
        <v>14436</v>
      </c>
      <c r="M193" s="97">
        <v>23418158.98</v>
      </c>
      <c r="N193" s="64">
        <v>11989</v>
      </c>
      <c r="O193" s="66">
        <v>247579.4</v>
      </c>
      <c r="P193" s="66">
        <v>137043.06</v>
      </c>
    </row>
    <row r="194" spans="2:16" x14ac:dyDescent="0.2">
      <c r="B194" s="72">
        <v>202506</v>
      </c>
      <c r="C194" s="75">
        <v>20250618</v>
      </c>
      <c r="D194" s="52">
        <v>287</v>
      </c>
      <c r="E194" s="63">
        <v>4340</v>
      </c>
      <c r="F194" s="63">
        <v>16411014</v>
      </c>
      <c r="G194" s="64">
        <v>4307</v>
      </c>
      <c r="H194" s="59">
        <v>342</v>
      </c>
      <c r="I194" s="65">
        <v>664263.11</v>
      </c>
      <c r="J194" s="53">
        <v>3998</v>
      </c>
      <c r="K194" s="54">
        <v>15746750.890000001</v>
      </c>
      <c r="L194" s="63">
        <v>14162</v>
      </c>
      <c r="M194" s="97">
        <v>22438269.399999999</v>
      </c>
      <c r="N194" s="64">
        <v>11832</v>
      </c>
      <c r="O194" s="66">
        <v>248258.95</v>
      </c>
      <c r="P194" s="66">
        <v>132271.24</v>
      </c>
    </row>
    <row r="195" spans="2:16" x14ac:dyDescent="0.2">
      <c r="B195" s="72">
        <v>202506</v>
      </c>
      <c r="C195" s="75">
        <v>20250619</v>
      </c>
      <c r="D195" s="52">
        <v>286</v>
      </c>
      <c r="E195" s="63">
        <v>7589</v>
      </c>
      <c r="F195" s="63">
        <v>29488823</v>
      </c>
      <c r="G195" s="64">
        <v>7522</v>
      </c>
      <c r="H195" s="59">
        <v>648</v>
      </c>
      <c r="I195" s="65">
        <v>1440391.91</v>
      </c>
      <c r="J195" s="53">
        <v>6941</v>
      </c>
      <c r="K195" s="54">
        <v>28048431.09</v>
      </c>
      <c r="L195" s="63">
        <v>13934</v>
      </c>
      <c r="M195" s="97">
        <v>22301078.280000001</v>
      </c>
      <c r="N195" s="64">
        <v>11459</v>
      </c>
      <c r="O195" s="66">
        <v>247051.97999999998</v>
      </c>
      <c r="P195" s="66">
        <v>133283.05000000002</v>
      </c>
    </row>
    <row r="196" spans="2:16" x14ac:dyDescent="0.2">
      <c r="B196" s="72">
        <v>202506</v>
      </c>
      <c r="C196" s="75">
        <v>20250620</v>
      </c>
      <c r="D196" s="52">
        <v>285</v>
      </c>
      <c r="E196" s="63">
        <v>5750</v>
      </c>
      <c r="F196" s="63">
        <v>22158230</v>
      </c>
      <c r="G196" s="64">
        <v>5715</v>
      </c>
      <c r="H196" s="59">
        <v>499</v>
      </c>
      <c r="I196" s="65">
        <v>1122680.6000000001</v>
      </c>
      <c r="J196" s="53">
        <v>5251</v>
      </c>
      <c r="K196" s="54">
        <v>21035549.399999999</v>
      </c>
      <c r="L196" s="63">
        <v>14146</v>
      </c>
      <c r="M196" s="97">
        <v>25032268.59</v>
      </c>
      <c r="N196" s="64">
        <v>11862</v>
      </c>
      <c r="O196" s="66">
        <v>248713.34999999998</v>
      </c>
      <c r="P196" s="66">
        <v>148119.56</v>
      </c>
    </row>
    <row r="197" spans="2:16" x14ac:dyDescent="0.2">
      <c r="B197" s="72">
        <v>202506</v>
      </c>
      <c r="C197" s="75">
        <v>20250621</v>
      </c>
      <c r="D197" s="52">
        <v>284</v>
      </c>
      <c r="E197" s="63">
        <v>3924</v>
      </c>
      <c r="F197" s="63">
        <v>16002929</v>
      </c>
      <c r="G197" s="64">
        <v>3897</v>
      </c>
      <c r="H197" s="59">
        <v>288</v>
      </c>
      <c r="I197" s="65">
        <v>605033.41</v>
      </c>
      <c r="J197" s="53">
        <v>3636</v>
      </c>
      <c r="K197" s="54">
        <v>15397895.59</v>
      </c>
      <c r="L197" s="63">
        <v>14536</v>
      </c>
      <c r="M197" s="97">
        <v>25692281.629999999</v>
      </c>
      <c r="N197" s="64">
        <v>12213</v>
      </c>
      <c r="O197" s="66">
        <v>248412.75999999998</v>
      </c>
      <c r="P197" s="66">
        <v>152723.78</v>
      </c>
    </row>
    <row r="198" spans="2:16" x14ac:dyDescent="0.2">
      <c r="B198" s="72">
        <v>202506</v>
      </c>
      <c r="C198" s="75">
        <v>20250622</v>
      </c>
      <c r="D198" s="52">
        <v>283</v>
      </c>
      <c r="E198" s="63">
        <v>6840</v>
      </c>
      <c r="F198" s="63">
        <v>25877635</v>
      </c>
      <c r="G198" s="64">
        <v>6808</v>
      </c>
      <c r="H198" s="59">
        <v>568</v>
      </c>
      <c r="I198" s="65">
        <v>1360614.93</v>
      </c>
      <c r="J198" s="53">
        <v>6272</v>
      </c>
      <c r="K198" s="54">
        <v>24517020.07</v>
      </c>
      <c r="L198" s="63">
        <v>12141</v>
      </c>
      <c r="M198" s="97">
        <v>19397659.75</v>
      </c>
      <c r="N198" s="64">
        <v>10056</v>
      </c>
      <c r="O198" s="66">
        <v>246448.36</v>
      </c>
      <c r="P198" s="66">
        <v>114516.32</v>
      </c>
    </row>
    <row r="199" spans="2:16" x14ac:dyDescent="0.2">
      <c r="B199" s="72">
        <v>202506</v>
      </c>
      <c r="C199" s="75">
        <v>20250623</v>
      </c>
      <c r="D199" s="52">
        <v>282</v>
      </c>
      <c r="E199" s="63">
        <v>6952</v>
      </c>
      <c r="F199" s="63">
        <v>27795347</v>
      </c>
      <c r="G199" s="64">
        <v>6916</v>
      </c>
      <c r="H199" s="59">
        <v>544</v>
      </c>
      <c r="I199" s="65">
        <v>1263982.3799999999</v>
      </c>
      <c r="J199" s="53">
        <v>6408</v>
      </c>
      <c r="K199" s="54">
        <v>26531364.620000001</v>
      </c>
      <c r="L199" s="63">
        <v>14734</v>
      </c>
      <c r="M199" s="97">
        <v>27308728.440000001</v>
      </c>
      <c r="N199" s="64">
        <v>12363</v>
      </c>
      <c r="O199" s="66">
        <v>247967.12</v>
      </c>
      <c r="P199" s="66">
        <v>166505.65000000002</v>
      </c>
    </row>
    <row r="200" spans="2:16" x14ac:dyDescent="0.2">
      <c r="B200" s="72">
        <v>202506</v>
      </c>
      <c r="C200" s="75">
        <v>20250624</v>
      </c>
      <c r="D200" s="52">
        <v>281</v>
      </c>
      <c r="E200" s="63">
        <v>6558</v>
      </c>
      <c r="F200" s="63">
        <v>27134164</v>
      </c>
      <c r="G200" s="64">
        <v>6529</v>
      </c>
      <c r="H200" s="59">
        <v>509</v>
      </c>
      <c r="I200" s="65">
        <v>1310635.21</v>
      </c>
      <c r="J200" s="53">
        <v>6049</v>
      </c>
      <c r="K200" s="54">
        <v>25823528.789999999</v>
      </c>
      <c r="L200" s="63">
        <v>14841</v>
      </c>
      <c r="M200" s="97">
        <v>27631584.359999999</v>
      </c>
      <c r="N200" s="64">
        <v>12465</v>
      </c>
      <c r="O200" s="66">
        <v>248159.79</v>
      </c>
      <c r="P200" s="66">
        <v>171639.66</v>
      </c>
    </row>
    <row r="201" spans="2:16" x14ac:dyDescent="0.2">
      <c r="B201" s="72">
        <v>202506</v>
      </c>
      <c r="C201" s="75">
        <v>20250625</v>
      </c>
      <c r="D201" s="52">
        <v>280</v>
      </c>
      <c r="E201" s="63">
        <v>4350</v>
      </c>
      <c r="F201" s="63">
        <v>17943291</v>
      </c>
      <c r="G201" s="64">
        <v>4321</v>
      </c>
      <c r="H201" s="59">
        <v>328</v>
      </c>
      <c r="I201" s="65">
        <v>906096.96</v>
      </c>
      <c r="J201" s="53">
        <v>4022</v>
      </c>
      <c r="K201" s="54">
        <v>17037194.039999999</v>
      </c>
      <c r="L201" s="63">
        <v>12766</v>
      </c>
      <c r="M201" s="97">
        <v>23527024.23</v>
      </c>
      <c r="N201" s="64">
        <v>10771</v>
      </c>
      <c r="O201" s="66">
        <v>248168.11</v>
      </c>
      <c r="P201" s="66">
        <v>145420.96</v>
      </c>
    </row>
    <row r="202" spans="2:16" x14ac:dyDescent="0.2">
      <c r="B202" s="72">
        <v>202506</v>
      </c>
      <c r="C202" s="75">
        <v>20250626</v>
      </c>
      <c r="D202" s="52">
        <v>279</v>
      </c>
      <c r="E202" s="63">
        <v>7673</v>
      </c>
      <c r="F202" s="63">
        <v>32878751</v>
      </c>
      <c r="G202" s="64">
        <v>7632</v>
      </c>
      <c r="H202" s="59">
        <v>571</v>
      </c>
      <c r="I202" s="65">
        <v>1479307.48</v>
      </c>
      <c r="J202" s="53">
        <v>7102</v>
      </c>
      <c r="K202" s="54">
        <v>31399443.52</v>
      </c>
      <c r="L202" s="63">
        <v>15227</v>
      </c>
      <c r="M202" s="97">
        <v>31216391.600000001</v>
      </c>
      <c r="N202" s="64">
        <v>12898</v>
      </c>
      <c r="O202" s="66">
        <v>247041.33</v>
      </c>
      <c r="P202" s="66">
        <v>193878.83000000002</v>
      </c>
    </row>
    <row r="203" spans="2:16" x14ac:dyDescent="0.2">
      <c r="B203" s="72">
        <v>202506</v>
      </c>
      <c r="C203" s="75">
        <v>20250627</v>
      </c>
      <c r="D203" s="52">
        <v>278</v>
      </c>
      <c r="E203" s="63">
        <v>4870</v>
      </c>
      <c r="F203" s="63">
        <v>20947211</v>
      </c>
      <c r="G203" s="64">
        <v>4849</v>
      </c>
      <c r="H203" s="59">
        <v>364</v>
      </c>
      <c r="I203" s="65">
        <v>867760.1</v>
      </c>
      <c r="J203" s="53">
        <v>4506</v>
      </c>
      <c r="K203" s="54">
        <v>20079450.899999999</v>
      </c>
      <c r="L203" s="63">
        <v>15428</v>
      </c>
      <c r="M203" s="97">
        <v>30712962.109999999</v>
      </c>
      <c r="N203" s="64">
        <v>13019</v>
      </c>
      <c r="O203" s="66">
        <v>247436.18</v>
      </c>
      <c r="P203" s="66">
        <v>186294.38999999998</v>
      </c>
    </row>
    <row r="204" spans="2:16" x14ac:dyDescent="0.2">
      <c r="B204" s="72">
        <v>202506</v>
      </c>
      <c r="C204" s="75">
        <v>20250628</v>
      </c>
      <c r="D204" s="52">
        <v>277</v>
      </c>
      <c r="E204" s="63">
        <v>6957</v>
      </c>
      <c r="F204" s="63">
        <v>30908920</v>
      </c>
      <c r="G204" s="64">
        <v>6927</v>
      </c>
      <c r="H204" s="59">
        <v>504</v>
      </c>
      <c r="I204" s="65">
        <v>1365478.61</v>
      </c>
      <c r="J204" s="53">
        <v>6453</v>
      </c>
      <c r="K204" s="54">
        <v>29543441.390000001</v>
      </c>
      <c r="L204" s="63">
        <v>14640</v>
      </c>
      <c r="M204" s="97">
        <v>29772889.809999999</v>
      </c>
      <c r="N204" s="64">
        <v>12351</v>
      </c>
      <c r="O204" s="66">
        <v>245452.59999999998</v>
      </c>
      <c r="P204" s="66">
        <v>180342.66999999998</v>
      </c>
    </row>
    <row r="205" spans="2:16" x14ac:dyDescent="0.2">
      <c r="B205" s="72">
        <v>202506</v>
      </c>
      <c r="C205" s="75">
        <v>20250629</v>
      </c>
      <c r="D205" s="52">
        <v>276</v>
      </c>
      <c r="E205" s="63">
        <v>6584</v>
      </c>
      <c r="F205" s="63">
        <v>27027825</v>
      </c>
      <c r="G205" s="64">
        <v>6527</v>
      </c>
      <c r="H205" s="59">
        <v>504</v>
      </c>
      <c r="I205" s="65">
        <v>1122574.21</v>
      </c>
      <c r="J205" s="53">
        <v>6080</v>
      </c>
      <c r="K205" s="54">
        <v>25905250.789999999</v>
      </c>
      <c r="L205" s="63">
        <v>12926</v>
      </c>
      <c r="M205" s="97">
        <v>22925183.140000001</v>
      </c>
      <c r="N205" s="64">
        <v>10853</v>
      </c>
      <c r="O205" s="66">
        <v>246520.03999999998</v>
      </c>
      <c r="P205" s="66">
        <v>141097.5</v>
      </c>
    </row>
    <row r="206" spans="2:16" x14ac:dyDescent="0.2">
      <c r="B206" s="72">
        <v>202506</v>
      </c>
      <c r="C206" s="75">
        <v>20250630</v>
      </c>
      <c r="D206" s="52">
        <v>275</v>
      </c>
      <c r="E206" s="63">
        <v>7931</v>
      </c>
      <c r="F206" s="63">
        <v>34991038</v>
      </c>
      <c r="G206" s="64">
        <v>7890</v>
      </c>
      <c r="H206" s="59">
        <v>585</v>
      </c>
      <c r="I206" s="65">
        <v>1526541.26</v>
      </c>
      <c r="J206" s="53">
        <v>7346</v>
      </c>
      <c r="K206" s="54">
        <v>33464496.739999998</v>
      </c>
      <c r="L206" s="63">
        <v>16734</v>
      </c>
      <c r="M206" s="97">
        <v>35581790.619999997</v>
      </c>
      <c r="N206" s="64">
        <v>14261</v>
      </c>
      <c r="O206" s="66">
        <v>248046.17</v>
      </c>
      <c r="P206" s="66">
        <v>221186.38999999998</v>
      </c>
    </row>
    <row r="207" spans="2:16" x14ac:dyDescent="0.2">
      <c r="B207" s="72" t="s">
        <v>34</v>
      </c>
      <c r="C207" s="75">
        <v>20250701</v>
      </c>
      <c r="D207" s="52">
        <v>274</v>
      </c>
      <c r="E207" s="63">
        <v>8153</v>
      </c>
      <c r="F207" s="63">
        <v>35347689</v>
      </c>
      <c r="G207" s="64">
        <v>8103</v>
      </c>
      <c r="H207" s="59">
        <v>636</v>
      </c>
      <c r="I207" s="65">
        <v>1663843.03</v>
      </c>
      <c r="J207" s="53">
        <v>7517</v>
      </c>
      <c r="K207" s="54">
        <v>33683845.969999999</v>
      </c>
      <c r="L207" s="63">
        <v>18013</v>
      </c>
      <c r="M207" s="97">
        <v>37004437.969999999</v>
      </c>
      <c r="N207" s="64">
        <v>15249</v>
      </c>
      <c r="O207" s="66">
        <v>248254.99</v>
      </c>
      <c r="P207" s="66">
        <v>233609.66999999998</v>
      </c>
    </row>
    <row r="208" spans="2:16" x14ac:dyDescent="0.2">
      <c r="B208" s="72" t="s">
        <v>34</v>
      </c>
      <c r="C208" s="75">
        <v>20250702</v>
      </c>
      <c r="D208" s="52">
        <v>273</v>
      </c>
      <c r="E208" s="63">
        <v>5892</v>
      </c>
      <c r="F208" s="63">
        <v>25055008</v>
      </c>
      <c r="G208" s="64">
        <v>5872</v>
      </c>
      <c r="H208" s="59">
        <v>443</v>
      </c>
      <c r="I208" s="65">
        <v>1117353.72</v>
      </c>
      <c r="J208" s="53">
        <v>5449</v>
      </c>
      <c r="K208" s="54">
        <v>23937654.280000001</v>
      </c>
      <c r="L208" s="63">
        <v>18286</v>
      </c>
      <c r="M208" s="97">
        <v>36462004.5</v>
      </c>
      <c r="N208" s="64">
        <v>15263</v>
      </c>
      <c r="O208" s="66">
        <v>247890.54</v>
      </c>
      <c r="P208" s="66">
        <v>227466.95</v>
      </c>
    </row>
    <row r="209" spans="2:16" x14ac:dyDescent="0.2">
      <c r="B209" s="72" t="s">
        <v>34</v>
      </c>
      <c r="C209" s="75">
        <v>20250703</v>
      </c>
      <c r="D209" s="52">
        <v>272</v>
      </c>
      <c r="E209" s="63">
        <v>10974</v>
      </c>
      <c r="F209" s="63">
        <v>46611034</v>
      </c>
      <c r="G209" s="64">
        <v>10904</v>
      </c>
      <c r="H209" s="59">
        <v>836</v>
      </c>
      <c r="I209" s="65">
        <v>2254877.1</v>
      </c>
      <c r="J209" s="53">
        <v>10138</v>
      </c>
      <c r="K209" s="54">
        <v>44356156.899999999</v>
      </c>
      <c r="L209" s="63">
        <v>17685</v>
      </c>
      <c r="M209" s="97">
        <v>34774437.539999999</v>
      </c>
      <c r="N209" s="64">
        <v>14652</v>
      </c>
      <c r="O209" s="66">
        <v>245467.2</v>
      </c>
      <c r="P209" s="66">
        <v>217058.99</v>
      </c>
    </row>
    <row r="210" spans="2:16" x14ac:dyDescent="0.2">
      <c r="B210" s="72" t="s">
        <v>34</v>
      </c>
      <c r="C210" s="75">
        <v>20250704</v>
      </c>
      <c r="D210" s="52">
        <v>271</v>
      </c>
      <c r="E210" s="63">
        <v>9060</v>
      </c>
      <c r="F210" s="63">
        <v>35874422</v>
      </c>
      <c r="G210" s="64">
        <v>8997</v>
      </c>
      <c r="H210" s="59">
        <v>711</v>
      </c>
      <c r="I210" s="65">
        <v>1661659.14</v>
      </c>
      <c r="J210" s="53">
        <v>8349</v>
      </c>
      <c r="K210" s="54">
        <v>34212762.859999999</v>
      </c>
      <c r="L210" s="63">
        <v>18118</v>
      </c>
      <c r="M210" s="97">
        <v>35441882.359999999</v>
      </c>
      <c r="N210" s="64">
        <v>15321</v>
      </c>
      <c r="O210" s="66">
        <v>248106.22000000003</v>
      </c>
      <c r="P210" s="66">
        <v>219783.97999999998</v>
      </c>
    </row>
    <row r="211" spans="2:16" x14ac:dyDescent="0.2">
      <c r="B211" s="72" t="s">
        <v>34</v>
      </c>
      <c r="C211" s="75">
        <v>20250705</v>
      </c>
      <c r="D211" s="52">
        <v>270</v>
      </c>
      <c r="E211" s="63">
        <v>2758</v>
      </c>
      <c r="F211" s="63">
        <v>11762455</v>
      </c>
      <c r="G211" s="64">
        <v>2751</v>
      </c>
      <c r="H211" s="59">
        <v>201</v>
      </c>
      <c r="I211" s="65">
        <v>523230.8</v>
      </c>
      <c r="J211" s="53">
        <v>2557</v>
      </c>
      <c r="K211" s="54">
        <v>11239224.199999999</v>
      </c>
      <c r="L211" s="63">
        <v>16837</v>
      </c>
      <c r="M211" s="97">
        <v>32238203.420000002</v>
      </c>
      <c r="N211" s="64">
        <v>13995</v>
      </c>
      <c r="O211" s="66">
        <v>248367.86</v>
      </c>
      <c r="P211" s="66">
        <v>200411.77000000002</v>
      </c>
    </row>
    <row r="212" spans="2:16" x14ac:dyDescent="0.2">
      <c r="B212" s="72" t="s">
        <v>34</v>
      </c>
      <c r="C212" s="75">
        <v>20250706</v>
      </c>
      <c r="D212" s="52">
        <v>269</v>
      </c>
      <c r="E212" s="63">
        <v>11311</v>
      </c>
      <c r="F212" s="63">
        <v>45375229</v>
      </c>
      <c r="G212" s="64">
        <v>11226</v>
      </c>
      <c r="H212" s="59">
        <v>866</v>
      </c>
      <c r="I212" s="65">
        <v>2301732.25</v>
      </c>
      <c r="J212" s="53">
        <v>10445</v>
      </c>
      <c r="K212" s="54">
        <v>43073496.75</v>
      </c>
      <c r="L212" s="63">
        <v>13814</v>
      </c>
      <c r="M212" s="97">
        <v>24084384.129999999</v>
      </c>
      <c r="N212" s="64">
        <v>11426</v>
      </c>
      <c r="O212" s="66">
        <v>244131.36</v>
      </c>
      <c r="P212" s="66">
        <v>147122.21</v>
      </c>
    </row>
    <row r="213" spans="2:16" x14ac:dyDescent="0.2">
      <c r="B213" s="72" t="s">
        <v>34</v>
      </c>
      <c r="C213" s="75">
        <v>20250707</v>
      </c>
      <c r="D213" s="52">
        <v>268</v>
      </c>
      <c r="E213" s="63">
        <v>9117</v>
      </c>
      <c r="F213" s="63">
        <v>34037769</v>
      </c>
      <c r="G213" s="64">
        <v>9075</v>
      </c>
      <c r="H213" s="59">
        <v>899</v>
      </c>
      <c r="I213" s="65">
        <v>1909098.27</v>
      </c>
      <c r="J213" s="53">
        <v>8218</v>
      </c>
      <c r="K213" s="54">
        <v>32128670.73</v>
      </c>
      <c r="L213" s="63">
        <v>17175</v>
      </c>
      <c r="M213" s="97">
        <v>33157674.34</v>
      </c>
      <c r="N213" s="64">
        <v>14673</v>
      </c>
      <c r="O213" s="66">
        <v>248917.91</v>
      </c>
      <c r="P213" s="66">
        <v>220952.88</v>
      </c>
    </row>
    <row r="214" spans="2:16" x14ac:dyDescent="0.2">
      <c r="B214" s="72" t="s">
        <v>34</v>
      </c>
      <c r="C214" s="75">
        <v>20250708</v>
      </c>
      <c r="D214" s="52">
        <v>267</v>
      </c>
      <c r="E214" s="63">
        <v>8201</v>
      </c>
      <c r="F214" s="63">
        <v>32925320</v>
      </c>
      <c r="G214" s="64">
        <v>8161</v>
      </c>
      <c r="H214" s="59">
        <v>689</v>
      </c>
      <c r="I214" s="65">
        <v>1748231.1</v>
      </c>
      <c r="J214" s="53">
        <v>7512</v>
      </c>
      <c r="K214" s="54">
        <v>31177088.899999999</v>
      </c>
      <c r="L214" s="63">
        <v>16323</v>
      </c>
      <c r="M214" s="97">
        <v>30440918.030000001</v>
      </c>
      <c r="N214" s="64">
        <v>13689</v>
      </c>
      <c r="O214" s="66">
        <v>249210.09</v>
      </c>
      <c r="P214" s="66">
        <v>185532.45</v>
      </c>
    </row>
    <row r="215" spans="2:16" x14ac:dyDescent="0.2">
      <c r="B215" s="72" t="s">
        <v>34</v>
      </c>
      <c r="C215" s="75">
        <v>20250709</v>
      </c>
      <c r="D215" s="52">
        <v>266</v>
      </c>
      <c r="E215" s="63">
        <v>7315</v>
      </c>
      <c r="F215" s="63">
        <v>30245132</v>
      </c>
      <c r="G215" s="64">
        <v>7264</v>
      </c>
      <c r="H215" s="59">
        <v>630</v>
      </c>
      <c r="I215" s="65">
        <v>1705254.33</v>
      </c>
      <c r="J215" s="53">
        <v>6685</v>
      </c>
      <c r="K215" s="54">
        <v>28539877.670000002</v>
      </c>
      <c r="L215" s="63">
        <v>15384</v>
      </c>
      <c r="M215" s="97">
        <v>28265609.079999998</v>
      </c>
      <c r="N215" s="64">
        <v>12955</v>
      </c>
      <c r="O215" s="66">
        <v>249787</v>
      </c>
      <c r="P215" s="66">
        <v>174722.25</v>
      </c>
    </row>
    <row r="216" spans="2:16" x14ac:dyDescent="0.2">
      <c r="B216" s="72" t="s">
        <v>34</v>
      </c>
      <c r="C216" s="75">
        <v>20250710</v>
      </c>
      <c r="D216" s="52">
        <v>265</v>
      </c>
      <c r="E216" s="63">
        <v>9989</v>
      </c>
      <c r="F216" s="63">
        <v>40578267</v>
      </c>
      <c r="G216" s="64">
        <v>9924</v>
      </c>
      <c r="H216" s="59">
        <v>833</v>
      </c>
      <c r="I216" s="65">
        <v>2305170.46</v>
      </c>
      <c r="J216" s="53">
        <v>9156</v>
      </c>
      <c r="K216" s="54">
        <v>38273096.539999999</v>
      </c>
      <c r="L216" s="63">
        <v>14998</v>
      </c>
      <c r="M216" s="97">
        <v>27062017.690000001</v>
      </c>
      <c r="N216" s="64">
        <v>12651</v>
      </c>
      <c r="O216" s="66">
        <v>250539.99000000002</v>
      </c>
      <c r="P216" s="66">
        <v>169156.55</v>
      </c>
    </row>
    <row r="217" spans="2:16" x14ac:dyDescent="0.2">
      <c r="B217" s="72" t="s">
        <v>34</v>
      </c>
      <c r="C217" s="75">
        <v>20250711</v>
      </c>
      <c r="D217" s="52">
        <v>264</v>
      </c>
      <c r="E217" s="63">
        <v>9031</v>
      </c>
      <c r="F217" s="63">
        <v>33783271</v>
      </c>
      <c r="G217" s="64">
        <v>8956</v>
      </c>
      <c r="H217" s="59">
        <v>850</v>
      </c>
      <c r="I217" s="65">
        <v>1860176.29</v>
      </c>
      <c r="J217" s="53">
        <v>8181</v>
      </c>
      <c r="K217" s="54">
        <v>31923094.710000001</v>
      </c>
      <c r="L217" s="63">
        <v>16048</v>
      </c>
      <c r="M217" s="97">
        <v>27432755.629999999</v>
      </c>
      <c r="N217" s="64">
        <v>13543</v>
      </c>
      <c r="O217" s="66">
        <v>253629.19999999998</v>
      </c>
      <c r="P217" s="66">
        <v>190699.22</v>
      </c>
    </row>
    <row r="218" spans="2:16" x14ac:dyDescent="0.2">
      <c r="B218" s="72" t="s">
        <v>34</v>
      </c>
      <c r="C218" s="75">
        <v>20250712</v>
      </c>
      <c r="D218" s="52">
        <v>263</v>
      </c>
      <c r="E218" s="63">
        <v>7316</v>
      </c>
      <c r="F218" s="63">
        <v>27846007</v>
      </c>
      <c r="G218" s="64">
        <v>7270</v>
      </c>
      <c r="H218" s="59">
        <v>582</v>
      </c>
      <c r="I218" s="65">
        <v>1490986.48</v>
      </c>
      <c r="J218" s="53">
        <v>6734</v>
      </c>
      <c r="K218" s="54">
        <v>26355020.52</v>
      </c>
      <c r="L218" s="63">
        <v>14186</v>
      </c>
      <c r="M218" s="97">
        <v>23599094.77</v>
      </c>
      <c r="N218" s="64">
        <v>11734</v>
      </c>
      <c r="O218" s="66">
        <v>255088.57</v>
      </c>
      <c r="P218" s="66">
        <v>151753.10999999999</v>
      </c>
    </row>
    <row r="219" spans="2:16" x14ac:dyDescent="0.2">
      <c r="B219" s="72" t="s">
        <v>34</v>
      </c>
      <c r="C219" s="75">
        <v>20250713</v>
      </c>
      <c r="D219" s="52">
        <v>262</v>
      </c>
      <c r="E219" s="63">
        <v>6707</v>
      </c>
      <c r="F219" s="63">
        <v>23454518</v>
      </c>
      <c r="G219" s="64">
        <v>6672</v>
      </c>
      <c r="H219" s="59">
        <v>548</v>
      </c>
      <c r="I219" s="65">
        <v>1241134.17</v>
      </c>
      <c r="J219" s="53">
        <v>6159</v>
      </c>
      <c r="K219" s="54">
        <v>22213383.829999998</v>
      </c>
      <c r="L219" s="63">
        <v>12077</v>
      </c>
      <c r="M219" s="97">
        <v>18840751.670000002</v>
      </c>
      <c r="N219" s="64">
        <v>9950</v>
      </c>
      <c r="O219" s="66">
        <v>256101.25</v>
      </c>
      <c r="P219" s="66">
        <v>120477.19999999998</v>
      </c>
    </row>
    <row r="220" spans="2:16" x14ac:dyDescent="0.2">
      <c r="B220" s="72" t="s">
        <v>34</v>
      </c>
      <c r="C220" s="75">
        <v>20250714</v>
      </c>
      <c r="D220" s="52">
        <v>261</v>
      </c>
      <c r="E220" s="63">
        <v>4363</v>
      </c>
      <c r="F220" s="63">
        <v>18721067</v>
      </c>
      <c r="G220" s="64">
        <v>4350</v>
      </c>
      <c r="H220" s="59">
        <v>328</v>
      </c>
      <c r="I220" s="65">
        <v>876567.34</v>
      </c>
      <c r="J220" s="53">
        <v>4035</v>
      </c>
      <c r="K220" s="54">
        <v>17844499.66</v>
      </c>
      <c r="L220" s="63">
        <v>13839</v>
      </c>
      <c r="M220" s="97">
        <v>23982255.190000001</v>
      </c>
      <c r="N220" s="64">
        <v>11563</v>
      </c>
      <c r="O220" s="66">
        <v>257260.21999999997</v>
      </c>
      <c r="P220" s="66">
        <v>152005.46</v>
      </c>
    </row>
    <row r="221" spans="2:16" x14ac:dyDescent="0.2">
      <c r="B221" s="72" t="s">
        <v>34</v>
      </c>
      <c r="C221" s="75">
        <v>20250715</v>
      </c>
      <c r="D221" s="52">
        <v>260</v>
      </c>
      <c r="E221" s="63">
        <v>5595</v>
      </c>
      <c r="F221" s="63">
        <v>23825002</v>
      </c>
      <c r="G221" s="64">
        <v>5568</v>
      </c>
      <c r="H221" s="59">
        <v>458</v>
      </c>
      <c r="I221" s="65">
        <v>1391135.45</v>
      </c>
      <c r="J221" s="53">
        <v>5137</v>
      </c>
      <c r="K221" s="54">
        <v>22433866.550000001</v>
      </c>
      <c r="L221" s="63">
        <v>13880</v>
      </c>
      <c r="M221" s="97">
        <v>23149741.91</v>
      </c>
      <c r="N221" s="64">
        <v>11631</v>
      </c>
      <c r="O221" s="66">
        <v>256328.88</v>
      </c>
      <c r="P221" s="66">
        <v>149570.39000000001</v>
      </c>
    </row>
    <row r="222" spans="2:16" x14ac:dyDescent="0.2">
      <c r="B222" s="72" t="s">
        <v>34</v>
      </c>
      <c r="C222" s="75">
        <v>20250716</v>
      </c>
      <c r="D222" s="52">
        <v>259</v>
      </c>
      <c r="E222" s="63">
        <v>8374</v>
      </c>
      <c r="F222" s="63">
        <v>34280140</v>
      </c>
      <c r="G222" s="64">
        <v>8324</v>
      </c>
      <c r="H222" s="59">
        <v>651</v>
      </c>
      <c r="I222" s="65">
        <v>1783885.02</v>
      </c>
      <c r="J222" s="53">
        <v>7723</v>
      </c>
      <c r="K222" s="54">
        <v>32496254.98</v>
      </c>
      <c r="L222" s="63">
        <v>14127</v>
      </c>
      <c r="M222" s="97">
        <v>24593703.449999999</v>
      </c>
      <c r="N222" s="64">
        <v>11824</v>
      </c>
      <c r="O222" s="66">
        <v>256519.38</v>
      </c>
      <c r="P222" s="66">
        <v>152641.34</v>
      </c>
    </row>
    <row r="223" spans="2:16" x14ac:dyDescent="0.2">
      <c r="B223" s="72" t="s">
        <v>34</v>
      </c>
      <c r="C223" s="75">
        <v>20250717</v>
      </c>
      <c r="D223" s="52">
        <v>258</v>
      </c>
      <c r="E223" s="63">
        <v>7594</v>
      </c>
      <c r="F223" s="63">
        <v>27641420</v>
      </c>
      <c r="G223" s="64">
        <v>7541</v>
      </c>
      <c r="H223" s="59">
        <v>721</v>
      </c>
      <c r="I223" s="65">
        <v>1715812.6</v>
      </c>
      <c r="J223" s="53">
        <v>6873</v>
      </c>
      <c r="K223" s="54">
        <v>25925607.399999999</v>
      </c>
      <c r="L223" s="63">
        <v>14634</v>
      </c>
      <c r="M223" s="97">
        <v>23266841.379999999</v>
      </c>
      <c r="N223" s="64">
        <v>12264</v>
      </c>
      <c r="O223" s="66">
        <v>258725.84</v>
      </c>
      <c r="P223" s="66">
        <v>159786.94</v>
      </c>
    </row>
    <row r="224" spans="2:16" x14ac:dyDescent="0.2">
      <c r="B224" s="72" t="s">
        <v>34</v>
      </c>
      <c r="C224" s="75">
        <v>20250718</v>
      </c>
      <c r="D224" s="52">
        <v>257</v>
      </c>
      <c r="E224" s="63">
        <v>10281</v>
      </c>
      <c r="F224" s="63">
        <v>33900111</v>
      </c>
      <c r="G224" s="64">
        <v>10226</v>
      </c>
      <c r="H224" s="59">
        <v>1235</v>
      </c>
      <c r="I224" s="65">
        <v>2249990.2999999998</v>
      </c>
      <c r="J224" s="53">
        <v>9046</v>
      </c>
      <c r="K224" s="54">
        <v>31650120.699999999</v>
      </c>
      <c r="L224" s="63">
        <v>15506</v>
      </c>
      <c r="M224" s="97">
        <v>24352084.489999998</v>
      </c>
      <c r="N224" s="64">
        <v>12852</v>
      </c>
      <c r="O224" s="66">
        <v>259820.61</v>
      </c>
      <c r="P224" s="66">
        <v>173565.2</v>
      </c>
    </row>
    <row r="225" spans="2:16" x14ac:dyDescent="0.2">
      <c r="B225" s="72" t="s">
        <v>34</v>
      </c>
      <c r="C225" s="75">
        <v>20250719</v>
      </c>
      <c r="D225" s="52">
        <v>256</v>
      </c>
      <c r="E225" s="63">
        <v>7608</v>
      </c>
      <c r="F225" s="63">
        <v>27635647</v>
      </c>
      <c r="G225" s="64">
        <v>7558</v>
      </c>
      <c r="H225" s="59">
        <v>726</v>
      </c>
      <c r="I225" s="65">
        <v>1589108.92</v>
      </c>
      <c r="J225" s="53">
        <v>6882</v>
      </c>
      <c r="K225" s="54">
        <v>26046538.079999998</v>
      </c>
      <c r="L225" s="63">
        <v>13215</v>
      </c>
      <c r="M225" s="97">
        <v>21200180.859999999</v>
      </c>
      <c r="N225" s="64">
        <v>10842</v>
      </c>
      <c r="O225" s="66">
        <v>261775.39</v>
      </c>
      <c r="P225" s="66">
        <v>133238.53</v>
      </c>
    </row>
    <row r="226" spans="2:16" x14ac:dyDescent="0.2">
      <c r="B226" s="72" t="s">
        <v>34</v>
      </c>
      <c r="C226" s="75">
        <v>20250720</v>
      </c>
      <c r="D226" s="52">
        <v>255</v>
      </c>
      <c r="E226" s="63">
        <v>6363</v>
      </c>
      <c r="F226" s="63">
        <v>21827340</v>
      </c>
      <c r="G226" s="64">
        <v>6318</v>
      </c>
      <c r="H226" s="59">
        <v>552</v>
      </c>
      <c r="I226" s="65">
        <v>1333955.47</v>
      </c>
      <c r="J226" s="53">
        <v>5811</v>
      </c>
      <c r="K226" s="54">
        <v>20493384.530000001</v>
      </c>
      <c r="L226" s="63">
        <v>11593</v>
      </c>
      <c r="M226" s="97">
        <v>16823257.809999999</v>
      </c>
      <c r="N226" s="64">
        <v>9434</v>
      </c>
      <c r="O226" s="66">
        <v>263368.08</v>
      </c>
      <c r="P226" s="66">
        <v>104516.78</v>
      </c>
    </row>
    <row r="227" spans="2:16" x14ac:dyDescent="0.2">
      <c r="B227" s="72" t="s">
        <v>34</v>
      </c>
      <c r="C227" s="75">
        <v>20250721</v>
      </c>
      <c r="D227" s="52">
        <v>254</v>
      </c>
      <c r="E227" s="63">
        <v>7416</v>
      </c>
      <c r="F227" s="63">
        <v>27909949</v>
      </c>
      <c r="G227" s="64">
        <v>7378</v>
      </c>
      <c r="H227" s="59">
        <v>714</v>
      </c>
      <c r="I227" s="65">
        <v>1610231.14</v>
      </c>
      <c r="J227" s="53">
        <v>6702</v>
      </c>
      <c r="K227" s="54">
        <v>26299717.859999999</v>
      </c>
      <c r="L227" s="63">
        <v>14104</v>
      </c>
      <c r="M227" s="97">
        <v>23228921.120000001</v>
      </c>
      <c r="N227" s="64">
        <v>11772</v>
      </c>
      <c r="O227" s="66">
        <v>264582.59999999998</v>
      </c>
      <c r="P227" s="66">
        <v>150971.70000000001</v>
      </c>
    </row>
    <row r="228" spans="2:16" x14ac:dyDescent="0.2">
      <c r="B228" s="72" t="s">
        <v>34</v>
      </c>
      <c r="C228" s="75">
        <v>20250722</v>
      </c>
      <c r="D228" s="52">
        <v>253</v>
      </c>
      <c r="E228" s="63">
        <v>6283</v>
      </c>
      <c r="F228" s="63">
        <v>24662177</v>
      </c>
      <c r="G228" s="64">
        <v>6253</v>
      </c>
      <c r="H228" s="59">
        <v>542</v>
      </c>
      <c r="I228" s="65">
        <v>1318696.97</v>
      </c>
      <c r="J228" s="53">
        <v>5741</v>
      </c>
      <c r="K228" s="54">
        <v>23343480.030000001</v>
      </c>
      <c r="L228" s="63">
        <v>13372</v>
      </c>
      <c r="M228" s="97">
        <v>21563449.350000001</v>
      </c>
      <c r="N228" s="64">
        <v>11093</v>
      </c>
      <c r="O228" s="66">
        <v>265570.84999999998</v>
      </c>
      <c r="P228" s="66">
        <v>137061.28999999998</v>
      </c>
    </row>
    <row r="229" spans="2:16" x14ac:dyDescent="0.2">
      <c r="B229" s="72" t="s">
        <v>34</v>
      </c>
      <c r="C229" s="75">
        <v>20250723</v>
      </c>
      <c r="D229" s="52">
        <v>252</v>
      </c>
      <c r="E229" s="63">
        <v>6156</v>
      </c>
      <c r="F229" s="63">
        <v>24088863</v>
      </c>
      <c r="G229" s="64">
        <v>6126</v>
      </c>
      <c r="H229" s="59">
        <v>527</v>
      </c>
      <c r="I229" s="65">
        <v>1231890.56</v>
      </c>
      <c r="J229" s="53">
        <v>5629</v>
      </c>
      <c r="K229" s="54">
        <v>22856972.440000001</v>
      </c>
      <c r="L229" s="63">
        <v>13888</v>
      </c>
      <c r="M229" s="97">
        <v>24251420.949999999</v>
      </c>
      <c r="N229" s="64">
        <v>11612</v>
      </c>
      <c r="O229" s="66">
        <v>266501.36</v>
      </c>
      <c r="P229" s="66">
        <v>147463.04000000001</v>
      </c>
    </row>
    <row r="230" spans="2:16" x14ac:dyDescent="0.2">
      <c r="B230" s="72" t="s">
        <v>34</v>
      </c>
      <c r="C230" s="75">
        <v>20250724</v>
      </c>
      <c r="D230" s="52">
        <v>251</v>
      </c>
      <c r="E230" s="63">
        <v>6057</v>
      </c>
      <c r="F230" s="63">
        <v>24115036</v>
      </c>
      <c r="G230" s="64">
        <v>6032</v>
      </c>
      <c r="H230" s="59">
        <v>617</v>
      </c>
      <c r="I230" s="65">
        <v>1442186.34</v>
      </c>
      <c r="J230" s="53">
        <v>5440</v>
      </c>
      <c r="K230" s="54">
        <v>22672849.66</v>
      </c>
      <c r="L230" s="63">
        <v>14444</v>
      </c>
      <c r="M230" s="97">
        <v>24656560.469999999</v>
      </c>
      <c r="N230" s="64">
        <v>12094</v>
      </c>
      <c r="O230" s="66">
        <v>266661.91000000003</v>
      </c>
      <c r="P230" s="66">
        <v>169765.96</v>
      </c>
    </row>
    <row r="231" spans="2:16" x14ac:dyDescent="0.2">
      <c r="B231" s="72" t="s">
        <v>34</v>
      </c>
      <c r="C231" s="75">
        <v>20250725</v>
      </c>
      <c r="D231" s="52">
        <v>250</v>
      </c>
      <c r="E231" s="63">
        <v>6011</v>
      </c>
      <c r="F231" s="63">
        <v>24485550</v>
      </c>
      <c r="G231" s="64">
        <v>5967</v>
      </c>
      <c r="H231" s="59">
        <v>536</v>
      </c>
      <c r="I231" s="65">
        <v>1373315.57</v>
      </c>
      <c r="J231" s="53">
        <v>5475</v>
      </c>
      <c r="K231" s="54">
        <v>23112234.43</v>
      </c>
      <c r="L231" s="63">
        <v>14455</v>
      </c>
      <c r="M231" s="97">
        <v>27225526.329999998</v>
      </c>
      <c r="N231" s="64">
        <v>12108</v>
      </c>
      <c r="O231" s="66">
        <v>266743.92000000004</v>
      </c>
      <c r="P231" s="66">
        <v>166072.74</v>
      </c>
    </row>
    <row r="232" spans="2:16" x14ac:dyDescent="0.2">
      <c r="B232" s="72" t="s">
        <v>34</v>
      </c>
      <c r="C232" s="75">
        <v>20250726</v>
      </c>
      <c r="D232" s="52">
        <v>249</v>
      </c>
      <c r="E232" s="63">
        <v>1925</v>
      </c>
      <c r="F232" s="63">
        <v>8666572</v>
      </c>
      <c r="G232" s="64">
        <v>1915</v>
      </c>
      <c r="H232" s="59">
        <v>166</v>
      </c>
      <c r="I232" s="65">
        <v>397182.77</v>
      </c>
      <c r="J232" s="53">
        <v>1759</v>
      </c>
      <c r="K232" s="54">
        <v>8269389.2300000004</v>
      </c>
      <c r="L232" s="63">
        <v>13559</v>
      </c>
      <c r="M232" s="97">
        <v>24587116.739999998</v>
      </c>
      <c r="N232" s="64">
        <v>11351</v>
      </c>
      <c r="O232" s="66">
        <v>266196.65000000002</v>
      </c>
      <c r="P232" s="66">
        <v>150904.5</v>
      </c>
    </row>
    <row r="233" spans="2:16" x14ac:dyDescent="0.2">
      <c r="B233" s="72" t="s">
        <v>34</v>
      </c>
      <c r="C233" s="75">
        <v>20250727</v>
      </c>
      <c r="D233" s="52">
        <v>248</v>
      </c>
      <c r="E233" s="63">
        <v>9073</v>
      </c>
      <c r="F233" s="63">
        <v>37103845</v>
      </c>
      <c r="G233" s="64">
        <v>9034</v>
      </c>
      <c r="H233" s="59">
        <v>750</v>
      </c>
      <c r="I233" s="65">
        <v>2144780.7599999998</v>
      </c>
      <c r="J233" s="53">
        <v>8323</v>
      </c>
      <c r="K233" s="54">
        <v>34959064.240000002</v>
      </c>
      <c r="L233" s="63">
        <v>11565</v>
      </c>
      <c r="M233" s="97">
        <v>19045528.649999999</v>
      </c>
      <c r="N233" s="64">
        <v>9530</v>
      </c>
      <c r="O233" s="66">
        <v>263031.03000000003</v>
      </c>
      <c r="P233" s="66">
        <v>117034.01</v>
      </c>
    </row>
    <row r="234" spans="2:16" x14ac:dyDescent="0.2">
      <c r="B234" s="72" t="s">
        <v>34</v>
      </c>
      <c r="C234" s="75">
        <v>20250728</v>
      </c>
      <c r="D234" s="52">
        <v>247</v>
      </c>
      <c r="E234" s="63">
        <v>5674</v>
      </c>
      <c r="F234" s="63">
        <v>24627596</v>
      </c>
      <c r="G234" s="64">
        <v>5653</v>
      </c>
      <c r="H234" s="59">
        <v>438</v>
      </c>
      <c r="I234" s="65">
        <v>1165679.05</v>
      </c>
      <c r="J234" s="53">
        <v>5236</v>
      </c>
      <c r="K234" s="54">
        <v>23461916.949999999</v>
      </c>
      <c r="L234" s="63">
        <v>14321</v>
      </c>
      <c r="M234" s="97">
        <v>27543309.920000002</v>
      </c>
      <c r="N234" s="64">
        <v>11944</v>
      </c>
      <c r="O234" s="66">
        <v>267083.37</v>
      </c>
      <c r="P234" s="66">
        <v>169711.52000000002</v>
      </c>
    </row>
    <row r="235" spans="2:16" x14ac:dyDescent="0.2">
      <c r="B235" s="72" t="s">
        <v>34</v>
      </c>
      <c r="C235" s="75">
        <v>20250729</v>
      </c>
      <c r="D235" s="52">
        <v>246</v>
      </c>
      <c r="E235" s="63">
        <v>6214</v>
      </c>
      <c r="F235" s="63">
        <v>27363746</v>
      </c>
      <c r="G235" s="64">
        <v>6184</v>
      </c>
      <c r="H235" s="59">
        <v>473</v>
      </c>
      <c r="I235" s="65">
        <v>1233083.6000000001</v>
      </c>
      <c r="J235" s="53">
        <v>5741</v>
      </c>
      <c r="K235" s="54">
        <v>26130662.399999999</v>
      </c>
      <c r="L235" s="63">
        <v>15629</v>
      </c>
      <c r="M235" s="97">
        <v>32388558.82</v>
      </c>
      <c r="N235" s="64">
        <v>13220</v>
      </c>
      <c r="O235" s="66">
        <v>266677.62</v>
      </c>
      <c r="P235" s="66">
        <v>205436.80000000002</v>
      </c>
    </row>
    <row r="236" spans="2:16" x14ac:dyDescent="0.2">
      <c r="B236" s="72" t="s">
        <v>34</v>
      </c>
      <c r="C236" s="75">
        <v>20250730</v>
      </c>
      <c r="D236" s="52">
        <v>245</v>
      </c>
      <c r="E236" s="63">
        <v>7200</v>
      </c>
      <c r="F236" s="63">
        <v>32141546</v>
      </c>
      <c r="G236" s="64">
        <v>7160</v>
      </c>
      <c r="H236" s="59">
        <v>554</v>
      </c>
      <c r="I236" s="65">
        <v>1500900.22</v>
      </c>
      <c r="J236" s="53">
        <v>6646</v>
      </c>
      <c r="K236" s="54">
        <v>30640645.780000001</v>
      </c>
      <c r="L236" s="63">
        <v>19297</v>
      </c>
      <c r="M236" s="97">
        <v>43517080.049999997</v>
      </c>
      <c r="N236" s="64">
        <v>16559</v>
      </c>
      <c r="O236" s="66">
        <v>265690.29000000004</v>
      </c>
      <c r="P236" s="66">
        <v>279020.14</v>
      </c>
    </row>
    <row r="237" spans="2:16" x14ac:dyDescent="0.2">
      <c r="B237" s="72" t="s">
        <v>34</v>
      </c>
      <c r="C237" s="75">
        <v>20250731</v>
      </c>
      <c r="D237" s="52">
        <v>244</v>
      </c>
      <c r="E237" s="63">
        <v>9666</v>
      </c>
      <c r="F237" s="63">
        <v>43197163</v>
      </c>
      <c r="G237" s="64">
        <v>9637</v>
      </c>
      <c r="H237" s="59">
        <v>775</v>
      </c>
      <c r="I237" s="65">
        <v>2246791.64</v>
      </c>
      <c r="J237" s="53">
        <v>8891</v>
      </c>
      <c r="K237" s="54">
        <v>40950371.359999999</v>
      </c>
      <c r="L237" s="63">
        <v>19667</v>
      </c>
      <c r="M237" s="97">
        <v>44480353.810000002</v>
      </c>
      <c r="N237" s="64">
        <v>16962</v>
      </c>
      <c r="O237" s="64">
        <v>263256.33999999997</v>
      </c>
      <c r="P237" s="66">
        <v>283241.96999999997</v>
      </c>
    </row>
    <row r="238" spans="2:16" x14ac:dyDescent="0.2">
      <c r="B238" s="72" t="s">
        <v>35</v>
      </c>
      <c r="C238" s="73">
        <v>20250801</v>
      </c>
      <c r="D238" s="52">
        <v>243</v>
      </c>
      <c r="E238" s="63">
        <v>10554</v>
      </c>
      <c r="F238" s="63">
        <v>44029989</v>
      </c>
      <c r="G238" s="64">
        <v>10494</v>
      </c>
      <c r="H238" s="59">
        <v>867</v>
      </c>
      <c r="I238" s="65">
        <v>2348274.02</v>
      </c>
      <c r="J238" s="53">
        <v>9687</v>
      </c>
      <c r="K238" s="54">
        <v>41681714.979999997</v>
      </c>
      <c r="L238" s="63">
        <v>19046</v>
      </c>
      <c r="M238" s="97">
        <v>40481963.670000002</v>
      </c>
      <c r="N238" s="64">
        <v>16354</v>
      </c>
      <c r="O238" s="66">
        <v>263064.24</v>
      </c>
      <c r="P238" s="66">
        <v>266318.42</v>
      </c>
    </row>
    <row r="239" spans="2:16" x14ac:dyDescent="0.2">
      <c r="B239" s="72" t="s">
        <v>35</v>
      </c>
      <c r="C239" s="73">
        <v>20250802</v>
      </c>
      <c r="D239" s="52">
        <v>242</v>
      </c>
      <c r="E239" s="63">
        <v>9200</v>
      </c>
      <c r="F239" s="63">
        <v>37334292</v>
      </c>
      <c r="G239" s="64">
        <v>9142</v>
      </c>
      <c r="H239" s="59">
        <v>706</v>
      </c>
      <c r="I239" s="65">
        <v>1709469.88</v>
      </c>
      <c r="J239" s="53">
        <v>8494</v>
      </c>
      <c r="K239" s="54">
        <v>35624822.119999997</v>
      </c>
      <c r="L239" s="63">
        <v>17549</v>
      </c>
      <c r="M239" s="97">
        <v>34613242.170000002</v>
      </c>
      <c r="N239" s="64">
        <v>14671</v>
      </c>
      <c r="O239" s="66">
        <v>263793.36</v>
      </c>
      <c r="P239" s="66">
        <v>218357.84</v>
      </c>
    </row>
    <row r="240" spans="2:16" x14ac:dyDescent="0.2">
      <c r="B240" s="72" t="s">
        <v>35</v>
      </c>
      <c r="C240" s="73">
        <v>20250803</v>
      </c>
      <c r="D240" s="52">
        <v>241</v>
      </c>
      <c r="E240" s="63">
        <v>7582</v>
      </c>
      <c r="F240" s="63">
        <v>28309982</v>
      </c>
      <c r="G240" s="64">
        <v>7548</v>
      </c>
      <c r="H240" s="59">
        <v>561</v>
      </c>
      <c r="I240" s="65">
        <v>1270694.67</v>
      </c>
      <c r="J240" s="53">
        <v>7021</v>
      </c>
      <c r="K240" s="54">
        <v>27039287.329999998</v>
      </c>
      <c r="L240" s="63">
        <v>14161</v>
      </c>
      <c r="M240" s="97">
        <v>24968714.309999999</v>
      </c>
      <c r="N240" s="64">
        <v>11756</v>
      </c>
      <c r="O240" s="66">
        <v>264733.90000000002</v>
      </c>
      <c r="P240" s="66">
        <v>156277.84</v>
      </c>
    </row>
    <row r="241" spans="2:16" x14ac:dyDescent="0.2">
      <c r="B241" s="72" t="s">
        <v>35</v>
      </c>
      <c r="C241" s="73">
        <v>20250804</v>
      </c>
      <c r="D241" s="52">
        <v>240</v>
      </c>
      <c r="E241" s="63">
        <v>7892</v>
      </c>
      <c r="F241" s="63">
        <v>33875585</v>
      </c>
      <c r="G241" s="64">
        <v>7863</v>
      </c>
      <c r="H241" s="59">
        <v>595</v>
      </c>
      <c r="I241" s="65">
        <v>1600526.07</v>
      </c>
      <c r="J241" s="53">
        <v>7297</v>
      </c>
      <c r="K241" s="54">
        <v>32275058.93</v>
      </c>
      <c r="L241" s="63">
        <v>15371</v>
      </c>
      <c r="M241" s="97">
        <v>30996698.609999999</v>
      </c>
      <c r="N241" s="64">
        <v>13058</v>
      </c>
      <c r="O241" s="66">
        <v>265717.17</v>
      </c>
      <c r="P241" s="66">
        <v>197127.12</v>
      </c>
    </row>
    <row r="242" spans="2:16" x14ac:dyDescent="0.2">
      <c r="B242" s="72" t="s">
        <v>35</v>
      </c>
      <c r="C242" s="73">
        <v>20250805</v>
      </c>
      <c r="D242" s="52">
        <v>239</v>
      </c>
      <c r="E242" s="63">
        <v>7061</v>
      </c>
      <c r="F242" s="63">
        <v>30787356</v>
      </c>
      <c r="G242" s="64">
        <v>7032</v>
      </c>
      <c r="H242" s="59">
        <v>516</v>
      </c>
      <c r="I242" s="65">
        <v>1548911.04</v>
      </c>
      <c r="J242" s="53">
        <v>6545</v>
      </c>
      <c r="K242" s="54">
        <v>29238444.960000001</v>
      </c>
      <c r="L242" s="63">
        <v>18468</v>
      </c>
      <c r="M242" s="97">
        <v>36591920.689999998</v>
      </c>
      <c r="N242" s="64">
        <v>15697</v>
      </c>
      <c r="O242" s="66">
        <v>266125.89</v>
      </c>
      <c r="P242" s="66">
        <v>244570.82</v>
      </c>
    </row>
    <row r="243" spans="2:16" x14ac:dyDescent="0.2">
      <c r="B243" s="72" t="s">
        <v>35</v>
      </c>
      <c r="C243" s="73">
        <v>20250806</v>
      </c>
      <c r="D243" s="52">
        <v>238</v>
      </c>
      <c r="E243" s="63">
        <v>8550</v>
      </c>
      <c r="F243" s="63">
        <v>36342177</v>
      </c>
      <c r="G243" s="64">
        <v>8506</v>
      </c>
      <c r="H243" s="59">
        <v>707</v>
      </c>
      <c r="I243" s="65">
        <v>1820796.45</v>
      </c>
      <c r="J243" s="53">
        <v>7843</v>
      </c>
      <c r="K243" s="54">
        <v>34521380.549999997</v>
      </c>
      <c r="L243" s="63">
        <v>17473</v>
      </c>
      <c r="M243" s="97">
        <v>32940404.640000001</v>
      </c>
      <c r="N243" s="64">
        <v>14832</v>
      </c>
      <c r="O243" s="66">
        <v>265123.94</v>
      </c>
      <c r="P243" s="66">
        <v>229860.26</v>
      </c>
    </row>
    <row r="244" spans="2:16" x14ac:dyDescent="0.2">
      <c r="B244" s="72" t="s">
        <v>35</v>
      </c>
      <c r="C244" s="73">
        <v>20250807</v>
      </c>
      <c r="D244" s="52">
        <v>237</v>
      </c>
      <c r="E244" s="63">
        <v>7712</v>
      </c>
      <c r="F244" s="63">
        <v>32675627</v>
      </c>
      <c r="G244" s="64">
        <v>7682</v>
      </c>
      <c r="H244" s="59">
        <v>596</v>
      </c>
      <c r="I244" s="65">
        <v>1653335.41</v>
      </c>
      <c r="J244" s="53">
        <v>7116</v>
      </c>
      <c r="K244" s="54">
        <v>31022291.59</v>
      </c>
      <c r="L244" s="63">
        <v>16263</v>
      </c>
      <c r="M244" s="97">
        <v>29907953.52</v>
      </c>
      <c r="N244" s="64">
        <v>13580</v>
      </c>
      <c r="O244" s="66">
        <v>265925.57999999996</v>
      </c>
      <c r="P244" s="66">
        <v>196263</v>
      </c>
    </row>
    <row r="245" spans="2:16" x14ac:dyDescent="0.2">
      <c r="B245" s="72" t="s">
        <v>35</v>
      </c>
      <c r="C245" s="73">
        <v>20250808</v>
      </c>
      <c r="D245" s="52">
        <v>236</v>
      </c>
      <c r="E245" s="63">
        <v>7068</v>
      </c>
      <c r="F245" s="63">
        <v>29697294</v>
      </c>
      <c r="G245" s="64">
        <v>7037</v>
      </c>
      <c r="H245" s="59">
        <v>587</v>
      </c>
      <c r="I245" s="65">
        <v>1385257.42</v>
      </c>
      <c r="J245" s="53">
        <v>6481</v>
      </c>
      <c r="K245" s="54">
        <v>28312036.579999998</v>
      </c>
      <c r="L245" s="63">
        <v>16519</v>
      </c>
      <c r="M245" s="97">
        <v>30720118.489999998</v>
      </c>
      <c r="N245" s="64">
        <v>13819</v>
      </c>
      <c r="O245" s="66">
        <v>266694.94</v>
      </c>
      <c r="P245" s="66">
        <v>206440.59000000003</v>
      </c>
    </row>
    <row r="246" spans="2:16" x14ac:dyDescent="0.2">
      <c r="B246" s="72" t="s">
        <v>35</v>
      </c>
      <c r="C246" s="73">
        <v>20250809</v>
      </c>
      <c r="D246" s="52">
        <v>235</v>
      </c>
      <c r="E246" s="63">
        <v>7492</v>
      </c>
      <c r="F246" s="63">
        <v>30494152</v>
      </c>
      <c r="G246" s="64">
        <v>7458</v>
      </c>
      <c r="H246" s="59">
        <v>596</v>
      </c>
      <c r="I246" s="65">
        <v>1616199.49</v>
      </c>
      <c r="J246" s="53">
        <v>6896</v>
      </c>
      <c r="K246" s="54">
        <v>28877952.510000002</v>
      </c>
      <c r="L246" s="63">
        <v>14360</v>
      </c>
      <c r="M246" s="97">
        <v>25130442.289999999</v>
      </c>
      <c r="N246" s="64">
        <v>11902</v>
      </c>
      <c r="O246" s="66">
        <v>266465.12</v>
      </c>
      <c r="P246" s="66">
        <v>159050.06</v>
      </c>
    </row>
    <row r="247" spans="2:16" x14ac:dyDescent="0.2">
      <c r="B247" s="72" t="s">
        <v>35</v>
      </c>
      <c r="C247" s="73">
        <v>20250810</v>
      </c>
      <c r="D247" s="52">
        <v>234</v>
      </c>
      <c r="E247" s="63">
        <v>4381</v>
      </c>
      <c r="F247" s="63">
        <v>16909503</v>
      </c>
      <c r="G247" s="64">
        <v>4355</v>
      </c>
      <c r="H247" s="59">
        <v>342</v>
      </c>
      <c r="I247" s="65">
        <v>859493.8</v>
      </c>
      <c r="J247" s="53">
        <v>4039</v>
      </c>
      <c r="K247" s="54">
        <v>16050009.199999999</v>
      </c>
      <c r="L247" s="63">
        <v>12243</v>
      </c>
      <c r="M247" s="97">
        <v>19569499.140000001</v>
      </c>
      <c r="N247" s="64">
        <v>10104</v>
      </c>
      <c r="O247" s="66">
        <v>267857.81</v>
      </c>
      <c r="P247" s="66">
        <v>125309.91</v>
      </c>
    </row>
    <row r="248" spans="2:16" x14ac:dyDescent="0.2">
      <c r="B248" s="72" t="s">
        <v>35</v>
      </c>
      <c r="C248" s="73">
        <v>20250811</v>
      </c>
      <c r="D248" s="52">
        <v>233</v>
      </c>
      <c r="E248" s="63">
        <v>6532</v>
      </c>
      <c r="F248" s="63">
        <v>27478902</v>
      </c>
      <c r="G248" s="64">
        <v>6489</v>
      </c>
      <c r="H248" s="59">
        <v>562</v>
      </c>
      <c r="I248" s="65">
        <v>1548432.43</v>
      </c>
      <c r="J248" s="53">
        <v>5970</v>
      </c>
      <c r="K248" s="54">
        <v>25930469.57</v>
      </c>
      <c r="L248" s="63">
        <v>14716</v>
      </c>
      <c r="M248" s="97">
        <v>25361814.43</v>
      </c>
      <c r="N248" s="64">
        <v>12178</v>
      </c>
      <c r="O248" s="66">
        <v>267522.57</v>
      </c>
      <c r="P248" s="66">
        <v>161069.08999999997</v>
      </c>
    </row>
    <row r="249" spans="2:16" x14ac:dyDescent="0.2">
      <c r="B249" s="72" t="s">
        <v>35</v>
      </c>
      <c r="C249" s="73">
        <v>20250812</v>
      </c>
      <c r="D249" s="52">
        <v>232</v>
      </c>
      <c r="E249" s="63">
        <v>5957</v>
      </c>
      <c r="F249" s="63">
        <v>25192193</v>
      </c>
      <c r="G249" s="64">
        <v>5934</v>
      </c>
      <c r="H249" s="59">
        <v>460</v>
      </c>
      <c r="I249" s="65">
        <v>1420130.7</v>
      </c>
      <c r="J249" s="53">
        <v>5497</v>
      </c>
      <c r="K249" s="54">
        <v>23772062.300000001</v>
      </c>
      <c r="L249" s="63">
        <v>14002</v>
      </c>
      <c r="M249" s="97">
        <v>23174111.960000001</v>
      </c>
      <c r="N249" s="64">
        <v>11590</v>
      </c>
      <c r="O249" s="66">
        <v>268061.17000000004</v>
      </c>
      <c r="P249" s="66">
        <v>154902.88</v>
      </c>
    </row>
    <row r="250" spans="2:16" x14ac:dyDescent="0.2">
      <c r="B250" s="72" t="s">
        <v>35</v>
      </c>
      <c r="C250" s="73">
        <v>20250813</v>
      </c>
      <c r="D250" s="52">
        <v>231</v>
      </c>
      <c r="E250" s="63">
        <v>5403</v>
      </c>
      <c r="F250" s="63">
        <v>23017294</v>
      </c>
      <c r="G250" s="64">
        <v>5390</v>
      </c>
      <c r="H250" s="59">
        <v>418</v>
      </c>
      <c r="I250" s="65">
        <v>1235515.3500000001</v>
      </c>
      <c r="J250" s="53">
        <v>4985</v>
      </c>
      <c r="K250" s="54">
        <v>21781778.649999999</v>
      </c>
      <c r="L250" s="63">
        <v>13477</v>
      </c>
      <c r="M250" s="97">
        <v>23070004.039999999</v>
      </c>
      <c r="N250" s="64">
        <v>11333</v>
      </c>
      <c r="O250" s="66">
        <v>268496.40000000002</v>
      </c>
      <c r="P250" s="66">
        <v>151402.71</v>
      </c>
    </row>
    <row r="251" spans="2:16" x14ac:dyDescent="0.2">
      <c r="B251" s="72" t="s">
        <v>35</v>
      </c>
      <c r="C251" s="73">
        <v>20250814</v>
      </c>
      <c r="D251" s="52">
        <v>230</v>
      </c>
      <c r="E251" s="63">
        <v>3415</v>
      </c>
      <c r="F251" s="63">
        <v>15556361</v>
      </c>
      <c r="G251" s="64">
        <v>3407</v>
      </c>
      <c r="H251" s="59">
        <v>268</v>
      </c>
      <c r="I251" s="65">
        <v>926113.65</v>
      </c>
      <c r="J251" s="53">
        <v>3147</v>
      </c>
      <c r="K251" s="54">
        <v>14630247.35</v>
      </c>
      <c r="L251" s="63">
        <v>15182</v>
      </c>
      <c r="M251" s="97">
        <v>24584701.010000002</v>
      </c>
      <c r="N251" s="64">
        <v>12801</v>
      </c>
      <c r="O251" s="66">
        <v>268486.62</v>
      </c>
      <c r="P251" s="66">
        <v>167669.68</v>
      </c>
    </row>
    <row r="252" spans="2:16" x14ac:dyDescent="0.2">
      <c r="B252" s="72" t="s">
        <v>35</v>
      </c>
      <c r="C252" s="73">
        <v>20250815</v>
      </c>
      <c r="D252" s="52">
        <v>229</v>
      </c>
      <c r="E252" s="63">
        <v>7508</v>
      </c>
      <c r="F252" s="63">
        <v>31670111</v>
      </c>
      <c r="G252" s="64">
        <v>7482</v>
      </c>
      <c r="H252" s="59">
        <v>685</v>
      </c>
      <c r="I252" s="65">
        <v>1872121.26</v>
      </c>
      <c r="J252" s="53">
        <v>6823</v>
      </c>
      <c r="K252" s="54">
        <v>29797989.739999998</v>
      </c>
      <c r="L252" s="63">
        <v>13483</v>
      </c>
      <c r="M252" s="97">
        <v>23850742.629999999</v>
      </c>
      <c r="N252" s="64">
        <v>11345</v>
      </c>
      <c r="O252" s="66">
        <v>266610.58999999997</v>
      </c>
      <c r="P252" s="66">
        <v>151442.18</v>
      </c>
    </row>
    <row r="253" spans="2:16" x14ac:dyDescent="0.2">
      <c r="B253" s="72" t="s">
        <v>35</v>
      </c>
      <c r="C253" s="73">
        <v>20250816</v>
      </c>
      <c r="D253" s="52">
        <v>228</v>
      </c>
      <c r="E253" s="63">
        <v>5796</v>
      </c>
      <c r="F253" s="63">
        <v>23674446</v>
      </c>
      <c r="G253" s="64">
        <v>5775</v>
      </c>
      <c r="H253" s="59">
        <v>455</v>
      </c>
      <c r="I253" s="65">
        <v>1279200.6000000001</v>
      </c>
      <c r="J253" s="53">
        <v>5341</v>
      </c>
      <c r="K253" s="54">
        <v>22395245.399999999</v>
      </c>
      <c r="L253" s="63">
        <v>11599</v>
      </c>
      <c r="M253" s="97">
        <v>20830469.129999999</v>
      </c>
      <c r="N253" s="64">
        <v>9793</v>
      </c>
      <c r="O253" s="66">
        <v>268534.34999999998</v>
      </c>
      <c r="P253" s="66">
        <v>131334.09</v>
      </c>
    </row>
    <row r="254" spans="2:16" x14ac:dyDescent="0.2">
      <c r="B254" s="72" t="s">
        <v>35</v>
      </c>
      <c r="C254" s="73">
        <v>20250817</v>
      </c>
      <c r="D254" s="52">
        <v>227</v>
      </c>
      <c r="E254" s="63">
        <v>5627</v>
      </c>
      <c r="F254" s="63">
        <v>20688430</v>
      </c>
      <c r="G254" s="64">
        <v>5605</v>
      </c>
      <c r="H254" s="59">
        <v>471</v>
      </c>
      <c r="I254" s="65">
        <v>1120832.99</v>
      </c>
      <c r="J254" s="53">
        <v>5156</v>
      </c>
      <c r="K254" s="54">
        <v>19567597.010000002</v>
      </c>
      <c r="L254" s="63">
        <v>11098</v>
      </c>
      <c r="M254" s="97">
        <v>17235056.84</v>
      </c>
      <c r="N254" s="64">
        <v>9252</v>
      </c>
      <c r="O254" s="66">
        <v>269355.98</v>
      </c>
      <c r="P254" s="66">
        <v>113778.36</v>
      </c>
    </row>
    <row r="255" spans="2:16" x14ac:dyDescent="0.2">
      <c r="B255" s="72" t="s">
        <v>35</v>
      </c>
      <c r="C255" s="73">
        <v>20250818</v>
      </c>
      <c r="D255" s="52">
        <v>226</v>
      </c>
      <c r="E255" s="63">
        <v>4303</v>
      </c>
      <c r="F255" s="63">
        <v>17114686</v>
      </c>
      <c r="G255" s="64">
        <v>4295</v>
      </c>
      <c r="H255" s="59">
        <v>377</v>
      </c>
      <c r="I255" s="65">
        <v>890221.6</v>
      </c>
      <c r="J255" s="53">
        <v>3926</v>
      </c>
      <c r="K255" s="54">
        <v>16224464.4</v>
      </c>
      <c r="L255" s="63">
        <v>13673</v>
      </c>
      <c r="M255" s="97">
        <v>23085350.989999998</v>
      </c>
      <c r="N255" s="64">
        <v>11485</v>
      </c>
      <c r="O255" s="66">
        <v>270412.18000000005</v>
      </c>
      <c r="P255" s="66">
        <v>165777.89000000001</v>
      </c>
    </row>
    <row r="256" spans="2:16" x14ac:dyDescent="0.2">
      <c r="B256" s="72" t="s">
        <v>35</v>
      </c>
      <c r="C256" s="73">
        <v>20250819</v>
      </c>
      <c r="D256" s="52">
        <v>225</v>
      </c>
      <c r="E256" s="63">
        <v>5594</v>
      </c>
      <c r="F256" s="63">
        <v>22868944</v>
      </c>
      <c r="G256" s="64">
        <v>5580</v>
      </c>
      <c r="H256" s="59">
        <v>543</v>
      </c>
      <c r="I256" s="65">
        <v>1509497.59</v>
      </c>
      <c r="J256" s="53">
        <v>5051</v>
      </c>
      <c r="K256" s="54">
        <v>21359446.41</v>
      </c>
      <c r="L256" s="63">
        <v>13112</v>
      </c>
      <c r="M256" s="97">
        <v>21872653.260000002</v>
      </c>
      <c r="N256" s="64">
        <v>10975</v>
      </c>
      <c r="O256" s="66">
        <v>269246.5</v>
      </c>
      <c r="P256" s="66">
        <v>146757.44999999998</v>
      </c>
    </row>
    <row r="257" spans="2:16" x14ac:dyDescent="0.2">
      <c r="B257" s="72" t="s">
        <v>35</v>
      </c>
      <c r="C257" s="73">
        <v>20250820</v>
      </c>
      <c r="D257" s="52">
        <v>224</v>
      </c>
      <c r="E257" s="63">
        <v>4893</v>
      </c>
      <c r="F257" s="63">
        <v>21712445</v>
      </c>
      <c r="G257" s="64">
        <v>4878</v>
      </c>
      <c r="H257" s="59">
        <v>445</v>
      </c>
      <c r="I257" s="65">
        <v>1238557.43</v>
      </c>
      <c r="J257" s="53">
        <v>4448</v>
      </c>
      <c r="K257" s="54">
        <v>20473887.57</v>
      </c>
      <c r="L257" s="63">
        <v>13473</v>
      </c>
      <c r="M257" s="97">
        <v>23048043.550000001</v>
      </c>
      <c r="N257" s="64">
        <v>11300</v>
      </c>
      <c r="O257" s="66">
        <v>269529.78000000003</v>
      </c>
      <c r="P257" s="66">
        <v>153973.68</v>
      </c>
    </row>
    <row r="258" spans="2:16" x14ac:dyDescent="0.2">
      <c r="B258" s="72" t="s">
        <v>35</v>
      </c>
      <c r="C258" s="73">
        <v>20250821</v>
      </c>
      <c r="D258" s="52">
        <v>223</v>
      </c>
      <c r="E258" s="63">
        <v>5421</v>
      </c>
      <c r="F258" s="63">
        <v>22874803</v>
      </c>
      <c r="G258" s="64">
        <v>5403</v>
      </c>
      <c r="H258" s="59">
        <v>513</v>
      </c>
      <c r="I258" s="65">
        <v>1301851.1399999999</v>
      </c>
      <c r="J258" s="53">
        <v>4908</v>
      </c>
      <c r="K258" s="54">
        <v>21572951.859999999</v>
      </c>
      <c r="L258" s="63">
        <v>13139</v>
      </c>
      <c r="M258" s="97">
        <v>22279083.73</v>
      </c>
      <c r="N258" s="64">
        <v>10984</v>
      </c>
      <c r="O258" s="66">
        <v>269369.58999999997</v>
      </c>
      <c r="P258" s="66">
        <v>148579.24</v>
      </c>
    </row>
    <row r="259" spans="2:16" x14ac:dyDescent="0.2">
      <c r="B259" s="72" t="s">
        <v>35</v>
      </c>
      <c r="C259" s="73">
        <v>20250822</v>
      </c>
      <c r="D259" s="52">
        <v>222</v>
      </c>
      <c r="E259" s="63">
        <v>5149</v>
      </c>
      <c r="F259" s="63">
        <v>22098957</v>
      </c>
      <c r="G259" s="64">
        <v>5134</v>
      </c>
      <c r="H259" s="59">
        <v>452</v>
      </c>
      <c r="I259" s="65">
        <v>1207052.3799999999</v>
      </c>
      <c r="J259" s="53">
        <v>4697</v>
      </c>
      <c r="K259" s="54">
        <v>20891904.620000001</v>
      </c>
      <c r="L259" s="63">
        <v>12682</v>
      </c>
      <c r="M259" s="97">
        <v>23537054.780000001</v>
      </c>
      <c r="N259" s="64">
        <v>10709</v>
      </c>
      <c r="O259" s="66">
        <v>269672.15999999997</v>
      </c>
      <c r="P259" s="66">
        <v>149541.48000000001</v>
      </c>
    </row>
    <row r="260" spans="2:16" x14ac:dyDescent="0.2">
      <c r="B260" s="72" t="s">
        <v>35</v>
      </c>
      <c r="C260" s="73">
        <v>20250823</v>
      </c>
      <c r="D260" s="52">
        <v>221</v>
      </c>
      <c r="E260" s="63">
        <v>5485</v>
      </c>
      <c r="F260" s="63">
        <v>23364484</v>
      </c>
      <c r="G260" s="64">
        <v>5452</v>
      </c>
      <c r="H260" s="59">
        <v>495</v>
      </c>
      <c r="I260" s="65">
        <v>1351866.68</v>
      </c>
      <c r="J260" s="53">
        <v>4990</v>
      </c>
      <c r="K260" s="54">
        <v>22012617.32</v>
      </c>
      <c r="L260" s="63">
        <v>12070</v>
      </c>
      <c r="M260" s="97">
        <v>22201711.829999998</v>
      </c>
      <c r="N260" s="64">
        <v>9977</v>
      </c>
      <c r="O260" s="66">
        <v>269470.23</v>
      </c>
      <c r="P260" s="66">
        <v>149083.81</v>
      </c>
    </row>
    <row r="261" spans="2:16" x14ac:dyDescent="0.2">
      <c r="B261" s="72" t="s">
        <v>35</v>
      </c>
      <c r="C261" s="73">
        <v>20250824</v>
      </c>
      <c r="D261" s="52">
        <v>220</v>
      </c>
      <c r="E261" s="63">
        <v>5506</v>
      </c>
      <c r="F261" s="63">
        <v>22044352</v>
      </c>
      <c r="G261" s="64">
        <v>5489</v>
      </c>
      <c r="H261" s="59">
        <v>450</v>
      </c>
      <c r="I261" s="65">
        <v>1223954.24</v>
      </c>
      <c r="J261" s="53">
        <v>5056</v>
      </c>
      <c r="K261" s="54">
        <v>20820397.760000002</v>
      </c>
      <c r="L261" s="63">
        <v>10825</v>
      </c>
      <c r="M261" s="97">
        <v>17550493.399999999</v>
      </c>
      <c r="N261" s="64">
        <v>8913</v>
      </c>
      <c r="O261" s="66">
        <v>269809.75</v>
      </c>
      <c r="P261" s="66">
        <v>112812.04000000001</v>
      </c>
    </row>
    <row r="262" spans="2:16" x14ac:dyDescent="0.2">
      <c r="B262" s="72" t="s">
        <v>35</v>
      </c>
      <c r="C262" s="73">
        <v>20250825</v>
      </c>
      <c r="D262" s="52">
        <v>219</v>
      </c>
      <c r="E262" s="63">
        <v>3828</v>
      </c>
      <c r="F262" s="63">
        <v>17430202</v>
      </c>
      <c r="G262" s="64">
        <v>3816</v>
      </c>
      <c r="H262" s="59">
        <v>305</v>
      </c>
      <c r="I262" s="65">
        <v>832188.5</v>
      </c>
      <c r="J262" s="53">
        <v>3523</v>
      </c>
      <c r="K262" s="54">
        <v>16598013.5</v>
      </c>
      <c r="L262" s="63">
        <v>13608</v>
      </c>
      <c r="M262" s="97">
        <v>27489796.59</v>
      </c>
      <c r="N262" s="64">
        <v>11428</v>
      </c>
      <c r="O262" s="66">
        <v>270946.26</v>
      </c>
      <c r="P262" s="66">
        <v>180301.2</v>
      </c>
    </row>
    <row r="263" spans="2:16" x14ac:dyDescent="0.2">
      <c r="B263" s="72" t="s">
        <v>35</v>
      </c>
      <c r="C263" s="73">
        <v>20250826</v>
      </c>
      <c r="D263" s="52">
        <v>218</v>
      </c>
      <c r="E263" s="63">
        <v>5726</v>
      </c>
      <c r="F263" s="63">
        <v>27296066</v>
      </c>
      <c r="G263" s="64">
        <v>5702</v>
      </c>
      <c r="H263" s="59">
        <v>490</v>
      </c>
      <c r="I263" s="65">
        <v>1442235.34</v>
      </c>
      <c r="J263" s="53">
        <v>5236</v>
      </c>
      <c r="K263" s="54">
        <v>25853830.66</v>
      </c>
      <c r="L263" s="63">
        <v>14769</v>
      </c>
      <c r="M263" s="97">
        <v>29149159.98</v>
      </c>
      <c r="N263" s="64">
        <v>12345</v>
      </c>
      <c r="O263" s="66">
        <v>268576.23</v>
      </c>
      <c r="P263" s="66">
        <v>206146.58</v>
      </c>
    </row>
    <row r="264" spans="2:16" x14ac:dyDescent="0.2">
      <c r="B264" s="72" t="s">
        <v>35</v>
      </c>
      <c r="C264" s="73">
        <v>20250827</v>
      </c>
      <c r="D264" s="52">
        <v>217</v>
      </c>
      <c r="E264" s="63">
        <v>6293</v>
      </c>
      <c r="F264" s="63">
        <v>28917806</v>
      </c>
      <c r="G264" s="64">
        <v>6274</v>
      </c>
      <c r="H264" s="59">
        <v>539</v>
      </c>
      <c r="I264" s="65">
        <v>1501279.5</v>
      </c>
      <c r="J264" s="53">
        <v>5754</v>
      </c>
      <c r="K264" s="54">
        <v>27416526.5</v>
      </c>
      <c r="L264" s="63">
        <v>13884</v>
      </c>
      <c r="M264" s="97">
        <v>26860441.390000001</v>
      </c>
      <c r="N264" s="64">
        <v>11680</v>
      </c>
      <c r="O264" s="66">
        <v>268483.21999999997</v>
      </c>
      <c r="P264" s="66">
        <v>184663.98</v>
      </c>
    </row>
    <row r="265" spans="2:16" x14ac:dyDescent="0.2">
      <c r="B265" s="72" t="s">
        <v>35</v>
      </c>
      <c r="C265" s="73">
        <v>20250828</v>
      </c>
      <c r="D265" s="52">
        <v>216</v>
      </c>
      <c r="E265" s="63">
        <v>5753</v>
      </c>
      <c r="F265" s="63">
        <v>26665898</v>
      </c>
      <c r="G265" s="64">
        <v>5731</v>
      </c>
      <c r="H265" s="59">
        <v>510</v>
      </c>
      <c r="I265" s="65">
        <v>1887501.66</v>
      </c>
      <c r="J265" s="53">
        <v>5243</v>
      </c>
      <c r="K265" s="54">
        <v>24778396.34</v>
      </c>
      <c r="L265" s="63">
        <v>14167</v>
      </c>
      <c r="M265" s="97">
        <v>29738227.079999998</v>
      </c>
      <c r="N265" s="64">
        <v>11945</v>
      </c>
      <c r="O265" s="66">
        <v>269007.07</v>
      </c>
      <c r="P265" s="66">
        <v>193842.66999999998</v>
      </c>
    </row>
    <row r="266" spans="2:16" x14ac:dyDescent="0.2">
      <c r="B266" s="72" t="s">
        <v>35</v>
      </c>
      <c r="C266" s="73">
        <v>20250829</v>
      </c>
      <c r="D266" s="52">
        <v>215</v>
      </c>
      <c r="E266" s="63">
        <v>6459</v>
      </c>
      <c r="F266" s="63">
        <v>29538250</v>
      </c>
      <c r="G266" s="64">
        <v>6445</v>
      </c>
      <c r="H266" s="59">
        <v>578</v>
      </c>
      <c r="I266" s="65">
        <v>1653698.26</v>
      </c>
      <c r="J266" s="53">
        <v>5881</v>
      </c>
      <c r="K266" s="54">
        <v>27884551.739999998</v>
      </c>
      <c r="L266" s="63">
        <v>15750</v>
      </c>
      <c r="M266" s="97">
        <v>34882810.859999999</v>
      </c>
      <c r="N266" s="64">
        <v>13397</v>
      </c>
      <c r="O266" s="66">
        <v>268500.55</v>
      </c>
      <c r="P266" s="66">
        <v>240480.91999999998</v>
      </c>
    </row>
    <row r="267" spans="2:16" x14ac:dyDescent="0.2">
      <c r="B267" s="72" t="s">
        <v>35</v>
      </c>
      <c r="C267" s="73">
        <v>20250830</v>
      </c>
      <c r="D267" s="52">
        <v>214</v>
      </c>
      <c r="E267" s="63">
        <v>7987</v>
      </c>
      <c r="F267" s="63">
        <v>34621140</v>
      </c>
      <c r="G267" s="64">
        <v>7958</v>
      </c>
      <c r="H267" s="59">
        <v>667</v>
      </c>
      <c r="I267" s="65">
        <v>1616580.04</v>
      </c>
      <c r="J267" s="53">
        <v>7320</v>
      </c>
      <c r="K267" s="54">
        <v>33004559.960000001</v>
      </c>
      <c r="L267" s="63">
        <v>14846</v>
      </c>
      <c r="M267" s="97">
        <v>32012658.949999999</v>
      </c>
      <c r="N267" s="64">
        <v>12499</v>
      </c>
      <c r="O267" s="66">
        <v>267413.13</v>
      </c>
      <c r="P267" s="66">
        <v>210796.59999999998</v>
      </c>
    </row>
    <row r="268" spans="2:16" x14ac:dyDescent="0.2">
      <c r="B268" s="72" t="s">
        <v>35</v>
      </c>
      <c r="C268" s="73">
        <v>20250831</v>
      </c>
      <c r="D268" s="52">
        <v>213</v>
      </c>
      <c r="E268" s="63">
        <v>8057</v>
      </c>
      <c r="F268" s="63">
        <v>31796033</v>
      </c>
      <c r="G268" s="64">
        <v>8016</v>
      </c>
      <c r="H268" s="59">
        <v>665</v>
      </c>
      <c r="I268" s="65">
        <v>1624684.92</v>
      </c>
      <c r="J268" s="53">
        <v>7392</v>
      </c>
      <c r="K268" s="54">
        <v>30171348.079999998</v>
      </c>
      <c r="L268" s="63">
        <v>12544</v>
      </c>
      <c r="M268" s="97">
        <v>24479581.52</v>
      </c>
      <c r="N268" s="64">
        <v>10474</v>
      </c>
      <c r="O268" s="66">
        <v>268276.02</v>
      </c>
      <c r="P268" s="66">
        <v>161542.91</v>
      </c>
    </row>
    <row r="269" spans="2:16" x14ac:dyDescent="0.2">
      <c r="B269" s="72" t="s">
        <v>36</v>
      </c>
      <c r="C269" s="73">
        <v>20250901</v>
      </c>
      <c r="D269" s="52">
        <v>212</v>
      </c>
      <c r="E269" s="63">
        <v>5420</v>
      </c>
      <c r="F269" s="63">
        <v>24303844</v>
      </c>
      <c r="G269" s="64">
        <v>5402</v>
      </c>
      <c r="H269" s="59">
        <v>415</v>
      </c>
      <c r="I269" s="65">
        <v>1211693.77</v>
      </c>
      <c r="J269" s="53">
        <v>5005</v>
      </c>
      <c r="K269" s="54">
        <v>23092150.23</v>
      </c>
      <c r="L269" s="63">
        <v>16032</v>
      </c>
      <c r="M269" s="97">
        <v>34453508.079999998</v>
      </c>
      <c r="N269" s="64">
        <v>13649</v>
      </c>
      <c r="O269" s="66">
        <v>270281.17</v>
      </c>
      <c r="P269" s="66">
        <v>229845.47999999998</v>
      </c>
    </row>
    <row r="270" spans="2:16" x14ac:dyDescent="0.2">
      <c r="B270" s="72" t="s">
        <v>36</v>
      </c>
      <c r="C270" s="73">
        <v>20250902</v>
      </c>
      <c r="D270" s="52">
        <v>211</v>
      </c>
      <c r="E270" s="63">
        <v>7561</v>
      </c>
      <c r="F270" s="63">
        <v>34213041</v>
      </c>
      <c r="G270" s="64">
        <v>7547</v>
      </c>
      <c r="H270" s="59">
        <v>651</v>
      </c>
      <c r="I270" s="65">
        <v>1809052.36</v>
      </c>
      <c r="J270" s="53">
        <v>6910</v>
      </c>
      <c r="K270" s="54">
        <v>32403988.640000001</v>
      </c>
      <c r="L270" s="63">
        <v>16240</v>
      </c>
      <c r="M270" s="97">
        <v>32685436.91</v>
      </c>
      <c r="N270" s="64">
        <v>13667</v>
      </c>
      <c r="O270" s="66">
        <v>268190.46000000002</v>
      </c>
      <c r="P270" s="66">
        <v>224058.76</v>
      </c>
    </row>
    <row r="271" spans="2:16" x14ac:dyDescent="0.2">
      <c r="B271" s="72" t="s">
        <v>36</v>
      </c>
      <c r="C271" s="73">
        <v>20250903</v>
      </c>
      <c r="D271" s="52">
        <v>210</v>
      </c>
      <c r="E271" s="63">
        <v>7742</v>
      </c>
      <c r="F271" s="63">
        <v>32443080</v>
      </c>
      <c r="G271" s="64">
        <v>7702</v>
      </c>
      <c r="H271" s="59">
        <v>645</v>
      </c>
      <c r="I271" s="65">
        <v>1525033.46</v>
      </c>
      <c r="J271" s="53">
        <v>7097</v>
      </c>
      <c r="K271" s="54">
        <v>30918046.539999999</v>
      </c>
      <c r="L271" s="63">
        <v>15746</v>
      </c>
      <c r="M271" s="97">
        <v>32098581.210000001</v>
      </c>
      <c r="N271" s="64">
        <v>13381</v>
      </c>
      <c r="O271" s="66">
        <v>268520.39</v>
      </c>
      <c r="P271" s="66">
        <v>221102.76</v>
      </c>
    </row>
    <row r="272" spans="2:16" x14ac:dyDescent="0.2">
      <c r="B272" s="72" t="s">
        <v>36</v>
      </c>
      <c r="C272" s="73">
        <v>20250904</v>
      </c>
      <c r="D272" s="52">
        <v>209</v>
      </c>
      <c r="E272" s="63">
        <v>7650</v>
      </c>
      <c r="F272" s="63">
        <v>31865348</v>
      </c>
      <c r="G272" s="64">
        <v>7609</v>
      </c>
      <c r="H272" s="59">
        <v>680</v>
      </c>
      <c r="I272" s="65">
        <v>1732972.99</v>
      </c>
      <c r="J272" s="53">
        <v>6970</v>
      </c>
      <c r="K272" s="54">
        <v>30132375.010000002</v>
      </c>
      <c r="L272" s="63">
        <v>15404</v>
      </c>
      <c r="M272" s="97">
        <v>30353240.48</v>
      </c>
      <c r="N272" s="64">
        <v>12891</v>
      </c>
      <c r="O272" s="66">
        <v>268727.04000000004</v>
      </c>
      <c r="P272" s="66">
        <v>204729.68</v>
      </c>
    </row>
    <row r="273" spans="2:16" x14ac:dyDescent="0.2">
      <c r="B273" s="72" t="s">
        <v>36</v>
      </c>
      <c r="C273" s="73">
        <v>20250905</v>
      </c>
      <c r="D273" s="52">
        <v>208</v>
      </c>
      <c r="E273" s="63">
        <v>7284</v>
      </c>
      <c r="F273" s="63">
        <v>30138057</v>
      </c>
      <c r="G273" s="64">
        <v>7257</v>
      </c>
      <c r="H273" s="59">
        <v>632</v>
      </c>
      <c r="I273" s="65">
        <v>1539973.67</v>
      </c>
      <c r="J273" s="53">
        <v>6652</v>
      </c>
      <c r="K273" s="54">
        <v>28598083.329999998</v>
      </c>
      <c r="L273" s="63">
        <v>15432</v>
      </c>
      <c r="M273" s="97">
        <v>31063553.210000001</v>
      </c>
      <c r="N273" s="64">
        <v>12992</v>
      </c>
      <c r="O273" s="66">
        <v>269125.57999999996</v>
      </c>
      <c r="P273" s="66">
        <v>211448.26999999996</v>
      </c>
    </row>
    <row r="274" spans="2:16" x14ac:dyDescent="0.2">
      <c r="B274" s="72" t="s">
        <v>36</v>
      </c>
      <c r="C274" s="73">
        <v>20250906</v>
      </c>
      <c r="D274" s="52">
        <v>207</v>
      </c>
      <c r="E274" s="63">
        <v>7603</v>
      </c>
      <c r="F274" s="63">
        <v>30848251</v>
      </c>
      <c r="G274" s="64">
        <v>7578</v>
      </c>
      <c r="H274" s="59">
        <v>646</v>
      </c>
      <c r="I274" s="65">
        <v>1603786.13</v>
      </c>
      <c r="J274" s="53">
        <v>6957</v>
      </c>
      <c r="K274" s="54">
        <v>29244464.870000001</v>
      </c>
      <c r="L274" s="63">
        <v>14825</v>
      </c>
      <c r="M274" s="97">
        <v>28471890.68</v>
      </c>
      <c r="N274" s="64">
        <v>12304</v>
      </c>
      <c r="O274" s="66">
        <v>269086.02</v>
      </c>
      <c r="P274" s="66">
        <v>196224.72</v>
      </c>
    </row>
    <row r="275" spans="2:16" x14ac:dyDescent="0.2">
      <c r="B275" s="72" t="s">
        <v>36</v>
      </c>
      <c r="C275" s="73">
        <v>20250907</v>
      </c>
      <c r="D275" s="52">
        <v>206</v>
      </c>
      <c r="E275" s="63">
        <v>7623</v>
      </c>
      <c r="F275" s="63">
        <v>28265694</v>
      </c>
      <c r="G275" s="64">
        <v>7583</v>
      </c>
      <c r="H275" s="59">
        <v>692</v>
      </c>
      <c r="I275" s="65">
        <v>1616780.06</v>
      </c>
      <c r="J275" s="53">
        <v>6931</v>
      </c>
      <c r="K275" s="54">
        <v>26648913.940000001</v>
      </c>
      <c r="L275" s="63">
        <v>12239</v>
      </c>
      <c r="M275" s="97">
        <v>20668926.27</v>
      </c>
      <c r="N275" s="64">
        <v>10111</v>
      </c>
      <c r="O275" s="66">
        <v>269758.62</v>
      </c>
      <c r="P275" s="66">
        <v>141586.90000000002</v>
      </c>
    </row>
    <row r="276" spans="2:16" x14ac:dyDescent="0.2">
      <c r="B276" s="72" t="s">
        <v>36</v>
      </c>
      <c r="C276" s="73">
        <v>20250908</v>
      </c>
      <c r="D276" s="52">
        <v>205</v>
      </c>
      <c r="E276" s="63">
        <v>5027</v>
      </c>
      <c r="F276" s="63">
        <v>20509353</v>
      </c>
      <c r="G276" s="64">
        <v>5010</v>
      </c>
      <c r="H276" s="59">
        <v>414</v>
      </c>
      <c r="I276" s="65">
        <v>1129917.2</v>
      </c>
      <c r="J276" s="53">
        <v>4613</v>
      </c>
      <c r="K276" s="54">
        <v>19379435.800000001</v>
      </c>
      <c r="L276" s="63">
        <v>14403</v>
      </c>
      <c r="M276" s="97">
        <v>26560721.379999999</v>
      </c>
      <c r="N276" s="64">
        <v>12000</v>
      </c>
      <c r="O276" s="66">
        <v>271590.04000000004</v>
      </c>
      <c r="P276" s="66">
        <v>186506.84999999998</v>
      </c>
    </row>
    <row r="277" spans="2:16" x14ac:dyDescent="0.2">
      <c r="B277" s="72" t="s">
        <v>36</v>
      </c>
      <c r="C277" s="73">
        <v>20250909</v>
      </c>
      <c r="D277" s="52">
        <v>204</v>
      </c>
      <c r="E277" s="63">
        <v>6446</v>
      </c>
      <c r="F277" s="63">
        <v>26374210</v>
      </c>
      <c r="G277" s="64">
        <v>6428</v>
      </c>
      <c r="H277" s="59">
        <v>592</v>
      </c>
      <c r="I277" s="65">
        <v>1453396.06</v>
      </c>
      <c r="J277" s="53">
        <v>5854</v>
      </c>
      <c r="K277" s="54">
        <v>24920813.940000001</v>
      </c>
      <c r="L277" s="63">
        <v>14829</v>
      </c>
      <c r="M277" s="97">
        <v>25221868.73</v>
      </c>
      <c r="N277" s="64">
        <v>12424</v>
      </c>
      <c r="O277" s="66">
        <v>270333.09999999998</v>
      </c>
      <c r="P277" s="66">
        <v>193614.52000000002</v>
      </c>
    </row>
    <row r="278" spans="2:16" x14ac:dyDescent="0.2">
      <c r="B278" s="72" t="s">
        <v>36</v>
      </c>
      <c r="C278" s="73">
        <v>20250910</v>
      </c>
      <c r="D278" s="52">
        <v>203</v>
      </c>
      <c r="E278" s="63">
        <v>6360</v>
      </c>
      <c r="F278" s="63">
        <v>25020712</v>
      </c>
      <c r="G278" s="64">
        <v>6342</v>
      </c>
      <c r="H278" s="59">
        <v>710</v>
      </c>
      <c r="I278" s="65">
        <v>1629583.69</v>
      </c>
      <c r="J278" s="53">
        <v>5650</v>
      </c>
      <c r="K278" s="54">
        <v>23391128.309999999</v>
      </c>
      <c r="L278" s="63">
        <v>13341</v>
      </c>
      <c r="M278" s="97">
        <v>23442550.18</v>
      </c>
      <c r="N278" s="64">
        <v>11265</v>
      </c>
      <c r="O278" s="66">
        <v>270495.07999999996</v>
      </c>
      <c r="P278" s="66">
        <v>172324.7</v>
      </c>
    </row>
    <row r="279" spans="2:16" x14ac:dyDescent="0.2">
      <c r="B279" s="72" t="s">
        <v>36</v>
      </c>
      <c r="C279" s="73">
        <v>20250911</v>
      </c>
      <c r="D279" s="52">
        <v>202</v>
      </c>
      <c r="E279" s="63">
        <v>5682</v>
      </c>
      <c r="F279" s="63">
        <v>23236354</v>
      </c>
      <c r="G279" s="64">
        <v>5665</v>
      </c>
      <c r="H279" s="59">
        <v>543</v>
      </c>
      <c r="I279" s="65">
        <v>1395182.06</v>
      </c>
      <c r="J279" s="53">
        <v>5139</v>
      </c>
      <c r="K279" s="54">
        <v>21841171.940000001</v>
      </c>
      <c r="L279" s="63">
        <v>14418</v>
      </c>
      <c r="M279" s="97">
        <v>24233198.48</v>
      </c>
      <c r="N279" s="64">
        <v>11916</v>
      </c>
      <c r="O279" s="66">
        <v>270943.73</v>
      </c>
      <c r="P279" s="66">
        <v>179028.06</v>
      </c>
    </row>
    <row r="280" spans="2:16" x14ac:dyDescent="0.2">
      <c r="B280" s="72" t="s">
        <v>36</v>
      </c>
      <c r="C280" s="73">
        <v>20250912</v>
      </c>
      <c r="D280" s="52">
        <v>201</v>
      </c>
      <c r="E280" s="63">
        <v>9613</v>
      </c>
      <c r="F280" s="63">
        <v>37430704</v>
      </c>
      <c r="G280" s="64">
        <v>9572</v>
      </c>
      <c r="H280" s="59">
        <v>1001</v>
      </c>
      <c r="I280" s="65">
        <v>2524293.98</v>
      </c>
      <c r="J280" s="53">
        <v>8612</v>
      </c>
      <c r="K280" s="54">
        <v>34906410.020000003</v>
      </c>
      <c r="L280" s="63">
        <v>13051</v>
      </c>
      <c r="M280" s="97">
        <v>21847864.43</v>
      </c>
      <c r="N280" s="64">
        <v>10735</v>
      </c>
      <c r="O280" s="66">
        <v>270762.36</v>
      </c>
      <c r="P280" s="66">
        <v>159497.91</v>
      </c>
    </row>
    <row r="281" spans="2:16" x14ac:dyDescent="0.2">
      <c r="B281" s="72" t="s">
        <v>36</v>
      </c>
      <c r="C281" s="73">
        <v>20250913</v>
      </c>
      <c r="D281" s="52">
        <v>200</v>
      </c>
      <c r="E281" s="63">
        <v>8479</v>
      </c>
      <c r="F281" s="63">
        <v>30735885</v>
      </c>
      <c r="G281" s="64">
        <v>8430</v>
      </c>
      <c r="H281" s="59">
        <v>746</v>
      </c>
      <c r="I281" s="65">
        <v>1683138.06</v>
      </c>
      <c r="J281" s="53">
        <v>7733</v>
      </c>
      <c r="K281" s="54">
        <v>29052746.940000001</v>
      </c>
      <c r="L281" s="63">
        <v>12351</v>
      </c>
      <c r="M281" s="97">
        <v>20625143.559999999</v>
      </c>
      <c r="N281" s="64">
        <v>10235</v>
      </c>
      <c r="O281" s="66">
        <v>274186.77999999997</v>
      </c>
      <c r="P281" s="66">
        <v>138559.59</v>
      </c>
    </row>
    <row r="282" spans="2:16" x14ac:dyDescent="0.2">
      <c r="B282" s="72" t="s">
        <v>36</v>
      </c>
      <c r="C282" s="73">
        <v>20250914</v>
      </c>
      <c r="D282" s="52">
        <v>199</v>
      </c>
      <c r="E282" s="63">
        <v>7015</v>
      </c>
      <c r="F282" s="63">
        <v>23208241</v>
      </c>
      <c r="G282" s="64">
        <v>6974</v>
      </c>
      <c r="H282" s="59">
        <v>660</v>
      </c>
      <c r="I282" s="65">
        <v>1178747.67</v>
      </c>
      <c r="J282" s="53">
        <v>6355</v>
      </c>
      <c r="K282" s="54">
        <v>22029493.329999998</v>
      </c>
      <c r="L282" s="63">
        <v>10964</v>
      </c>
      <c r="M282" s="97">
        <v>16909055.43</v>
      </c>
      <c r="N282" s="64">
        <v>9088</v>
      </c>
      <c r="O282" s="66">
        <v>276389.63</v>
      </c>
      <c r="P282" s="66">
        <v>116571.18</v>
      </c>
    </row>
    <row r="283" spans="2:16" x14ac:dyDescent="0.2">
      <c r="B283" s="72" t="s">
        <v>36</v>
      </c>
      <c r="C283" s="73">
        <v>20250915</v>
      </c>
      <c r="D283" s="52">
        <v>198</v>
      </c>
      <c r="E283" s="63">
        <v>7497</v>
      </c>
      <c r="F283" s="63">
        <v>28592473</v>
      </c>
      <c r="G283" s="64">
        <v>7456</v>
      </c>
      <c r="H283" s="59">
        <v>654</v>
      </c>
      <c r="I283" s="65">
        <v>1378750.65</v>
      </c>
      <c r="J283" s="53">
        <v>6843</v>
      </c>
      <c r="K283" s="54">
        <v>27213722.350000001</v>
      </c>
      <c r="L283" s="63">
        <v>13431</v>
      </c>
      <c r="M283" s="97">
        <v>23255414.66</v>
      </c>
      <c r="N283" s="64">
        <v>11239</v>
      </c>
      <c r="O283" s="66">
        <v>278062.23</v>
      </c>
      <c r="P283" s="66">
        <v>163561.65999999997</v>
      </c>
    </row>
    <row r="284" spans="2:16" x14ac:dyDescent="0.2">
      <c r="B284" s="72" t="s">
        <v>36</v>
      </c>
      <c r="C284" s="73">
        <v>20250916</v>
      </c>
      <c r="D284" s="52">
        <v>197</v>
      </c>
      <c r="E284" s="63">
        <v>6838</v>
      </c>
      <c r="F284" s="63">
        <v>25461408</v>
      </c>
      <c r="G284" s="64">
        <v>6812</v>
      </c>
      <c r="H284" s="59">
        <v>644</v>
      </c>
      <c r="I284" s="65">
        <v>1448927.72</v>
      </c>
      <c r="J284" s="53">
        <v>6194</v>
      </c>
      <c r="K284" s="54">
        <v>24012480.280000001</v>
      </c>
      <c r="L284" s="63">
        <v>13149</v>
      </c>
      <c r="M284" s="97">
        <v>21049320.280000001</v>
      </c>
      <c r="N284" s="64">
        <v>10934</v>
      </c>
      <c r="O284" s="66">
        <v>279303.95</v>
      </c>
      <c r="P284" s="66">
        <v>153788.26</v>
      </c>
    </row>
    <row r="285" spans="2:16" x14ac:dyDescent="0.2">
      <c r="B285" s="72" t="s">
        <v>36</v>
      </c>
      <c r="C285" s="73">
        <v>20250917</v>
      </c>
      <c r="D285" s="52">
        <v>196</v>
      </c>
      <c r="E285" s="63">
        <v>6567</v>
      </c>
      <c r="F285" s="63">
        <v>24190869</v>
      </c>
      <c r="G285" s="64">
        <v>6531</v>
      </c>
      <c r="H285" s="59">
        <v>583</v>
      </c>
      <c r="I285" s="65">
        <v>1420442.03</v>
      </c>
      <c r="J285" s="53">
        <v>5984</v>
      </c>
      <c r="K285" s="54">
        <v>22770426.969999999</v>
      </c>
      <c r="L285" s="63">
        <v>13230</v>
      </c>
      <c r="M285" s="97">
        <v>20862417.190000001</v>
      </c>
      <c r="N285" s="64">
        <v>10893</v>
      </c>
      <c r="O285" s="66">
        <v>280326.58</v>
      </c>
      <c r="P285" s="66">
        <v>147842.32</v>
      </c>
    </row>
    <row r="286" spans="2:16" x14ac:dyDescent="0.2">
      <c r="B286" s="72" t="s">
        <v>36</v>
      </c>
      <c r="C286" s="73">
        <v>20250918</v>
      </c>
      <c r="D286" s="52">
        <v>195</v>
      </c>
      <c r="E286" s="63">
        <v>6557</v>
      </c>
      <c r="F286" s="63">
        <v>23501935</v>
      </c>
      <c r="G286" s="64">
        <v>6517</v>
      </c>
      <c r="H286" s="59">
        <v>623</v>
      </c>
      <c r="I286" s="65">
        <v>1245868.4099999999</v>
      </c>
      <c r="J286" s="53">
        <v>5934</v>
      </c>
      <c r="K286" s="54">
        <v>22256066.59</v>
      </c>
      <c r="L286" s="63">
        <v>13031</v>
      </c>
      <c r="M286" s="97">
        <v>20126559.949999999</v>
      </c>
      <c r="N286" s="64">
        <v>10619</v>
      </c>
      <c r="O286" s="66">
        <v>281098.52</v>
      </c>
      <c r="P286" s="66">
        <v>141009.09</v>
      </c>
    </row>
    <row r="287" spans="2:16" x14ac:dyDescent="0.2">
      <c r="B287" s="72" t="s">
        <v>36</v>
      </c>
      <c r="C287" s="73">
        <v>20250919</v>
      </c>
      <c r="D287" s="52">
        <v>194</v>
      </c>
      <c r="E287" s="63">
        <v>6188</v>
      </c>
      <c r="F287" s="63">
        <v>22335918</v>
      </c>
      <c r="G287" s="64">
        <v>6167</v>
      </c>
      <c r="H287" s="59">
        <v>561</v>
      </c>
      <c r="I287" s="65">
        <v>1102070.58</v>
      </c>
      <c r="J287" s="53">
        <v>5627</v>
      </c>
      <c r="K287" s="54">
        <v>21233847.420000002</v>
      </c>
      <c r="L287" s="63">
        <v>13047</v>
      </c>
      <c r="M287" s="97">
        <v>21841496.09</v>
      </c>
      <c r="N287" s="64">
        <v>10805</v>
      </c>
      <c r="O287" s="66">
        <v>281944.51</v>
      </c>
      <c r="P287" s="66">
        <v>150816.18</v>
      </c>
    </row>
    <row r="288" spans="2:16" x14ac:dyDescent="0.2">
      <c r="B288" s="72" t="s">
        <v>36</v>
      </c>
      <c r="C288" s="73">
        <v>20250920</v>
      </c>
      <c r="D288" s="52">
        <v>193</v>
      </c>
      <c r="E288" s="63">
        <v>6733</v>
      </c>
      <c r="F288" s="63">
        <v>26070887</v>
      </c>
      <c r="G288" s="64">
        <v>6693</v>
      </c>
      <c r="H288" s="59">
        <v>582</v>
      </c>
      <c r="I288" s="65">
        <v>1304835.6399999999</v>
      </c>
      <c r="J288" s="53">
        <v>6151</v>
      </c>
      <c r="K288" s="54">
        <v>24766051.359999999</v>
      </c>
      <c r="L288" s="63">
        <v>12930</v>
      </c>
      <c r="M288" s="97">
        <v>23512398.239999998</v>
      </c>
      <c r="N288" s="64">
        <v>10704</v>
      </c>
      <c r="O288" s="66">
        <v>282193.36</v>
      </c>
      <c r="P288" s="66">
        <v>154444.64000000001</v>
      </c>
    </row>
    <row r="289" spans="2:16" x14ac:dyDescent="0.2">
      <c r="B289" s="72" t="s">
        <v>36</v>
      </c>
      <c r="C289" s="73">
        <v>20250921</v>
      </c>
      <c r="D289" s="52">
        <v>192</v>
      </c>
      <c r="E289" s="63">
        <v>5832</v>
      </c>
      <c r="F289" s="63">
        <v>19748184</v>
      </c>
      <c r="G289" s="64">
        <v>5783</v>
      </c>
      <c r="H289" s="59">
        <v>498</v>
      </c>
      <c r="I289" s="65">
        <v>878317.19</v>
      </c>
      <c r="J289" s="53">
        <v>5334</v>
      </c>
      <c r="K289" s="54">
        <v>18869866.809999999</v>
      </c>
      <c r="L289" s="63">
        <v>11300</v>
      </c>
      <c r="M289" s="97">
        <v>17194674.539999999</v>
      </c>
      <c r="N289" s="64">
        <v>9257</v>
      </c>
      <c r="O289" s="66">
        <v>282815.51</v>
      </c>
      <c r="P289" s="66">
        <v>113497.57999999999</v>
      </c>
    </row>
    <row r="290" spans="2:16" x14ac:dyDescent="0.2">
      <c r="B290" s="72" t="s">
        <v>36</v>
      </c>
      <c r="C290" s="73">
        <v>20250922</v>
      </c>
      <c r="D290" s="52">
        <v>191</v>
      </c>
      <c r="E290" s="63">
        <v>6247</v>
      </c>
      <c r="F290" s="63">
        <v>24681622</v>
      </c>
      <c r="G290" s="64">
        <v>6213</v>
      </c>
      <c r="H290" s="59">
        <v>552</v>
      </c>
      <c r="I290" s="65">
        <v>1269401.44</v>
      </c>
      <c r="J290" s="53">
        <v>5695</v>
      </c>
      <c r="K290" s="54">
        <v>23412220.559999999</v>
      </c>
      <c r="L290" s="63">
        <v>13236</v>
      </c>
      <c r="M290" s="97">
        <v>24025746.420000002</v>
      </c>
      <c r="N290" s="64">
        <v>11057</v>
      </c>
      <c r="O290" s="66">
        <v>283542.55</v>
      </c>
      <c r="P290" s="66">
        <v>167365.31</v>
      </c>
    </row>
    <row r="291" spans="2:16" x14ac:dyDescent="0.2">
      <c r="B291" s="72" t="s">
        <v>36</v>
      </c>
      <c r="C291" s="73">
        <v>20250923</v>
      </c>
      <c r="D291" s="52">
        <v>190</v>
      </c>
      <c r="E291" s="63">
        <v>6179</v>
      </c>
      <c r="F291" s="63">
        <v>23922488</v>
      </c>
      <c r="G291" s="64">
        <v>6138</v>
      </c>
      <c r="H291" s="59">
        <v>524</v>
      </c>
      <c r="I291" s="65">
        <v>1197084</v>
      </c>
      <c r="J291" s="53">
        <v>5655</v>
      </c>
      <c r="K291" s="54">
        <v>22725404</v>
      </c>
      <c r="L291" s="63">
        <v>13563</v>
      </c>
      <c r="M291" s="97">
        <v>23400318.399999999</v>
      </c>
      <c r="N291" s="64">
        <v>11200</v>
      </c>
      <c r="O291" s="66">
        <v>283789.44999999995</v>
      </c>
      <c r="P291" s="66">
        <v>160658.73000000001</v>
      </c>
    </row>
    <row r="292" spans="2:16" x14ac:dyDescent="0.2">
      <c r="B292" s="72" t="s">
        <v>36</v>
      </c>
      <c r="C292" s="73">
        <v>20250924</v>
      </c>
      <c r="D292" s="52">
        <v>189</v>
      </c>
      <c r="E292" s="63">
        <v>6054</v>
      </c>
      <c r="F292" s="63">
        <v>23865462</v>
      </c>
      <c r="G292" s="64">
        <v>5998</v>
      </c>
      <c r="H292" s="59">
        <v>477</v>
      </c>
      <c r="I292" s="65">
        <v>981049.64</v>
      </c>
      <c r="J292" s="53">
        <v>5577</v>
      </c>
      <c r="K292" s="54">
        <v>22884412.359999999</v>
      </c>
      <c r="L292" s="63">
        <v>13790</v>
      </c>
      <c r="M292" s="97">
        <v>23984125.18</v>
      </c>
      <c r="N292" s="64">
        <v>11382</v>
      </c>
      <c r="O292" s="66">
        <v>284034.18999999994</v>
      </c>
      <c r="P292" s="66">
        <v>162173.96</v>
      </c>
    </row>
    <row r="293" spans="2:16" x14ac:dyDescent="0.2">
      <c r="B293" s="72" t="s">
        <v>36</v>
      </c>
      <c r="C293" s="73">
        <v>20250925</v>
      </c>
      <c r="D293" s="52">
        <v>188</v>
      </c>
      <c r="E293" s="63">
        <v>6215</v>
      </c>
      <c r="F293" s="63">
        <v>24635084</v>
      </c>
      <c r="G293" s="64">
        <v>6157</v>
      </c>
      <c r="H293" s="59">
        <v>567</v>
      </c>
      <c r="I293" s="65">
        <v>1288655.52</v>
      </c>
      <c r="J293" s="53">
        <v>5648</v>
      </c>
      <c r="K293" s="54">
        <v>23346428.48</v>
      </c>
      <c r="L293" s="63">
        <v>13290</v>
      </c>
      <c r="M293" s="97">
        <v>24854858.149999999</v>
      </c>
      <c r="N293" s="64">
        <v>11075</v>
      </c>
      <c r="O293" s="66">
        <v>284024.82</v>
      </c>
      <c r="P293" s="66">
        <v>164572.18</v>
      </c>
    </row>
    <row r="294" spans="2:16" x14ac:dyDescent="0.2">
      <c r="B294" s="72" t="s">
        <v>36</v>
      </c>
      <c r="C294" s="73">
        <v>20250926</v>
      </c>
      <c r="D294" s="52">
        <v>187</v>
      </c>
      <c r="E294" s="63">
        <v>6491</v>
      </c>
      <c r="F294" s="63">
        <v>26141437</v>
      </c>
      <c r="G294" s="64">
        <v>6456</v>
      </c>
      <c r="H294" s="59">
        <v>568</v>
      </c>
      <c r="I294" s="65">
        <v>1191261.99</v>
      </c>
      <c r="J294" s="53">
        <v>5923</v>
      </c>
      <c r="K294" s="54">
        <v>24950175.010000002</v>
      </c>
      <c r="L294" s="63">
        <v>14676</v>
      </c>
      <c r="M294" s="97">
        <v>29348855.140000001</v>
      </c>
      <c r="N294" s="64">
        <v>12318</v>
      </c>
      <c r="O294" s="66">
        <v>284168.15000000002</v>
      </c>
      <c r="P294" s="66">
        <v>196833.08</v>
      </c>
    </row>
    <row r="295" spans="2:16" x14ac:dyDescent="0.2">
      <c r="B295" s="72" t="s">
        <v>36</v>
      </c>
      <c r="C295" s="73">
        <v>20250927</v>
      </c>
      <c r="D295" s="52">
        <v>186</v>
      </c>
      <c r="E295" s="63">
        <v>6563</v>
      </c>
      <c r="F295" s="63">
        <v>27256522</v>
      </c>
      <c r="G295" s="64">
        <v>6514</v>
      </c>
      <c r="H295" s="59">
        <v>522</v>
      </c>
      <c r="I295" s="65">
        <v>1236602.8700000001</v>
      </c>
      <c r="J295" s="53">
        <v>6041</v>
      </c>
      <c r="K295" s="54">
        <v>26019919.129999999</v>
      </c>
      <c r="L295" s="63">
        <v>13747</v>
      </c>
      <c r="M295" s="97">
        <v>27186876.620000001</v>
      </c>
      <c r="N295" s="64">
        <v>11387</v>
      </c>
      <c r="O295" s="66">
        <v>283626.28000000003</v>
      </c>
      <c r="P295" s="66">
        <v>179792.5</v>
      </c>
    </row>
    <row r="296" spans="2:16" x14ac:dyDescent="0.2">
      <c r="B296" s="72" t="s">
        <v>36</v>
      </c>
      <c r="C296" s="73">
        <v>20250928</v>
      </c>
      <c r="D296" s="52">
        <v>185</v>
      </c>
      <c r="E296" s="63">
        <v>6091</v>
      </c>
      <c r="F296" s="63">
        <v>23167614</v>
      </c>
      <c r="G296" s="64">
        <v>6048</v>
      </c>
      <c r="H296" s="59">
        <v>515</v>
      </c>
      <c r="I296" s="65">
        <v>1117982.74</v>
      </c>
      <c r="J296" s="53">
        <v>5576</v>
      </c>
      <c r="K296" s="54">
        <v>22049631.260000002</v>
      </c>
      <c r="L296" s="63">
        <v>12216</v>
      </c>
      <c r="M296" s="97">
        <v>21238869.140000001</v>
      </c>
      <c r="N296" s="64">
        <v>10137</v>
      </c>
      <c r="O296" s="66">
        <v>283771.14</v>
      </c>
      <c r="P296" s="66">
        <v>140979.18</v>
      </c>
    </row>
    <row r="297" spans="2:16" x14ac:dyDescent="0.2">
      <c r="B297" s="72" t="s">
        <v>36</v>
      </c>
      <c r="C297" s="73">
        <v>20250929</v>
      </c>
      <c r="D297" s="52">
        <v>184</v>
      </c>
      <c r="E297" s="63">
        <v>6900</v>
      </c>
      <c r="F297" s="63">
        <v>29452664</v>
      </c>
      <c r="G297" s="64">
        <v>6859</v>
      </c>
      <c r="H297" s="59">
        <v>525</v>
      </c>
      <c r="I297" s="65">
        <v>1234505.22</v>
      </c>
      <c r="J297" s="53">
        <v>6375</v>
      </c>
      <c r="K297" s="54">
        <v>28218158.780000001</v>
      </c>
      <c r="L297" s="63">
        <v>15097</v>
      </c>
      <c r="M297" s="97">
        <v>29972519.27</v>
      </c>
      <c r="N297" s="64">
        <v>12696</v>
      </c>
      <c r="O297" s="66">
        <v>284454.76</v>
      </c>
      <c r="P297" s="66">
        <v>205307.2</v>
      </c>
    </row>
    <row r="298" spans="2:16" ht="11.1" customHeight="1" x14ac:dyDescent="0.2">
      <c r="B298" s="72" t="s">
        <v>36</v>
      </c>
      <c r="C298" s="73">
        <v>20250930</v>
      </c>
      <c r="D298" s="52">
        <v>183</v>
      </c>
      <c r="E298" s="63">
        <v>7417</v>
      </c>
      <c r="F298" s="63">
        <v>30293210</v>
      </c>
      <c r="G298" s="64">
        <v>7371</v>
      </c>
      <c r="H298" s="59">
        <v>560</v>
      </c>
      <c r="I298" s="65">
        <v>1302324.6100000001</v>
      </c>
      <c r="J298" s="53">
        <v>6857</v>
      </c>
      <c r="K298" s="54">
        <v>28990885.390000001</v>
      </c>
      <c r="L298" s="63">
        <v>16259</v>
      </c>
      <c r="M298" s="97">
        <v>33037297.440000001</v>
      </c>
      <c r="N298" s="64">
        <v>13802</v>
      </c>
      <c r="O298" s="64">
        <v>284558.37</v>
      </c>
      <c r="P298" s="66">
        <v>222509.87</v>
      </c>
    </row>
    <row r="299" spans="2:16" x14ac:dyDescent="0.2">
      <c r="B299" s="72" t="s">
        <v>37</v>
      </c>
      <c r="C299" s="73">
        <v>20251001</v>
      </c>
      <c r="D299" s="52">
        <v>182</v>
      </c>
      <c r="E299" s="63">
        <v>8051</v>
      </c>
      <c r="F299" s="63">
        <v>33682373</v>
      </c>
      <c r="G299" s="64">
        <v>7992</v>
      </c>
      <c r="H299" s="59">
        <v>642</v>
      </c>
      <c r="I299" s="65">
        <v>1621602.7</v>
      </c>
      <c r="J299" s="53">
        <v>7409</v>
      </c>
      <c r="K299" s="54">
        <v>32060770.300000001</v>
      </c>
      <c r="L299" s="63">
        <v>17474</v>
      </c>
      <c r="M299" s="97">
        <v>36776274.600000001</v>
      </c>
      <c r="N299" s="64">
        <v>14740</v>
      </c>
      <c r="O299" s="66">
        <v>284108.38</v>
      </c>
      <c r="P299" s="66">
        <v>252174.90999999997</v>
      </c>
    </row>
    <row r="300" spans="2:16" x14ac:dyDescent="0.2">
      <c r="B300" s="72" t="s">
        <v>37</v>
      </c>
      <c r="C300" s="73">
        <v>20251002</v>
      </c>
      <c r="D300" s="52">
        <v>181</v>
      </c>
      <c r="E300" s="63">
        <v>8473</v>
      </c>
      <c r="F300" s="63">
        <v>34010694</v>
      </c>
      <c r="G300" s="64">
        <v>8426</v>
      </c>
      <c r="H300" s="59">
        <v>726</v>
      </c>
      <c r="I300" s="65">
        <v>1748846.22</v>
      </c>
      <c r="J300" s="53">
        <v>7747</v>
      </c>
      <c r="K300" s="54">
        <v>32261847.780000001</v>
      </c>
      <c r="L300" s="63">
        <v>18399</v>
      </c>
      <c r="M300" s="97">
        <v>36244523.850000001</v>
      </c>
      <c r="N300" s="64">
        <v>15551</v>
      </c>
      <c r="O300" s="66">
        <v>283394.23</v>
      </c>
      <c r="P300" s="66">
        <v>272813.01</v>
      </c>
    </row>
    <row r="301" spans="2:16" x14ac:dyDescent="0.2">
      <c r="B301" s="72" t="s">
        <v>37</v>
      </c>
      <c r="C301" s="73">
        <v>20251003</v>
      </c>
      <c r="D301" s="52">
        <v>180</v>
      </c>
      <c r="E301" s="63">
        <v>8259</v>
      </c>
      <c r="F301" s="63">
        <v>32955465</v>
      </c>
      <c r="G301" s="64">
        <v>8201</v>
      </c>
      <c r="H301" s="59">
        <v>700</v>
      </c>
      <c r="I301" s="65">
        <v>1464597.53</v>
      </c>
      <c r="J301" s="53">
        <v>7559</v>
      </c>
      <c r="K301" s="54">
        <v>31490867.469999999</v>
      </c>
      <c r="L301" s="63">
        <v>16824</v>
      </c>
      <c r="M301" s="97">
        <v>33905770.43</v>
      </c>
      <c r="N301" s="64">
        <v>14262</v>
      </c>
      <c r="O301" s="66">
        <v>283032.93</v>
      </c>
      <c r="P301" s="66">
        <v>235599.51</v>
      </c>
    </row>
    <row r="302" spans="2:16" x14ac:dyDescent="0.2">
      <c r="B302" s="72" t="s">
        <v>37</v>
      </c>
      <c r="C302" s="73">
        <v>20251004</v>
      </c>
      <c r="D302" s="52">
        <v>179</v>
      </c>
      <c r="E302" s="63">
        <v>8095</v>
      </c>
      <c r="F302" s="63">
        <v>31818711</v>
      </c>
      <c r="G302" s="64">
        <v>8043</v>
      </c>
      <c r="H302" s="59">
        <v>640</v>
      </c>
      <c r="I302" s="65">
        <v>1321342.52</v>
      </c>
      <c r="J302" s="53">
        <v>7455</v>
      </c>
      <c r="K302" s="54">
        <v>30497368.48</v>
      </c>
      <c r="L302" s="63">
        <v>15718</v>
      </c>
      <c r="M302" s="97">
        <v>30174548.77</v>
      </c>
      <c r="N302" s="64">
        <v>13175</v>
      </c>
      <c r="O302" s="66">
        <v>282945.16000000003</v>
      </c>
      <c r="P302" s="66">
        <v>201340.90999999997</v>
      </c>
    </row>
    <row r="303" spans="2:16" x14ac:dyDescent="0.2">
      <c r="B303" s="72" t="s">
        <v>37</v>
      </c>
      <c r="C303" s="73">
        <v>20251005</v>
      </c>
      <c r="D303" s="52">
        <v>178</v>
      </c>
      <c r="E303" s="63">
        <v>7315</v>
      </c>
      <c r="F303" s="63">
        <v>26548535</v>
      </c>
      <c r="G303" s="64">
        <v>7258</v>
      </c>
      <c r="H303" s="59">
        <v>586</v>
      </c>
      <c r="I303" s="65">
        <v>1003709.57</v>
      </c>
      <c r="J303" s="53">
        <v>6729</v>
      </c>
      <c r="K303" s="54">
        <v>25544825.43</v>
      </c>
      <c r="L303" s="63">
        <v>13743</v>
      </c>
      <c r="M303" s="97">
        <v>24148337.559999999</v>
      </c>
      <c r="N303" s="64">
        <v>11431</v>
      </c>
      <c r="O303" s="66">
        <v>283434.56</v>
      </c>
      <c r="P303" s="66">
        <v>164766.73000000001</v>
      </c>
    </row>
    <row r="304" spans="2:16" x14ac:dyDescent="0.2">
      <c r="B304" s="72" t="s">
        <v>37</v>
      </c>
      <c r="C304" s="73">
        <v>20251006</v>
      </c>
      <c r="D304" s="52">
        <v>177</v>
      </c>
      <c r="E304" s="63">
        <v>8283</v>
      </c>
      <c r="F304" s="63">
        <v>32872062</v>
      </c>
      <c r="G304" s="64">
        <v>8225</v>
      </c>
      <c r="H304" s="59">
        <v>723</v>
      </c>
      <c r="I304" s="65">
        <v>1728438.89</v>
      </c>
      <c r="J304" s="53">
        <v>7560</v>
      </c>
      <c r="K304" s="54">
        <v>31143623.109999999</v>
      </c>
      <c r="L304" s="63">
        <v>16716</v>
      </c>
      <c r="M304" s="97">
        <v>30480125.25</v>
      </c>
      <c r="N304" s="64">
        <v>14015</v>
      </c>
      <c r="O304" s="66">
        <v>284170.7</v>
      </c>
      <c r="P304" s="66">
        <v>216852.68</v>
      </c>
    </row>
    <row r="305" spans="2:16" x14ac:dyDescent="0.2">
      <c r="B305" s="72" t="s">
        <v>37</v>
      </c>
      <c r="C305" s="73">
        <v>20251007</v>
      </c>
      <c r="D305" s="52">
        <v>176</v>
      </c>
      <c r="E305" s="63">
        <v>8314</v>
      </c>
      <c r="F305" s="63">
        <v>31329419</v>
      </c>
      <c r="G305" s="64">
        <v>8268</v>
      </c>
      <c r="H305" s="59">
        <v>854</v>
      </c>
      <c r="I305" s="65">
        <v>1828044.47</v>
      </c>
      <c r="J305" s="53">
        <v>7460</v>
      </c>
      <c r="K305" s="54">
        <v>29501374.530000001</v>
      </c>
      <c r="L305" s="63">
        <v>16597</v>
      </c>
      <c r="M305" s="97">
        <v>29866154.93</v>
      </c>
      <c r="N305" s="64">
        <v>13953</v>
      </c>
      <c r="O305" s="66">
        <v>284777.14</v>
      </c>
      <c r="P305" s="66">
        <v>211026.05</v>
      </c>
    </row>
    <row r="306" spans="2:16" x14ac:dyDescent="0.2">
      <c r="B306" s="72" t="s">
        <v>37</v>
      </c>
      <c r="C306" s="73">
        <v>20251008</v>
      </c>
      <c r="D306" s="52">
        <v>175</v>
      </c>
      <c r="E306" s="63">
        <v>7854</v>
      </c>
      <c r="F306" s="63">
        <v>28695827</v>
      </c>
      <c r="G306" s="64">
        <v>7814</v>
      </c>
      <c r="H306" s="59">
        <v>834</v>
      </c>
      <c r="I306" s="65">
        <v>1631247.09</v>
      </c>
      <c r="J306" s="53">
        <v>7020</v>
      </c>
      <c r="K306" s="54">
        <v>27064579.91</v>
      </c>
      <c r="L306" s="63">
        <v>16766</v>
      </c>
      <c r="M306" s="97">
        <v>28363830.579999998</v>
      </c>
      <c r="N306" s="64">
        <v>13870</v>
      </c>
      <c r="O306" s="66">
        <v>285210.8</v>
      </c>
      <c r="P306" s="66">
        <v>195333.29</v>
      </c>
    </row>
    <row r="307" spans="2:16" x14ac:dyDescent="0.2">
      <c r="B307" s="72" t="s">
        <v>37</v>
      </c>
      <c r="C307" s="73">
        <v>20251009</v>
      </c>
      <c r="D307" s="52">
        <v>174</v>
      </c>
      <c r="E307" s="63">
        <v>7562</v>
      </c>
      <c r="F307" s="63">
        <v>28753370</v>
      </c>
      <c r="G307" s="64">
        <v>7510</v>
      </c>
      <c r="H307" s="59">
        <v>752</v>
      </c>
      <c r="I307" s="65">
        <v>1587200.82</v>
      </c>
      <c r="J307" s="53">
        <v>6810</v>
      </c>
      <c r="K307" s="54">
        <v>27166169.18</v>
      </c>
      <c r="L307" s="63">
        <v>15367</v>
      </c>
      <c r="M307" s="97">
        <v>26943228.5</v>
      </c>
      <c r="N307" s="64">
        <v>12702</v>
      </c>
      <c r="O307" s="66">
        <v>285536.51</v>
      </c>
      <c r="P307" s="66">
        <v>192812.84000000003</v>
      </c>
    </row>
    <row r="308" spans="2:16" x14ac:dyDescent="0.2">
      <c r="B308" s="72" t="s">
        <v>37</v>
      </c>
      <c r="C308" s="73">
        <v>20251010</v>
      </c>
      <c r="D308" s="52">
        <v>173</v>
      </c>
      <c r="E308" s="63">
        <v>7542</v>
      </c>
      <c r="F308" s="63">
        <v>27485530</v>
      </c>
      <c r="G308" s="64">
        <v>7504</v>
      </c>
      <c r="H308" s="59">
        <v>727</v>
      </c>
      <c r="I308" s="65">
        <v>1395486.08</v>
      </c>
      <c r="J308" s="53">
        <v>6815</v>
      </c>
      <c r="K308" s="54">
        <v>26090043.920000002</v>
      </c>
      <c r="L308" s="63">
        <v>14814</v>
      </c>
      <c r="M308" s="97">
        <v>24844786.5</v>
      </c>
      <c r="N308" s="64">
        <v>12303</v>
      </c>
      <c r="O308" s="66">
        <v>286079.31000000006</v>
      </c>
      <c r="P308" s="66">
        <v>180178.76</v>
      </c>
    </row>
    <row r="309" spans="2:16" x14ac:dyDescent="0.2">
      <c r="B309" s="72" t="s">
        <v>37</v>
      </c>
      <c r="C309" s="73">
        <v>20251011</v>
      </c>
      <c r="D309" s="52">
        <v>172</v>
      </c>
      <c r="E309" s="63">
        <v>7353</v>
      </c>
      <c r="F309" s="63">
        <v>27127020</v>
      </c>
      <c r="G309" s="64">
        <v>7316</v>
      </c>
      <c r="H309" s="59">
        <v>668</v>
      </c>
      <c r="I309" s="65">
        <v>1465748.24</v>
      </c>
      <c r="J309" s="53">
        <v>6685</v>
      </c>
      <c r="K309" s="54">
        <v>25661271.760000002</v>
      </c>
      <c r="L309" s="63">
        <v>14200</v>
      </c>
      <c r="M309" s="97">
        <v>23814010.600000001</v>
      </c>
      <c r="N309" s="64">
        <v>11750</v>
      </c>
      <c r="O309" s="66">
        <v>286708.5</v>
      </c>
      <c r="P309" s="66">
        <v>172216.38999999998</v>
      </c>
    </row>
    <row r="310" spans="2:16" x14ac:dyDescent="0.2">
      <c r="B310" s="72" t="s">
        <v>37</v>
      </c>
      <c r="C310" s="73">
        <v>20251012</v>
      </c>
      <c r="D310" s="52">
        <v>171</v>
      </c>
      <c r="E310" s="63">
        <v>6290</v>
      </c>
      <c r="F310" s="63">
        <v>21294301</v>
      </c>
      <c r="G310" s="64">
        <v>6255</v>
      </c>
      <c r="H310" s="59">
        <v>589</v>
      </c>
      <c r="I310" s="65">
        <v>1125811.3899999999</v>
      </c>
      <c r="J310" s="53">
        <v>5701</v>
      </c>
      <c r="K310" s="54">
        <v>20168489.609999999</v>
      </c>
      <c r="L310" s="63">
        <v>11640</v>
      </c>
      <c r="M310" s="97">
        <v>18573520.620000001</v>
      </c>
      <c r="N310" s="64">
        <v>9832</v>
      </c>
      <c r="O310" s="66">
        <v>287465.68</v>
      </c>
      <c r="P310" s="66">
        <v>134298.79</v>
      </c>
    </row>
    <row r="311" spans="2:16" x14ac:dyDescent="0.2">
      <c r="B311" s="72" t="s">
        <v>37</v>
      </c>
      <c r="C311" s="73">
        <v>20251013</v>
      </c>
      <c r="D311" s="52">
        <v>170</v>
      </c>
      <c r="E311" s="63">
        <v>7889</v>
      </c>
      <c r="F311" s="63">
        <v>28793527</v>
      </c>
      <c r="G311" s="64">
        <v>7843</v>
      </c>
      <c r="H311" s="59">
        <v>851</v>
      </c>
      <c r="I311" s="65">
        <v>1486671.55</v>
      </c>
      <c r="J311" s="53">
        <v>7038</v>
      </c>
      <c r="K311" s="54">
        <v>27306855.449999999</v>
      </c>
      <c r="L311" s="63">
        <v>15336</v>
      </c>
      <c r="M311" s="97">
        <v>26623386.59</v>
      </c>
      <c r="N311" s="64">
        <v>12950</v>
      </c>
      <c r="O311" s="66">
        <v>288405.65000000002</v>
      </c>
      <c r="P311" s="66">
        <v>207817.41999999998</v>
      </c>
    </row>
    <row r="312" spans="2:16" x14ac:dyDescent="0.2">
      <c r="B312" s="72" t="s">
        <v>37</v>
      </c>
      <c r="C312" s="73">
        <v>20251014</v>
      </c>
      <c r="D312" s="52">
        <v>169</v>
      </c>
      <c r="E312" s="63">
        <v>7317</v>
      </c>
      <c r="F312" s="63">
        <v>26643392</v>
      </c>
      <c r="G312" s="64">
        <v>7269</v>
      </c>
      <c r="H312" s="59">
        <v>793</v>
      </c>
      <c r="I312" s="65">
        <v>1649073.43</v>
      </c>
      <c r="J312" s="53">
        <v>6524</v>
      </c>
      <c r="K312" s="54">
        <v>24994318.57</v>
      </c>
      <c r="L312" s="63">
        <v>14943</v>
      </c>
      <c r="M312" s="97">
        <v>24697950.210000001</v>
      </c>
      <c r="N312" s="64">
        <v>12491</v>
      </c>
      <c r="O312" s="66">
        <v>288924.82000000007</v>
      </c>
      <c r="P312" s="66">
        <v>181993.23</v>
      </c>
    </row>
    <row r="313" spans="2:16" x14ac:dyDescent="0.2">
      <c r="B313" s="72" t="s">
        <v>37</v>
      </c>
      <c r="C313" s="73">
        <v>20251015</v>
      </c>
      <c r="D313" s="52">
        <v>168</v>
      </c>
      <c r="E313" s="63">
        <v>6711</v>
      </c>
      <c r="F313" s="63">
        <v>25578309</v>
      </c>
      <c r="G313" s="64">
        <v>6675</v>
      </c>
      <c r="H313" s="59">
        <v>608</v>
      </c>
      <c r="I313" s="65">
        <v>1259138.7</v>
      </c>
      <c r="J313" s="53">
        <v>6103</v>
      </c>
      <c r="K313" s="54">
        <v>24319170.300000001</v>
      </c>
      <c r="L313" s="63">
        <v>13665</v>
      </c>
      <c r="M313" s="97">
        <v>23504247.629999999</v>
      </c>
      <c r="N313" s="64">
        <v>11464</v>
      </c>
      <c r="O313" s="66">
        <v>289393.91999999998</v>
      </c>
      <c r="P313" s="66">
        <v>169325.69</v>
      </c>
    </row>
    <row r="314" spans="2:16" x14ac:dyDescent="0.2">
      <c r="B314" s="72" t="s">
        <v>37</v>
      </c>
      <c r="C314" s="73">
        <v>20251016</v>
      </c>
      <c r="D314" s="52">
        <v>167</v>
      </c>
      <c r="E314" s="63">
        <v>6191</v>
      </c>
      <c r="F314" s="63">
        <v>22772824</v>
      </c>
      <c r="G314" s="64">
        <v>6152</v>
      </c>
      <c r="H314" s="59">
        <v>608</v>
      </c>
      <c r="I314" s="65">
        <v>1241370.8799999999</v>
      </c>
      <c r="J314" s="53">
        <v>5583</v>
      </c>
      <c r="K314" s="54">
        <v>21531453.120000001</v>
      </c>
      <c r="L314" s="63">
        <v>13289</v>
      </c>
      <c r="M314" s="97">
        <v>22370848.699999999</v>
      </c>
      <c r="N314" s="64">
        <v>11135</v>
      </c>
      <c r="O314" s="66">
        <v>289935.59999999998</v>
      </c>
      <c r="P314" s="66">
        <v>153142.6</v>
      </c>
    </row>
    <row r="315" spans="2:16" x14ac:dyDescent="0.2">
      <c r="B315" s="72" t="s">
        <v>37</v>
      </c>
      <c r="C315" s="73">
        <v>20251017</v>
      </c>
      <c r="D315" s="52">
        <v>166</v>
      </c>
      <c r="E315" s="63">
        <v>6012</v>
      </c>
      <c r="F315" s="63">
        <v>22067464</v>
      </c>
      <c r="G315" s="64">
        <v>5974</v>
      </c>
      <c r="H315" s="59">
        <v>561</v>
      </c>
      <c r="I315" s="65">
        <v>1119233.19</v>
      </c>
      <c r="J315" s="53">
        <v>5451</v>
      </c>
      <c r="K315" s="54">
        <v>20948230.809999999</v>
      </c>
      <c r="L315" s="63">
        <v>12329</v>
      </c>
      <c r="M315" s="97">
        <v>19142060.539999999</v>
      </c>
      <c r="N315" s="64">
        <v>10343</v>
      </c>
      <c r="O315" s="66">
        <v>290159.32</v>
      </c>
      <c r="P315" s="66">
        <v>134230.94</v>
      </c>
    </row>
    <row r="316" spans="2:16" x14ac:dyDescent="0.2">
      <c r="B316" s="72" t="s">
        <v>37</v>
      </c>
      <c r="C316" s="73">
        <v>20251018</v>
      </c>
      <c r="D316" s="52">
        <v>165</v>
      </c>
      <c r="E316" s="63">
        <v>5897</v>
      </c>
      <c r="F316" s="63">
        <v>21619886</v>
      </c>
      <c r="G316" s="64">
        <v>5871</v>
      </c>
      <c r="H316" s="59">
        <v>503</v>
      </c>
      <c r="I316" s="65">
        <v>1117615.8999999999</v>
      </c>
      <c r="J316" s="53">
        <v>5394</v>
      </c>
      <c r="K316" s="54">
        <v>20502270.100000001</v>
      </c>
      <c r="L316" s="63">
        <v>12161</v>
      </c>
      <c r="M316" s="97">
        <v>19048301.32</v>
      </c>
      <c r="N316" s="64">
        <v>10016</v>
      </c>
      <c r="O316" s="66">
        <v>290943.77</v>
      </c>
      <c r="P316" s="66">
        <v>130079.83</v>
      </c>
    </row>
    <row r="317" spans="2:16" x14ac:dyDescent="0.2">
      <c r="B317" s="72" t="s">
        <v>37</v>
      </c>
      <c r="C317" s="73">
        <v>20251019</v>
      </c>
      <c r="D317" s="52">
        <v>164</v>
      </c>
      <c r="E317" s="63">
        <v>4930</v>
      </c>
      <c r="F317" s="63">
        <v>16728123</v>
      </c>
      <c r="G317" s="64">
        <v>4901</v>
      </c>
      <c r="H317" s="59">
        <v>436</v>
      </c>
      <c r="I317" s="65">
        <v>795013.93</v>
      </c>
      <c r="J317" s="53">
        <v>4494</v>
      </c>
      <c r="K317" s="54">
        <v>15933109.07</v>
      </c>
      <c r="L317" s="63">
        <v>10190</v>
      </c>
      <c r="M317" s="97">
        <v>15033848.5</v>
      </c>
      <c r="N317" s="64">
        <v>8478</v>
      </c>
      <c r="O317" s="66">
        <v>291595.48</v>
      </c>
      <c r="P317" s="66">
        <v>103368.72</v>
      </c>
    </row>
    <row r="318" spans="2:16" x14ac:dyDescent="0.2">
      <c r="B318" s="72" t="s">
        <v>37</v>
      </c>
      <c r="C318" s="73">
        <v>20251020</v>
      </c>
      <c r="D318" s="52">
        <v>163</v>
      </c>
      <c r="E318" s="63">
        <v>6154</v>
      </c>
      <c r="F318" s="63">
        <v>22580189</v>
      </c>
      <c r="G318" s="64">
        <v>6124</v>
      </c>
      <c r="H318" s="59">
        <v>555</v>
      </c>
      <c r="I318" s="65">
        <v>1071286.3</v>
      </c>
      <c r="J318" s="53">
        <v>5599</v>
      </c>
      <c r="K318" s="54">
        <v>21508902.699999999</v>
      </c>
      <c r="L318" s="63">
        <v>12233</v>
      </c>
      <c r="M318" s="97">
        <v>18676574.219999999</v>
      </c>
      <c r="N318" s="64">
        <v>10198</v>
      </c>
      <c r="O318" s="66">
        <v>292089.76</v>
      </c>
      <c r="P318" s="66">
        <v>135068.14000000001</v>
      </c>
    </row>
    <row r="319" spans="2:16" x14ac:dyDescent="0.2">
      <c r="B319" s="72" t="s">
        <v>37</v>
      </c>
      <c r="C319" s="73">
        <v>20251021</v>
      </c>
      <c r="D319" s="52">
        <v>162</v>
      </c>
      <c r="E319" s="63">
        <v>6217</v>
      </c>
      <c r="F319" s="63">
        <v>22532100</v>
      </c>
      <c r="G319" s="64">
        <v>6176</v>
      </c>
      <c r="H319" s="59">
        <v>623</v>
      </c>
      <c r="I319" s="65">
        <v>1284394.82</v>
      </c>
      <c r="J319" s="53">
        <v>5594</v>
      </c>
      <c r="K319" s="54">
        <v>21247705.18</v>
      </c>
      <c r="L319" s="63">
        <v>13699</v>
      </c>
      <c r="M319" s="97">
        <v>22165839.609999999</v>
      </c>
      <c r="N319" s="64">
        <v>11608</v>
      </c>
      <c r="O319" s="66">
        <v>293162.56999999995</v>
      </c>
      <c r="P319" s="66">
        <v>158789.51999999999</v>
      </c>
    </row>
    <row r="320" spans="2:16" x14ac:dyDescent="0.2">
      <c r="B320" s="72" t="s">
        <v>37</v>
      </c>
      <c r="C320" s="73">
        <v>20251022</v>
      </c>
      <c r="D320" s="52">
        <v>161</v>
      </c>
      <c r="E320" s="63">
        <v>6230</v>
      </c>
      <c r="F320" s="63">
        <v>22837745</v>
      </c>
      <c r="G320" s="64">
        <v>6198</v>
      </c>
      <c r="H320" s="59">
        <v>639</v>
      </c>
      <c r="I320" s="65">
        <v>1228226.54</v>
      </c>
      <c r="J320" s="53">
        <v>5591</v>
      </c>
      <c r="K320" s="54">
        <v>21609518.460000001</v>
      </c>
      <c r="L320" s="63">
        <v>15088</v>
      </c>
      <c r="M320" s="97">
        <v>25728058.129999999</v>
      </c>
      <c r="N320" s="64">
        <v>12543</v>
      </c>
      <c r="O320" s="66">
        <v>293302.02999999997</v>
      </c>
      <c r="P320" s="66">
        <v>189403.17</v>
      </c>
    </row>
    <row r="321" spans="2:16" x14ac:dyDescent="0.2">
      <c r="B321" s="72" t="s">
        <v>37</v>
      </c>
      <c r="C321" s="73">
        <v>20251023</v>
      </c>
      <c r="D321" s="52">
        <v>160</v>
      </c>
      <c r="E321" s="63">
        <v>6476</v>
      </c>
      <c r="F321" s="63">
        <v>24423896</v>
      </c>
      <c r="G321" s="64">
        <v>6431</v>
      </c>
      <c r="H321" s="59">
        <v>688</v>
      </c>
      <c r="I321" s="65">
        <v>1258355.8500000001</v>
      </c>
      <c r="J321" s="53">
        <v>5788</v>
      </c>
      <c r="K321" s="54">
        <v>23165540.149999999</v>
      </c>
      <c r="L321" s="63">
        <v>15064</v>
      </c>
      <c r="M321" s="97">
        <v>27161130.460000001</v>
      </c>
      <c r="N321" s="64">
        <v>12695</v>
      </c>
      <c r="O321" s="66">
        <v>292763.82</v>
      </c>
      <c r="P321" s="66">
        <v>192597.96</v>
      </c>
    </row>
    <row r="322" spans="2:16" x14ac:dyDescent="0.2">
      <c r="B322" s="72" t="s">
        <v>37</v>
      </c>
      <c r="C322" s="73">
        <v>20251024</v>
      </c>
      <c r="D322" s="52">
        <v>159</v>
      </c>
      <c r="E322" s="63">
        <v>7945</v>
      </c>
      <c r="F322" s="63">
        <v>26455879</v>
      </c>
      <c r="G322" s="64">
        <v>7891</v>
      </c>
      <c r="H322" s="59">
        <v>1130</v>
      </c>
      <c r="I322" s="65">
        <v>1609483.89</v>
      </c>
      <c r="J322" s="53">
        <v>6815</v>
      </c>
      <c r="K322" s="54">
        <v>24846395.109999999</v>
      </c>
      <c r="L322" s="63">
        <v>15577</v>
      </c>
      <c r="M322" s="97">
        <v>28481215.559999999</v>
      </c>
      <c r="N322" s="64">
        <v>13182</v>
      </c>
      <c r="O322" s="66">
        <v>292213.33999999997</v>
      </c>
      <c r="P322" s="66">
        <v>213123.71999999997</v>
      </c>
    </row>
    <row r="323" spans="2:16" x14ac:dyDescent="0.2">
      <c r="B323" s="72" t="s">
        <v>37</v>
      </c>
      <c r="C323" s="73">
        <v>20251025</v>
      </c>
      <c r="D323" s="52">
        <v>158</v>
      </c>
      <c r="E323" s="63">
        <v>7144</v>
      </c>
      <c r="F323" s="63">
        <v>26362853</v>
      </c>
      <c r="G323" s="64">
        <v>7098</v>
      </c>
      <c r="H323" s="59">
        <v>769</v>
      </c>
      <c r="I323" s="65">
        <v>1334266.83</v>
      </c>
      <c r="J323" s="53">
        <v>6375</v>
      </c>
      <c r="K323" s="54">
        <v>25028586.170000002</v>
      </c>
      <c r="L323" s="63">
        <v>14371</v>
      </c>
      <c r="M323" s="97">
        <v>27371079.16</v>
      </c>
      <c r="N323" s="64">
        <v>11919</v>
      </c>
      <c r="O323" s="66">
        <v>291848.48</v>
      </c>
      <c r="P323" s="66">
        <v>192145.52</v>
      </c>
    </row>
    <row r="324" spans="2:16" x14ac:dyDescent="0.2">
      <c r="B324" s="72" t="s">
        <v>37</v>
      </c>
      <c r="C324" s="73">
        <v>20251026</v>
      </c>
      <c r="D324" s="52">
        <v>157</v>
      </c>
      <c r="E324" s="63">
        <v>6261</v>
      </c>
      <c r="F324" s="63">
        <v>22205183</v>
      </c>
      <c r="G324" s="64">
        <v>6211</v>
      </c>
      <c r="H324" s="59">
        <v>671</v>
      </c>
      <c r="I324" s="65">
        <v>1261213.29</v>
      </c>
      <c r="J324" s="53">
        <v>5590</v>
      </c>
      <c r="K324" s="54">
        <v>20943969.710000001</v>
      </c>
      <c r="L324" s="63">
        <v>12425</v>
      </c>
      <c r="M324" s="97">
        <v>21612803.960000001</v>
      </c>
      <c r="N324" s="64">
        <v>10403</v>
      </c>
      <c r="O324" s="66">
        <v>291647.19999999995</v>
      </c>
      <c r="P324" s="66">
        <v>150193.60999999999</v>
      </c>
    </row>
    <row r="325" spans="2:16" x14ac:dyDescent="0.2">
      <c r="B325" s="72" t="s">
        <v>37</v>
      </c>
      <c r="C325" s="73">
        <v>20251027</v>
      </c>
      <c r="D325" s="52">
        <v>156</v>
      </c>
      <c r="E325" s="63">
        <v>6749</v>
      </c>
      <c r="F325" s="63">
        <v>27501633</v>
      </c>
      <c r="G325" s="64">
        <v>6709</v>
      </c>
      <c r="H325" s="59">
        <v>654</v>
      </c>
      <c r="I325" s="65">
        <v>1515368.61</v>
      </c>
      <c r="J325" s="53">
        <v>6095</v>
      </c>
      <c r="K325" s="54">
        <v>25986264.390000001</v>
      </c>
      <c r="L325" s="63">
        <v>15007</v>
      </c>
      <c r="M325" s="97">
        <v>29726070.73</v>
      </c>
      <c r="N325" s="64">
        <v>12719</v>
      </c>
      <c r="O325" s="66">
        <v>291955.54000000004</v>
      </c>
      <c r="P325" s="66">
        <v>209703.13</v>
      </c>
    </row>
    <row r="326" spans="2:16" x14ac:dyDescent="0.2">
      <c r="B326" s="72" t="s">
        <v>37</v>
      </c>
      <c r="C326" s="73">
        <v>20251028</v>
      </c>
      <c r="D326" s="52">
        <v>155</v>
      </c>
      <c r="E326" s="63">
        <v>6409</v>
      </c>
      <c r="F326" s="63">
        <v>26384696</v>
      </c>
      <c r="G326" s="64">
        <v>6367</v>
      </c>
      <c r="H326" s="59">
        <v>632</v>
      </c>
      <c r="I326" s="65">
        <v>1427695.1</v>
      </c>
      <c r="J326" s="53">
        <v>5777</v>
      </c>
      <c r="K326" s="54">
        <v>24957000.899999999</v>
      </c>
      <c r="L326" s="63">
        <v>15214</v>
      </c>
      <c r="M326" s="97">
        <v>28699094.91</v>
      </c>
      <c r="N326" s="64">
        <v>12732</v>
      </c>
      <c r="O326" s="66">
        <v>291580.26</v>
      </c>
      <c r="P326" s="66">
        <v>207437.94999999998</v>
      </c>
    </row>
    <row r="327" spans="2:16" x14ac:dyDescent="0.2">
      <c r="B327" s="72" t="s">
        <v>37</v>
      </c>
      <c r="C327" s="73">
        <v>20251029</v>
      </c>
      <c r="D327" s="52">
        <v>154</v>
      </c>
      <c r="E327" s="63">
        <v>6742</v>
      </c>
      <c r="F327" s="63">
        <v>26233494</v>
      </c>
      <c r="G327" s="64">
        <v>6702</v>
      </c>
      <c r="H327" s="59">
        <v>640</v>
      </c>
      <c r="I327" s="65">
        <v>1308902.8700000001</v>
      </c>
      <c r="J327" s="53">
        <v>6102</v>
      </c>
      <c r="K327" s="54">
        <v>24924591.129999999</v>
      </c>
      <c r="L327" s="63">
        <v>14599</v>
      </c>
      <c r="M327" s="97">
        <v>27790609.949999999</v>
      </c>
      <c r="N327" s="64">
        <v>12378</v>
      </c>
      <c r="O327" s="66">
        <v>291069.34000000003</v>
      </c>
      <c r="P327" s="66">
        <v>188977.45</v>
      </c>
    </row>
    <row r="328" spans="2:16" x14ac:dyDescent="0.2">
      <c r="B328" s="72" t="s">
        <v>37</v>
      </c>
      <c r="C328" s="73">
        <v>20251030</v>
      </c>
      <c r="D328" s="52">
        <v>153</v>
      </c>
      <c r="E328" s="63">
        <v>6920</v>
      </c>
      <c r="F328" s="63">
        <v>28569070</v>
      </c>
      <c r="G328" s="64">
        <v>6886</v>
      </c>
      <c r="H328" s="59">
        <v>620</v>
      </c>
      <c r="I328" s="65">
        <v>1343403.82</v>
      </c>
      <c r="J328" s="53">
        <v>6300</v>
      </c>
      <c r="K328" s="54">
        <v>27225666.18</v>
      </c>
      <c r="L328" s="63">
        <v>15130</v>
      </c>
      <c r="M328" s="97">
        <v>30028141.949999999</v>
      </c>
      <c r="N328" s="64">
        <v>12943</v>
      </c>
      <c r="O328" s="66">
        <v>290857.67</v>
      </c>
      <c r="P328" s="66">
        <v>215184.84999999998</v>
      </c>
    </row>
    <row r="329" spans="2:16" x14ac:dyDescent="0.2">
      <c r="B329" s="72" t="s">
        <v>37</v>
      </c>
      <c r="C329" s="73">
        <v>20251031</v>
      </c>
      <c r="D329" s="52">
        <v>152</v>
      </c>
      <c r="E329" s="63">
        <v>7577</v>
      </c>
      <c r="F329" s="63">
        <v>31305835</v>
      </c>
      <c r="G329" s="64">
        <v>7530</v>
      </c>
      <c r="H329" s="59">
        <v>675</v>
      </c>
      <c r="I329" s="65">
        <v>1509817.15</v>
      </c>
      <c r="J329" s="53">
        <v>6902</v>
      </c>
      <c r="K329" s="54">
        <v>29796017.850000001</v>
      </c>
      <c r="L329" s="63">
        <v>15969</v>
      </c>
      <c r="M329" s="97">
        <v>33605744.939999998</v>
      </c>
      <c r="N329" s="64">
        <v>13683</v>
      </c>
      <c r="O329" s="66">
        <v>290682.34999999998</v>
      </c>
      <c r="P329" s="66">
        <v>230257.89</v>
      </c>
    </row>
    <row r="330" spans="2:16" x14ac:dyDescent="0.2">
      <c r="B330" s="72" t="s">
        <v>38</v>
      </c>
      <c r="C330" s="73">
        <v>20251101</v>
      </c>
      <c r="D330" s="52">
        <v>151</v>
      </c>
      <c r="E330" s="63">
        <v>7997</v>
      </c>
      <c r="F330" s="63">
        <v>32601510</v>
      </c>
      <c r="G330" s="64">
        <v>7946</v>
      </c>
      <c r="H330" s="59">
        <v>724</v>
      </c>
      <c r="I330" s="65">
        <v>1593409.79</v>
      </c>
      <c r="J330" s="53">
        <v>7273</v>
      </c>
      <c r="K330" s="54">
        <v>31008100.210000001</v>
      </c>
      <c r="L330" s="63">
        <v>16422</v>
      </c>
      <c r="M330" s="97">
        <v>33238914.420000002</v>
      </c>
      <c r="N330" s="64">
        <v>13759</v>
      </c>
      <c r="O330" s="66">
        <v>290266.3</v>
      </c>
      <c r="P330" s="66">
        <v>231903.02</v>
      </c>
    </row>
    <row r="331" spans="2:16" x14ac:dyDescent="0.2">
      <c r="B331" s="72" t="s">
        <v>38</v>
      </c>
      <c r="C331" s="73">
        <v>20251102</v>
      </c>
      <c r="D331" s="52">
        <v>150</v>
      </c>
      <c r="E331" s="63">
        <v>6941</v>
      </c>
      <c r="F331" s="63">
        <v>25979722</v>
      </c>
      <c r="G331" s="64">
        <v>6887</v>
      </c>
      <c r="H331" s="59">
        <v>614</v>
      </c>
      <c r="I331" s="65">
        <v>1268826.74</v>
      </c>
      <c r="J331" s="53">
        <v>6327</v>
      </c>
      <c r="K331" s="54">
        <v>24710895.260000002</v>
      </c>
      <c r="L331" s="63">
        <v>14188</v>
      </c>
      <c r="M331" s="97">
        <v>26263019.640000001</v>
      </c>
      <c r="N331" s="64">
        <v>11942</v>
      </c>
      <c r="O331" s="66">
        <v>290227.38</v>
      </c>
      <c r="P331" s="66">
        <v>177036.09</v>
      </c>
    </row>
    <row r="332" spans="2:16" x14ac:dyDescent="0.2">
      <c r="B332" s="72" t="s">
        <v>38</v>
      </c>
      <c r="C332" s="73">
        <v>20251103</v>
      </c>
      <c r="D332" s="52">
        <v>149</v>
      </c>
      <c r="E332" s="63">
        <v>7721</v>
      </c>
      <c r="F332" s="63">
        <v>32438158</v>
      </c>
      <c r="G332" s="64">
        <v>7678</v>
      </c>
      <c r="H332" s="59">
        <v>622</v>
      </c>
      <c r="I332" s="65">
        <v>1386279.35</v>
      </c>
      <c r="J332" s="53">
        <v>7099</v>
      </c>
      <c r="K332" s="54">
        <v>31051878.649999999</v>
      </c>
      <c r="L332" s="63">
        <v>16439</v>
      </c>
      <c r="M332" s="97">
        <v>32359943.879999999</v>
      </c>
      <c r="N332" s="64">
        <v>13947</v>
      </c>
      <c r="O332" s="66">
        <v>290377.39</v>
      </c>
      <c r="P332" s="66">
        <v>229209.97999999998</v>
      </c>
    </row>
    <row r="333" spans="2:16" x14ac:dyDescent="0.2">
      <c r="B333" s="72" t="s">
        <v>38</v>
      </c>
      <c r="C333" s="73">
        <v>20251104</v>
      </c>
      <c r="D333" s="52">
        <v>148</v>
      </c>
      <c r="E333" s="63">
        <v>7681</v>
      </c>
      <c r="F333" s="63">
        <v>31493484</v>
      </c>
      <c r="G333" s="64">
        <v>7638</v>
      </c>
      <c r="H333" s="59">
        <v>662</v>
      </c>
      <c r="I333" s="65">
        <v>1530155.59</v>
      </c>
      <c r="J333" s="53">
        <v>7019</v>
      </c>
      <c r="K333" s="54">
        <v>29963328.41</v>
      </c>
      <c r="L333" s="63">
        <v>16757</v>
      </c>
      <c r="M333" s="97">
        <v>32286023.649999999</v>
      </c>
      <c r="N333" s="64">
        <v>14173</v>
      </c>
      <c r="O333" s="66">
        <v>290471.41000000003</v>
      </c>
      <c r="P333" s="66">
        <v>227420.66</v>
      </c>
    </row>
    <row r="334" spans="2:16" x14ac:dyDescent="0.2">
      <c r="B334" s="72" t="s">
        <v>38</v>
      </c>
      <c r="C334" s="73">
        <v>20251105</v>
      </c>
      <c r="D334" s="52">
        <v>147</v>
      </c>
      <c r="E334" s="63">
        <v>7964</v>
      </c>
      <c r="F334" s="63">
        <v>31714609</v>
      </c>
      <c r="G334" s="64">
        <v>7918</v>
      </c>
      <c r="H334" s="59">
        <v>693</v>
      </c>
      <c r="I334" s="65">
        <v>1595960.46</v>
      </c>
      <c r="J334" s="53">
        <v>7271</v>
      </c>
      <c r="K334" s="54">
        <v>30118648.539999999</v>
      </c>
      <c r="L334" s="63">
        <v>16885</v>
      </c>
      <c r="M334" s="97">
        <v>32449957.760000002</v>
      </c>
      <c r="N334" s="64">
        <v>14289</v>
      </c>
      <c r="O334" s="66">
        <v>290278.93</v>
      </c>
      <c r="P334" s="66">
        <v>226480.33</v>
      </c>
    </row>
    <row r="335" spans="2:16" x14ac:dyDescent="0.2">
      <c r="B335" s="72" t="s">
        <v>38</v>
      </c>
      <c r="C335" s="73">
        <v>20251106</v>
      </c>
      <c r="D335" s="52">
        <v>146</v>
      </c>
      <c r="E335" s="63">
        <v>7718</v>
      </c>
      <c r="F335" s="63">
        <v>30748450</v>
      </c>
      <c r="G335" s="64">
        <v>7649</v>
      </c>
      <c r="H335" s="59">
        <v>690</v>
      </c>
      <c r="I335" s="65">
        <v>1421697.45</v>
      </c>
      <c r="J335" s="53">
        <v>7028</v>
      </c>
      <c r="K335" s="54">
        <v>29326752.550000001</v>
      </c>
      <c r="L335" s="63">
        <v>17172</v>
      </c>
      <c r="M335" s="97">
        <v>31326606.09</v>
      </c>
      <c r="N335" s="64">
        <v>14379</v>
      </c>
      <c r="O335" s="66">
        <v>290234.02999999997</v>
      </c>
      <c r="P335" s="66">
        <v>219816.06</v>
      </c>
    </row>
    <row r="336" spans="2:16" x14ac:dyDescent="0.2">
      <c r="B336" s="72" t="s">
        <v>38</v>
      </c>
      <c r="C336" s="73">
        <v>20251107</v>
      </c>
      <c r="D336" s="52">
        <v>145</v>
      </c>
      <c r="E336" s="63">
        <v>9015</v>
      </c>
      <c r="F336" s="63">
        <v>33113491</v>
      </c>
      <c r="G336" s="64">
        <v>8960</v>
      </c>
      <c r="H336" s="59">
        <v>1116</v>
      </c>
      <c r="I336" s="65">
        <v>2089275.03</v>
      </c>
      <c r="J336" s="53">
        <v>7899</v>
      </c>
      <c r="K336" s="54">
        <v>31024215.969999999</v>
      </c>
      <c r="L336" s="63">
        <v>17796</v>
      </c>
      <c r="M336" s="97">
        <v>32137355.460000001</v>
      </c>
      <c r="N336" s="64">
        <v>15082</v>
      </c>
      <c r="O336" s="66">
        <v>290207.94999999995</v>
      </c>
      <c r="P336" s="66">
        <v>244523.24</v>
      </c>
    </row>
    <row r="337" spans="2:16" x14ac:dyDescent="0.2">
      <c r="B337" s="72" t="s">
        <v>38</v>
      </c>
      <c r="C337" s="73">
        <v>20251108</v>
      </c>
      <c r="D337" s="52">
        <v>144</v>
      </c>
      <c r="E337" s="63">
        <v>8824</v>
      </c>
      <c r="F337" s="63">
        <v>31449400</v>
      </c>
      <c r="G337" s="64">
        <v>8760</v>
      </c>
      <c r="H337" s="59">
        <v>1123</v>
      </c>
      <c r="I337" s="65">
        <v>2176626.02</v>
      </c>
      <c r="J337" s="53">
        <v>7701</v>
      </c>
      <c r="K337" s="54">
        <v>29272773.98</v>
      </c>
      <c r="L337" s="63">
        <v>16082</v>
      </c>
      <c r="M337" s="97">
        <v>26853218.18</v>
      </c>
      <c r="N337" s="64">
        <v>13256</v>
      </c>
      <c r="O337" s="66">
        <v>290442.66000000003</v>
      </c>
      <c r="P337" s="66">
        <v>197575.23</v>
      </c>
    </row>
    <row r="338" spans="2:16" x14ac:dyDescent="0.2">
      <c r="B338" s="72" t="s">
        <v>38</v>
      </c>
      <c r="C338" s="73">
        <v>20251109</v>
      </c>
      <c r="D338" s="52">
        <v>143</v>
      </c>
      <c r="E338" s="63">
        <v>7619</v>
      </c>
      <c r="F338" s="63">
        <v>25987930</v>
      </c>
      <c r="G338" s="64">
        <v>7577</v>
      </c>
      <c r="H338" s="59">
        <v>905</v>
      </c>
      <c r="I338" s="65">
        <v>1657322.75</v>
      </c>
      <c r="J338" s="53">
        <v>6714</v>
      </c>
      <c r="K338" s="54">
        <v>24330607.25</v>
      </c>
      <c r="L338" s="63">
        <v>13430</v>
      </c>
      <c r="M338" s="97">
        <v>21561317.690000001</v>
      </c>
      <c r="N338" s="64">
        <v>11198</v>
      </c>
      <c r="O338" s="66">
        <v>291509.75</v>
      </c>
      <c r="P338" s="66">
        <v>155490.43</v>
      </c>
    </row>
    <row r="339" spans="2:16" x14ac:dyDescent="0.2">
      <c r="B339" s="72" t="s">
        <v>38</v>
      </c>
      <c r="C339" s="73">
        <v>20251110</v>
      </c>
      <c r="D339" s="52">
        <v>142</v>
      </c>
      <c r="E339" s="63">
        <v>8299</v>
      </c>
      <c r="F339" s="63">
        <v>31900245</v>
      </c>
      <c r="G339" s="64">
        <v>8258</v>
      </c>
      <c r="H339" s="59">
        <v>887</v>
      </c>
      <c r="I339" s="65">
        <v>1757168.58</v>
      </c>
      <c r="J339" s="53">
        <v>7412</v>
      </c>
      <c r="K339" s="54">
        <v>30143076.420000002</v>
      </c>
      <c r="L339" s="63">
        <v>15480</v>
      </c>
      <c r="M339" s="97">
        <v>26880313.59</v>
      </c>
      <c r="N339" s="64">
        <v>13021</v>
      </c>
      <c r="O339" s="66">
        <v>292586.81000000006</v>
      </c>
      <c r="P339" s="66">
        <v>195779.07</v>
      </c>
    </row>
    <row r="340" spans="2:16" x14ac:dyDescent="0.2">
      <c r="B340" s="72" t="s">
        <v>38</v>
      </c>
      <c r="C340" s="73">
        <v>20251111</v>
      </c>
      <c r="D340" s="52">
        <v>141</v>
      </c>
      <c r="E340" s="63">
        <v>7480</v>
      </c>
      <c r="F340" s="63">
        <v>27012805</v>
      </c>
      <c r="G340" s="64">
        <v>7434</v>
      </c>
      <c r="H340" s="59">
        <v>843</v>
      </c>
      <c r="I340" s="65">
        <v>1760250.35</v>
      </c>
      <c r="J340" s="53">
        <v>6637</v>
      </c>
      <c r="K340" s="54">
        <v>25252554.649999999</v>
      </c>
      <c r="L340" s="63">
        <v>15106</v>
      </c>
      <c r="M340" s="97">
        <v>24726891.93</v>
      </c>
      <c r="N340" s="64">
        <v>12608</v>
      </c>
      <c r="O340" s="66">
        <v>293728.57999999996</v>
      </c>
      <c r="P340" s="66">
        <v>183918.96</v>
      </c>
    </row>
    <row r="341" spans="2:16" x14ac:dyDescent="0.2">
      <c r="B341" s="72" t="s">
        <v>38</v>
      </c>
      <c r="C341" s="73">
        <v>20251112</v>
      </c>
      <c r="D341" s="52">
        <v>140</v>
      </c>
      <c r="E341" s="63">
        <v>7262</v>
      </c>
      <c r="F341" s="63">
        <v>25890650</v>
      </c>
      <c r="G341" s="64">
        <v>7193</v>
      </c>
      <c r="H341" s="59">
        <v>850</v>
      </c>
      <c r="I341" s="65">
        <v>1647848.62</v>
      </c>
      <c r="J341" s="53">
        <v>6412</v>
      </c>
      <c r="K341" s="54">
        <v>24242801.379999999</v>
      </c>
      <c r="L341" s="63">
        <v>15155</v>
      </c>
      <c r="M341" s="97">
        <v>24160313.210000001</v>
      </c>
      <c r="N341" s="64">
        <v>12577</v>
      </c>
      <c r="O341" s="66">
        <v>294229.71999999997</v>
      </c>
      <c r="P341" s="66">
        <v>178634.6</v>
      </c>
    </row>
    <row r="342" spans="2:16" x14ac:dyDescent="0.2">
      <c r="B342" s="72" t="s">
        <v>38</v>
      </c>
      <c r="C342" s="73">
        <v>20251113</v>
      </c>
      <c r="D342" s="52">
        <v>139</v>
      </c>
      <c r="E342" s="63">
        <v>6876</v>
      </c>
      <c r="F342" s="63">
        <v>24954490</v>
      </c>
      <c r="G342" s="64">
        <v>6826</v>
      </c>
      <c r="H342" s="59">
        <v>795</v>
      </c>
      <c r="I342" s="65">
        <v>1405459.92</v>
      </c>
      <c r="J342" s="53">
        <v>6081</v>
      </c>
      <c r="K342" s="54">
        <v>23549030.079999998</v>
      </c>
      <c r="L342" s="63">
        <v>14369</v>
      </c>
      <c r="M342" s="97">
        <v>23298843.16</v>
      </c>
      <c r="N342" s="64">
        <v>11998</v>
      </c>
      <c r="O342" s="66">
        <v>294734.96000000002</v>
      </c>
      <c r="P342" s="66">
        <v>162215.12</v>
      </c>
    </row>
    <row r="343" spans="2:16" x14ac:dyDescent="0.2">
      <c r="B343" s="72" t="s">
        <v>38</v>
      </c>
      <c r="C343" s="73">
        <v>20251114</v>
      </c>
      <c r="D343" s="52">
        <v>138</v>
      </c>
      <c r="E343" s="63">
        <v>7199</v>
      </c>
      <c r="F343" s="63">
        <v>25191225</v>
      </c>
      <c r="G343" s="64">
        <v>7144</v>
      </c>
      <c r="H343" s="59">
        <v>865</v>
      </c>
      <c r="I343" s="65">
        <v>1597126.69</v>
      </c>
      <c r="J343" s="53">
        <v>6334</v>
      </c>
      <c r="K343" s="54">
        <v>23594098.309999999</v>
      </c>
      <c r="L343" s="63">
        <v>13922</v>
      </c>
      <c r="M343" s="97">
        <v>22865549.039999999</v>
      </c>
      <c r="N343" s="64">
        <v>11621</v>
      </c>
      <c r="O343" s="66">
        <v>295226.06</v>
      </c>
      <c r="P343" s="66">
        <v>163623.85</v>
      </c>
    </row>
    <row r="344" spans="2:16" x14ac:dyDescent="0.2">
      <c r="B344" s="72" t="s">
        <v>38</v>
      </c>
      <c r="C344" s="73">
        <v>20251115</v>
      </c>
      <c r="D344" s="52">
        <v>137</v>
      </c>
      <c r="E344" s="63">
        <v>7053</v>
      </c>
      <c r="F344" s="63">
        <v>25499843</v>
      </c>
      <c r="G344" s="64">
        <v>6995</v>
      </c>
      <c r="H344" s="59">
        <v>800</v>
      </c>
      <c r="I344" s="65">
        <v>1568391.37</v>
      </c>
      <c r="J344" s="53">
        <v>6253</v>
      </c>
      <c r="K344" s="54">
        <v>23931451.629999999</v>
      </c>
      <c r="L344" s="63">
        <v>13762</v>
      </c>
      <c r="M344" s="97">
        <v>21754776.960000001</v>
      </c>
      <c r="N344" s="64">
        <v>11325</v>
      </c>
      <c r="O344" s="66">
        <v>295802.03999999998</v>
      </c>
      <c r="P344" s="66">
        <v>151159.13</v>
      </c>
    </row>
    <row r="345" spans="2:16" x14ac:dyDescent="0.2">
      <c r="B345" s="72" t="s">
        <v>38</v>
      </c>
      <c r="C345" s="73">
        <v>20251116</v>
      </c>
      <c r="D345" s="52">
        <v>136</v>
      </c>
      <c r="E345" s="63">
        <v>5984</v>
      </c>
      <c r="F345" s="63">
        <v>19200422</v>
      </c>
      <c r="G345" s="64">
        <v>5948</v>
      </c>
      <c r="H345" s="59">
        <v>696</v>
      </c>
      <c r="I345" s="65">
        <v>1261060.17</v>
      </c>
      <c r="J345" s="53">
        <v>5288</v>
      </c>
      <c r="K345" s="54">
        <v>17939361.829999998</v>
      </c>
      <c r="L345" s="63">
        <v>11691</v>
      </c>
      <c r="M345" s="97">
        <v>16323342.609999999</v>
      </c>
      <c r="N345" s="64">
        <v>9657</v>
      </c>
      <c r="O345" s="66">
        <v>296612.65000000002</v>
      </c>
      <c r="P345" s="66">
        <v>117197.28000000001</v>
      </c>
    </row>
    <row r="346" spans="2:16" x14ac:dyDescent="0.2">
      <c r="B346" s="72" t="s">
        <v>38</v>
      </c>
      <c r="C346" s="73">
        <v>20251117</v>
      </c>
      <c r="D346" s="52">
        <v>135</v>
      </c>
      <c r="E346" s="63">
        <v>6350</v>
      </c>
      <c r="F346" s="63">
        <v>24117065</v>
      </c>
      <c r="G346" s="64">
        <v>6318</v>
      </c>
      <c r="H346" s="59">
        <v>663</v>
      </c>
      <c r="I346" s="65">
        <v>1476709.01</v>
      </c>
      <c r="J346" s="53">
        <v>5687</v>
      </c>
      <c r="K346" s="54">
        <v>22640355.989999998</v>
      </c>
      <c r="L346" s="63">
        <v>13325</v>
      </c>
      <c r="M346" s="97">
        <v>21096522.41</v>
      </c>
      <c r="N346" s="64">
        <v>11131</v>
      </c>
      <c r="O346" s="66">
        <v>297367.66000000003</v>
      </c>
      <c r="P346" s="66">
        <v>152619.35999999999</v>
      </c>
    </row>
    <row r="347" spans="2:16" x14ac:dyDescent="0.2">
      <c r="B347" s="72" t="s">
        <v>38</v>
      </c>
      <c r="C347" s="73">
        <v>20251118</v>
      </c>
      <c r="D347" s="52">
        <v>134</v>
      </c>
      <c r="E347" s="63">
        <v>6220</v>
      </c>
      <c r="F347" s="63">
        <v>21839064</v>
      </c>
      <c r="G347" s="64">
        <v>6196</v>
      </c>
      <c r="H347" s="59">
        <v>650</v>
      </c>
      <c r="I347" s="65">
        <v>1158871.6000000001</v>
      </c>
      <c r="J347" s="53">
        <v>5570</v>
      </c>
      <c r="K347" s="54">
        <v>20680192.399999999</v>
      </c>
      <c r="L347" s="63">
        <v>13331</v>
      </c>
      <c r="M347" s="97">
        <v>19983674.370000001</v>
      </c>
      <c r="N347" s="64">
        <v>11165</v>
      </c>
      <c r="O347" s="66">
        <v>298028.58999999997</v>
      </c>
      <c r="P347" s="66">
        <v>150730.04</v>
      </c>
    </row>
    <row r="348" spans="2:16" x14ac:dyDescent="0.2">
      <c r="B348" s="72" t="s">
        <v>38</v>
      </c>
      <c r="C348" s="73">
        <v>20251119</v>
      </c>
      <c r="D348" s="52">
        <v>133</v>
      </c>
      <c r="E348" s="63">
        <v>6208</v>
      </c>
      <c r="F348" s="63">
        <v>23397263</v>
      </c>
      <c r="G348" s="64">
        <v>6174</v>
      </c>
      <c r="H348" s="59">
        <v>660</v>
      </c>
      <c r="I348" s="65">
        <v>1364026.06</v>
      </c>
      <c r="J348" s="53">
        <v>5548</v>
      </c>
      <c r="K348" s="54">
        <v>22033236.940000001</v>
      </c>
      <c r="L348" s="63">
        <v>14200</v>
      </c>
      <c r="M348" s="97">
        <v>22757483.949999999</v>
      </c>
      <c r="N348" s="64">
        <v>11630</v>
      </c>
      <c r="O348" s="66">
        <v>298408.67000000004</v>
      </c>
      <c r="P348" s="66">
        <v>160061.79999999999</v>
      </c>
    </row>
    <row r="349" spans="2:16" x14ac:dyDescent="0.2">
      <c r="B349" s="72" t="s">
        <v>38</v>
      </c>
      <c r="C349" s="73">
        <v>20251120</v>
      </c>
      <c r="D349" s="52">
        <v>132</v>
      </c>
      <c r="E349" s="63">
        <v>6478</v>
      </c>
      <c r="F349" s="63">
        <v>24607962</v>
      </c>
      <c r="G349" s="64">
        <v>6431</v>
      </c>
      <c r="H349" s="59">
        <v>659</v>
      </c>
      <c r="I349" s="65">
        <v>1425007.89</v>
      </c>
      <c r="J349" s="53">
        <v>5819</v>
      </c>
      <c r="K349" s="54">
        <v>23182954.109999999</v>
      </c>
      <c r="L349" s="63">
        <v>14502</v>
      </c>
      <c r="M349" s="97">
        <v>25027583.390000001</v>
      </c>
      <c r="N349" s="64">
        <v>12104</v>
      </c>
      <c r="O349" s="66">
        <v>298644</v>
      </c>
      <c r="P349" s="66">
        <v>171666.89</v>
      </c>
    </row>
    <row r="350" spans="2:16" x14ac:dyDescent="0.2">
      <c r="B350" s="72" t="s">
        <v>38</v>
      </c>
      <c r="C350" s="73">
        <v>20251121</v>
      </c>
      <c r="D350" s="52">
        <v>131</v>
      </c>
      <c r="E350" s="63">
        <v>6401</v>
      </c>
      <c r="F350" s="63">
        <v>24519977</v>
      </c>
      <c r="G350" s="64">
        <v>6364</v>
      </c>
      <c r="H350" s="59">
        <v>643</v>
      </c>
      <c r="I350" s="65">
        <v>1292768.8600000001</v>
      </c>
      <c r="J350" s="53">
        <v>5758</v>
      </c>
      <c r="K350" s="54">
        <v>23227208.140000001</v>
      </c>
      <c r="L350" s="63">
        <v>14324</v>
      </c>
      <c r="M350" s="97">
        <v>25674260.59</v>
      </c>
      <c r="N350" s="64">
        <v>11875</v>
      </c>
      <c r="O350" s="66">
        <v>298625.62</v>
      </c>
      <c r="P350" s="66">
        <v>178892.56</v>
      </c>
    </row>
    <row r="351" spans="2:16" x14ac:dyDescent="0.2">
      <c r="B351" s="72" t="s">
        <v>38</v>
      </c>
      <c r="C351" s="73">
        <v>20251122</v>
      </c>
      <c r="D351" s="52">
        <v>130</v>
      </c>
      <c r="E351" s="63">
        <v>6596</v>
      </c>
      <c r="F351" s="63">
        <v>25106126</v>
      </c>
      <c r="G351" s="64">
        <v>6532</v>
      </c>
      <c r="H351" s="59">
        <v>649</v>
      </c>
      <c r="I351" s="65">
        <v>1410552.15</v>
      </c>
      <c r="J351" s="53">
        <v>5947</v>
      </c>
      <c r="K351" s="54">
        <v>23695573.850000001</v>
      </c>
      <c r="L351" s="63">
        <v>14065</v>
      </c>
      <c r="M351" s="97">
        <v>24245711.620000001</v>
      </c>
      <c r="N351" s="64">
        <v>11581</v>
      </c>
      <c r="O351" s="66">
        <v>298440.46999999997</v>
      </c>
      <c r="P351" s="66">
        <v>167614.91</v>
      </c>
    </row>
    <row r="352" spans="2:16" x14ac:dyDescent="0.2">
      <c r="B352" s="72" t="s">
        <v>38</v>
      </c>
      <c r="C352" s="73">
        <v>20251123</v>
      </c>
      <c r="D352" s="52">
        <v>129</v>
      </c>
      <c r="E352" s="63">
        <v>5742</v>
      </c>
      <c r="F352" s="63">
        <v>19933411</v>
      </c>
      <c r="G352" s="64">
        <v>5683</v>
      </c>
      <c r="H352" s="59">
        <v>599</v>
      </c>
      <c r="I352" s="65">
        <v>1143184.25</v>
      </c>
      <c r="J352" s="53">
        <v>5143</v>
      </c>
      <c r="K352" s="54">
        <v>18790226.75</v>
      </c>
      <c r="L352" s="63">
        <v>11952</v>
      </c>
      <c r="M352" s="97">
        <v>18247565.719999999</v>
      </c>
      <c r="N352" s="64">
        <v>9888</v>
      </c>
      <c r="O352" s="66">
        <v>298699.5</v>
      </c>
      <c r="P352" s="66">
        <v>131200.03</v>
      </c>
    </row>
    <row r="353" spans="1:16" x14ac:dyDescent="0.2">
      <c r="B353" s="72" t="s">
        <v>38</v>
      </c>
      <c r="C353" s="73">
        <v>20251124</v>
      </c>
      <c r="D353" s="52">
        <v>128</v>
      </c>
      <c r="E353" s="63">
        <v>6366</v>
      </c>
      <c r="F353" s="63">
        <v>25807535</v>
      </c>
      <c r="G353" s="64">
        <v>6323</v>
      </c>
      <c r="H353" s="59">
        <v>601</v>
      </c>
      <c r="I353" s="65">
        <v>1335607.3700000001</v>
      </c>
      <c r="J353" s="53">
        <v>5765</v>
      </c>
      <c r="K353" s="54">
        <v>24471927.629999999</v>
      </c>
      <c r="L353" s="63">
        <v>14256</v>
      </c>
      <c r="M353" s="97">
        <v>25237110.68</v>
      </c>
      <c r="N353" s="64">
        <v>11884</v>
      </c>
      <c r="O353" s="66">
        <v>299290.73</v>
      </c>
      <c r="P353" s="66">
        <v>173365.61</v>
      </c>
    </row>
    <row r="354" spans="1:16" x14ac:dyDescent="0.2">
      <c r="B354" s="72" t="s">
        <v>38</v>
      </c>
      <c r="C354" s="73">
        <v>20251125</v>
      </c>
      <c r="D354" s="52">
        <v>127</v>
      </c>
      <c r="E354" s="63">
        <v>6089</v>
      </c>
      <c r="F354" s="63">
        <v>24897712</v>
      </c>
      <c r="G354" s="64">
        <v>6039</v>
      </c>
      <c r="H354" s="59">
        <v>607</v>
      </c>
      <c r="I354" s="65">
        <v>1249155.6299999999</v>
      </c>
      <c r="J354" s="53">
        <v>5482</v>
      </c>
      <c r="K354" s="54">
        <v>23648556.370000001</v>
      </c>
      <c r="L354" s="63">
        <v>14130</v>
      </c>
      <c r="M354" s="97">
        <v>26453556</v>
      </c>
      <c r="N354" s="64">
        <v>11844</v>
      </c>
      <c r="O354" s="66">
        <v>299521.82</v>
      </c>
      <c r="P354" s="66">
        <v>182918</v>
      </c>
    </row>
    <row r="355" spans="1:16" x14ac:dyDescent="0.2">
      <c r="B355" s="72" t="s">
        <v>38</v>
      </c>
      <c r="C355" s="73">
        <v>20251126</v>
      </c>
      <c r="D355" s="52">
        <v>126</v>
      </c>
      <c r="E355" s="63">
        <v>6069</v>
      </c>
      <c r="F355" s="63">
        <v>25152033</v>
      </c>
      <c r="G355" s="64">
        <v>6016</v>
      </c>
      <c r="H355" s="59">
        <v>556</v>
      </c>
      <c r="I355" s="65">
        <v>1292196.42</v>
      </c>
      <c r="J355" s="53">
        <v>5513</v>
      </c>
      <c r="K355" s="54">
        <v>23859836.579999998</v>
      </c>
      <c r="L355" s="63">
        <v>14667</v>
      </c>
      <c r="M355" s="97">
        <v>28657712.809999999</v>
      </c>
      <c r="N355" s="64">
        <v>12380</v>
      </c>
      <c r="O355" s="66">
        <v>299264.75</v>
      </c>
      <c r="P355" s="66">
        <v>205306.69</v>
      </c>
    </row>
    <row r="356" spans="1:16" x14ac:dyDescent="0.2">
      <c r="B356" s="72" t="s">
        <v>38</v>
      </c>
      <c r="C356" s="73">
        <v>20251127</v>
      </c>
      <c r="D356" s="52">
        <v>125</v>
      </c>
      <c r="E356" s="63">
        <v>6346</v>
      </c>
      <c r="F356" s="63">
        <v>26160172</v>
      </c>
      <c r="G356" s="64">
        <v>6292</v>
      </c>
      <c r="H356" s="59">
        <v>620</v>
      </c>
      <c r="I356" s="65">
        <v>1455264.66</v>
      </c>
      <c r="J356" s="53">
        <v>5726</v>
      </c>
      <c r="K356" s="54">
        <v>24704907.34</v>
      </c>
      <c r="L356" s="63">
        <v>15001</v>
      </c>
      <c r="M356" s="97">
        <v>29449226.609999999</v>
      </c>
      <c r="N356" s="64">
        <v>12602</v>
      </c>
      <c r="O356" s="66">
        <v>298622.65000000002</v>
      </c>
      <c r="P356" s="66">
        <v>205554.88999999998</v>
      </c>
    </row>
    <row r="357" spans="1:16" x14ac:dyDescent="0.2">
      <c r="B357" s="72" t="s">
        <v>38</v>
      </c>
      <c r="C357" s="73">
        <v>20251128</v>
      </c>
      <c r="D357" s="52">
        <v>124</v>
      </c>
      <c r="E357" s="63">
        <v>6853</v>
      </c>
      <c r="F357" s="63">
        <v>28438141</v>
      </c>
      <c r="G357" s="64">
        <v>6784</v>
      </c>
      <c r="H357" s="59">
        <v>625</v>
      </c>
      <c r="I357" s="65">
        <v>1410691.67</v>
      </c>
      <c r="J357" s="53">
        <v>6228</v>
      </c>
      <c r="K357" s="54">
        <v>27027449.329999998</v>
      </c>
      <c r="L357" s="63">
        <v>15635</v>
      </c>
      <c r="M357" s="97">
        <v>32461202.530000001</v>
      </c>
      <c r="N357" s="64">
        <v>13206</v>
      </c>
      <c r="O357" s="66">
        <v>298014.95</v>
      </c>
      <c r="P357" s="66">
        <v>227983.49999999997</v>
      </c>
    </row>
    <row r="358" spans="1:16" x14ac:dyDescent="0.2">
      <c r="B358" s="72" t="s">
        <v>38</v>
      </c>
      <c r="C358" s="73">
        <v>20251129</v>
      </c>
      <c r="D358" s="52">
        <v>123</v>
      </c>
      <c r="E358" s="63">
        <v>7174</v>
      </c>
      <c r="F358" s="63">
        <v>29838915</v>
      </c>
      <c r="G358" s="64">
        <v>7099</v>
      </c>
      <c r="H358" s="59">
        <v>711</v>
      </c>
      <c r="I358" s="65">
        <v>1810504.18</v>
      </c>
      <c r="J358" s="53">
        <v>6463</v>
      </c>
      <c r="K358" s="54">
        <v>28028410.82</v>
      </c>
      <c r="L358" s="63">
        <v>15631</v>
      </c>
      <c r="M358" s="97">
        <v>31052723.18</v>
      </c>
      <c r="N358" s="64">
        <v>13036</v>
      </c>
      <c r="O358" s="66">
        <v>297184.51</v>
      </c>
      <c r="P358" s="66">
        <v>212333.05000000002</v>
      </c>
    </row>
    <row r="359" spans="1:16" x14ac:dyDescent="0.2">
      <c r="B359" s="72" t="s">
        <v>38</v>
      </c>
      <c r="C359" s="73">
        <v>20251130</v>
      </c>
      <c r="D359" s="52">
        <v>122</v>
      </c>
      <c r="E359" s="63">
        <v>6552</v>
      </c>
      <c r="F359" s="63">
        <v>24967876</v>
      </c>
      <c r="G359" s="64">
        <v>6488</v>
      </c>
      <c r="H359" s="59">
        <v>609</v>
      </c>
      <c r="I359" s="65">
        <v>1222063.46</v>
      </c>
      <c r="J359" s="53">
        <v>5943</v>
      </c>
      <c r="K359" s="54">
        <v>23745812.539999999</v>
      </c>
      <c r="L359" s="63">
        <v>13460</v>
      </c>
      <c r="M359" s="97">
        <v>24612365.239999998</v>
      </c>
      <c r="N359" s="64">
        <v>11203</v>
      </c>
      <c r="O359" s="66">
        <v>297004.93</v>
      </c>
      <c r="P359" s="66">
        <v>170616.07</v>
      </c>
    </row>
    <row r="360" spans="1:16" x14ac:dyDescent="0.2">
      <c r="A360" s="52"/>
      <c r="B360" s="72">
        <v>202512</v>
      </c>
      <c r="C360" s="73">
        <v>20251201</v>
      </c>
      <c r="D360" s="52">
        <v>121</v>
      </c>
      <c r="E360" s="63">
        <v>7970</v>
      </c>
      <c r="F360" s="63">
        <v>34686167</v>
      </c>
      <c r="G360" s="64">
        <v>7879</v>
      </c>
      <c r="H360" s="59">
        <v>710</v>
      </c>
      <c r="I360" s="65">
        <v>2101500.71</v>
      </c>
      <c r="J360" s="53">
        <v>7260</v>
      </c>
      <c r="K360" s="54">
        <v>32584666.289999999</v>
      </c>
      <c r="L360" s="63">
        <v>17014</v>
      </c>
      <c r="M360" s="97">
        <v>34776190.170000002</v>
      </c>
      <c r="N360" s="64">
        <v>14406</v>
      </c>
      <c r="O360" s="66">
        <v>297262.78000000003</v>
      </c>
      <c r="P360" s="66">
        <v>246873.36</v>
      </c>
    </row>
    <row r="361" spans="1:16" x14ac:dyDescent="0.2">
      <c r="A361" s="52"/>
      <c r="B361" s="72">
        <v>202512</v>
      </c>
      <c r="C361" s="73">
        <v>20251202</v>
      </c>
      <c r="D361" s="52">
        <v>120</v>
      </c>
      <c r="E361" s="63">
        <v>7622</v>
      </c>
      <c r="F361" s="63">
        <v>32165648</v>
      </c>
      <c r="G361" s="64">
        <v>7551</v>
      </c>
      <c r="H361" s="59">
        <v>730</v>
      </c>
      <c r="I361" s="65">
        <v>1788266.72</v>
      </c>
      <c r="J361" s="53">
        <v>6892</v>
      </c>
      <c r="K361" s="54">
        <v>30377381.280000001</v>
      </c>
      <c r="L361" s="63">
        <v>17202</v>
      </c>
      <c r="M361" s="97">
        <v>34352299.310000002</v>
      </c>
      <c r="N361" s="64">
        <v>14501</v>
      </c>
      <c r="O361" s="66">
        <v>297296.24</v>
      </c>
      <c r="P361" s="66">
        <v>233177.62</v>
      </c>
    </row>
    <row r="362" spans="1:16" x14ac:dyDescent="0.2">
      <c r="A362" s="52"/>
      <c r="B362" s="72">
        <v>202512</v>
      </c>
      <c r="C362" s="73">
        <v>20251203</v>
      </c>
      <c r="D362" s="52">
        <v>119</v>
      </c>
      <c r="E362" s="63">
        <v>7658</v>
      </c>
      <c r="F362" s="63">
        <v>31177011</v>
      </c>
      <c r="G362" s="64">
        <v>7590</v>
      </c>
      <c r="H362" s="59">
        <v>760</v>
      </c>
      <c r="I362" s="65">
        <v>1744675.64</v>
      </c>
      <c r="J362" s="53">
        <v>6898</v>
      </c>
      <c r="K362" s="54">
        <v>29432335.359999999</v>
      </c>
      <c r="L362" s="63">
        <v>16853</v>
      </c>
      <c r="M362" s="97">
        <v>32566923.039999999</v>
      </c>
      <c r="N362" s="64">
        <v>14181</v>
      </c>
      <c r="O362" s="66">
        <v>296836.93000000005</v>
      </c>
      <c r="P362" s="66">
        <v>227443.86</v>
      </c>
    </row>
    <row r="363" spans="1:16" x14ac:dyDescent="0.2">
      <c r="A363" s="52"/>
      <c r="B363" s="72">
        <v>202512</v>
      </c>
      <c r="C363" s="73">
        <v>20251204</v>
      </c>
      <c r="D363" s="52">
        <v>118</v>
      </c>
      <c r="E363" s="63">
        <v>7579</v>
      </c>
      <c r="F363" s="63">
        <v>31016173</v>
      </c>
      <c r="G363" s="64">
        <v>7513</v>
      </c>
      <c r="H363" s="59">
        <v>751</v>
      </c>
      <c r="I363" s="65">
        <v>1918935.21</v>
      </c>
      <c r="J363" s="53">
        <v>6828</v>
      </c>
      <c r="K363" s="54">
        <v>29097237.789999999</v>
      </c>
      <c r="L363" s="63">
        <v>16736</v>
      </c>
      <c r="M363" s="97">
        <v>31616234.210000001</v>
      </c>
      <c r="N363" s="64">
        <v>14011</v>
      </c>
      <c r="O363" s="66">
        <v>296674.87</v>
      </c>
      <c r="P363" s="66">
        <v>215725.53999999998</v>
      </c>
    </row>
    <row r="364" spans="1:16" x14ac:dyDescent="0.2">
      <c r="A364" s="52"/>
      <c r="B364" s="72">
        <v>202512</v>
      </c>
      <c r="C364" s="73">
        <v>20251205</v>
      </c>
      <c r="D364" s="52">
        <v>117</v>
      </c>
      <c r="E364" s="63">
        <v>7915</v>
      </c>
      <c r="F364" s="63">
        <v>32058112</v>
      </c>
      <c r="G364" s="64">
        <v>7824</v>
      </c>
      <c r="H364" s="59">
        <v>804</v>
      </c>
      <c r="I364" s="65">
        <v>1873633.72</v>
      </c>
      <c r="J364" s="53">
        <v>7111</v>
      </c>
      <c r="K364" s="54">
        <v>30184478.280000001</v>
      </c>
      <c r="L364" s="63">
        <v>16761</v>
      </c>
      <c r="M364" s="97">
        <v>32956747.050000001</v>
      </c>
      <c r="N364" s="64">
        <v>13995</v>
      </c>
      <c r="O364" s="66">
        <v>296619.24</v>
      </c>
      <c r="P364" s="66">
        <v>230069.61</v>
      </c>
    </row>
    <row r="365" spans="1:16" x14ac:dyDescent="0.2">
      <c r="A365" s="52"/>
      <c r="B365" s="72">
        <v>202512</v>
      </c>
      <c r="C365" s="73">
        <v>20251206</v>
      </c>
      <c r="D365" s="52">
        <v>116</v>
      </c>
      <c r="E365" s="63">
        <v>7795</v>
      </c>
      <c r="F365" s="63">
        <v>30812640</v>
      </c>
      <c r="G365" s="64">
        <v>7736</v>
      </c>
      <c r="H365" s="59">
        <v>749</v>
      </c>
      <c r="I365" s="65">
        <v>1927043.35</v>
      </c>
      <c r="J365" s="53">
        <v>7046</v>
      </c>
      <c r="K365" s="54">
        <v>28885596.649999999</v>
      </c>
      <c r="L365" s="63">
        <v>15643</v>
      </c>
      <c r="M365" s="97">
        <v>28993298.760000002</v>
      </c>
      <c r="N365" s="64">
        <v>12942</v>
      </c>
      <c r="O365" s="66">
        <v>296467.41000000003</v>
      </c>
      <c r="P365" s="66">
        <v>206407.39999999997</v>
      </c>
    </row>
    <row r="366" spans="1:16" x14ac:dyDescent="0.2">
      <c r="A366" s="52"/>
      <c r="B366" s="72">
        <v>202512</v>
      </c>
      <c r="C366" s="73">
        <v>20251207</v>
      </c>
      <c r="D366" s="52">
        <v>115</v>
      </c>
      <c r="E366" s="63">
        <v>6800</v>
      </c>
      <c r="F366" s="63">
        <v>25122386</v>
      </c>
      <c r="G366" s="64">
        <v>6745</v>
      </c>
      <c r="H366" s="59">
        <v>666</v>
      </c>
      <c r="I366" s="65">
        <v>1430153.15</v>
      </c>
      <c r="J366" s="53">
        <v>6134</v>
      </c>
      <c r="K366" s="54">
        <v>23692232.850000001</v>
      </c>
      <c r="L366" s="63">
        <v>13453</v>
      </c>
      <c r="M366" s="97">
        <v>22580084.420000002</v>
      </c>
      <c r="N366" s="64">
        <v>11161</v>
      </c>
      <c r="O366" s="66">
        <v>296958.42</v>
      </c>
      <c r="P366" s="66">
        <v>162694.89000000001</v>
      </c>
    </row>
    <row r="367" spans="1:16" x14ac:dyDescent="0.2">
      <c r="A367" s="52"/>
      <c r="B367" s="72">
        <v>202512</v>
      </c>
      <c r="C367" s="73">
        <v>20251208</v>
      </c>
      <c r="D367" s="52">
        <v>114</v>
      </c>
      <c r="E367" s="63">
        <v>7527</v>
      </c>
      <c r="F367" s="63">
        <v>29913878</v>
      </c>
      <c r="G367" s="64">
        <v>7447</v>
      </c>
      <c r="H367" s="59">
        <v>667</v>
      </c>
      <c r="I367" s="65">
        <v>1649743.69</v>
      </c>
      <c r="J367" s="53">
        <v>6860</v>
      </c>
      <c r="K367" s="54">
        <v>28264134.309999999</v>
      </c>
      <c r="L367" s="63">
        <v>15443</v>
      </c>
      <c r="M367" s="97">
        <v>28226790.309999999</v>
      </c>
      <c r="N367" s="64">
        <v>12838</v>
      </c>
      <c r="O367" s="66">
        <v>297725.32999999996</v>
      </c>
      <c r="P367" s="66">
        <v>197732.90999999997</v>
      </c>
    </row>
    <row r="368" spans="1:16" x14ac:dyDescent="0.2">
      <c r="A368" s="52"/>
      <c r="B368" s="72">
        <v>202512</v>
      </c>
      <c r="C368" s="73">
        <v>20251209</v>
      </c>
      <c r="D368" s="52">
        <v>113</v>
      </c>
      <c r="E368" s="63">
        <v>7145</v>
      </c>
      <c r="F368" s="63">
        <v>27720443</v>
      </c>
      <c r="G368" s="64">
        <v>7087</v>
      </c>
      <c r="H368" s="59">
        <v>696</v>
      </c>
      <c r="I368" s="65">
        <v>1584557.9</v>
      </c>
      <c r="J368" s="53">
        <v>6449</v>
      </c>
      <c r="K368" s="54">
        <v>26135885.100000001</v>
      </c>
      <c r="L368" s="63">
        <v>15090</v>
      </c>
      <c r="M368" s="97">
        <v>25312581.300000001</v>
      </c>
      <c r="N368" s="64">
        <v>12441</v>
      </c>
      <c r="O368" s="66">
        <v>298212.52</v>
      </c>
      <c r="P368" s="66">
        <v>184041.3</v>
      </c>
    </row>
    <row r="369" spans="1:16" x14ac:dyDescent="0.2">
      <c r="A369" s="52"/>
      <c r="B369" s="72">
        <v>202512</v>
      </c>
      <c r="C369" s="73">
        <v>20251210</v>
      </c>
      <c r="D369" s="52">
        <v>112</v>
      </c>
      <c r="E369" s="63">
        <v>7029</v>
      </c>
      <c r="F369" s="63">
        <v>27438450</v>
      </c>
      <c r="G369" s="64">
        <v>6975</v>
      </c>
      <c r="H369" s="59">
        <v>695</v>
      </c>
      <c r="I369" s="65">
        <v>1724469.77</v>
      </c>
      <c r="J369" s="53">
        <v>6334</v>
      </c>
      <c r="K369" s="54">
        <v>25713980.23</v>
      </c>
      <c r="L369" s="63">
        <v>14866</v>
      </c>
      <c r="M369" s="97">
        <v>26566449.02</v>
      </c>
      <c r="N369" s="64">
        <v>12377</v>
      </c>
      <c r="O369" s="66">
        <v>298804.65000000002</v>
      </c>
      <c r="P369" s="66">
        <v>190047.95</v>
      </c>
    </row>
    <row r="370" spans="1:16" x14ac:dyDescent="0.2">
      <c r="A370" s="52"/>
      <c r="B370" s="72">
        <v>202512</v>
      </c>
      <c r="C370" s="73">
        <v>20251211</v>
      </c>
      <c r="D370" s="52">
        <v>111</v>
      </c>
      <c r="E370" s="63">
        <v>7097</v>
      </c>
      <c r="F370" s="63">
        <v>27556620</v>
      </c>
      <c r="G370" s="64">
        <v>7046</v>
      </c>
      <c r="H370" s="59">
        <v>726</v>
      </c>
      <c r="I370" s="65">
        <v>1671115.75</v>
      </c>
      <c r="J370" s="53">
        <v>6371</v>
      </c>
      <c r="K370" s="54">
        <v>25885504.25</v>
      </c>
      <c r="L370" s="63">
        <v>15030</v>
      </c>
      <c r="M370" s="97">
        <v>25930651.829999998</v>
      </c>
      <c r="N370" s="64">
        <v>12483</v>
      </c>
      <c r="O370" s="66">
        <v>299157.46999999997</v>
      </c>
      <c r="P370" s="66">
        <v>186671.07</v>
      </c>
    </row>
    <row r="371" spans="1:16" x14ac:dyDescent="0.2">
      <c r="A371" s="52"/>
      <c r="B371" s="72">
        <v>202512</v>
      </c>
      <c r="C371" s="73">
        <v>20251212</v>
      </c>
      <c r="D371" s="52">
        <v>110</v>
      </c>
      <c r="E371" s="63">
        <v>6408</v>
      </c>
      <c r="F371" s="63">
        <v>23510389</v>
      </c>
      <c r="G371" s="64">
        <v>6345</v>
      </c>
      <c r="H371" s="59">
        <v>672</v>
      </c>
      <c r="I371" s="65">
        <v>1533733.59</v>
      </c>
      <c r="J371" s="53">
        <v>5736</v>
      </c>
      <c r="K371" s="54">
        <v>21976655.41</v>
      </c>
      <c r="L371" s="63">
        <v>13351</v>
      </c>
      <c r="M371" s="97">
        <v>21429946.18</v>
      </c>
      <c r="N371" s="64">
        <v>11051</v>
      </c>
      <c r="O371" s="66">
        <v>299538.3</v>
      </c>
      <c r="P371" s="66">
        <v>154618.89000000001</v>
      </c>
    </row>
    <row r="372" spans="1:16" x14ac:dyDescent="0.2">
      <c r="A372" s="52"/>
      <c r="B372" s="72">
        <v>202512</v>
      </c>
      <c r="C372" s="73">
        <v>20251213</v>
      </c>
      <c r="D372" s="52">
        <v>109</v>
      </c>
      <c r="E372" s="63">
        <v>6285</v>
      </c>
      <c r="F372" s="63">
        <v>23989762</v>
      </c>
      <c r="G372" s="64">
        <v>6240</v>
      </c>
      <c r="H372" s="59">
        <v>643</v>
      </c>
      <c r="I372" s="65">
        <v>1565778.93</v>
      </c>
      <c r="J372" s="53">
        <v>5642</v>
      </c>
      <c r="K372" s="54">
        <v>22423983.07</v>
      </c>
      <c r="L372" s="63">
        <v>12568</v>
      </c>
      <c r="M372" s="97">
        <v>20471719.93</v>
      </c>
      <c r="N372" s="64">
        <v>10391</v>
      </c>
      <c r="O372" s="66">
        <v>299945.54000000004</v>
      </c>
      <c r="P372" s="66">
        <v>141075.53</v>
      </c>
    </row>
    <row r="373" spans="1:16" x14ac:dyDescent="0.2">
      <c r="A373" s="52"/>
      <c r="B373" s="72">
        <v>202512</v>
      </c>
      <c r="C373" s="73">
        <v>20251214</v>
      </c>
      <c r="D373" s="52">
        <v>108</v>
      </c>
      <c r="E373" s="63">
        <v>5806</v>
      </c>
      <c r="F373" s="63">
        <v>20449139</v>
      </c>
      <c r="G373" s="64">
        <v>5749</v>
      </c>
      <c r="H373" s="59">
        <v>652</v>
      </c>
      <c r="I373" s="65">
        <v>1276979.93</v>
      </c>
      <c r="J373" s="53">
        <v>5154</v>
      </c>
      <c r="K373" s="54">
        <v>19172159.07</v>
      </c>
      <c r="L373" s="63">
        <v>11420</v>
      </c>
      <c r="M373" s="97">
        <v>17994335.309999999</v>
      </c>
      <c r="N373" s="64">
        <v>9485</v>
      </c>
      <c r="O373" s="66">
        <v>300666.55</v>
      </c>
      <c r="P373" s="66">
        <v>134330.55000000002</v>
      </c>
    </row>
    <row r="374" spans="1:16" x14ac:dyDescent="0.2">
      <c r="A374" s="52"/>
      <c r="B374" s="72">
        <v>202512</v>
      </c>
      <c r="C374" s="73">
        <v>20251215</v>
      </c>
      <c r="D374" s="52">
        <v>107</v>
      </c>
      <c r="E374" s="63">
        <v>6529</v>
      </c>
      <c r="F374" s="63">
        <v>26116953</v>
      </c>
      <c r="G374" s="64">
        <v>6476</v>
      </c>
      <c r="H374" s="59">
        <v>644</v>
      </c>
      <c r="I374" s="65">
        <v>1518353.15</v>
      </c>
      <c r="J374" s="53">
        <v>5885</v>
      </c>
      <c r="K374" s="54">
        <v>24598599.850000001</v>
      </c>
      <c r="L374" s="63">
        <v>13528</v>
      </c>
      <c r="M374" s="97">
        <v>23629264.91</v>
      </c>
      <c r="N374" s="64">
        <v>11314</v>
      </c>
      <c r="O374" s="66">
        <v>301236.98</v>
      </c>
      <c r="P374" s="66">
        <v>166018.52000000002</v>
      </c>
    </row>
    <row r="375" spans="1:16" x14ac:dyDescent="0.2">
      <c r="A375" s="52"/>
      <c r="B375" s="72">
        <v>202512</v>
      </c>
      <c r="C375" s="73">
        <v>20251216</v>
      </c>
      <c r="D375" s="52">
        <v>106</v>
      </c>
      <c r="E375" s="63">
        <v>6038</v>
      </c>
      <c r="F375" s="63">
        <v>23967930</v>
      </c>
      <c r="G375" s="64">
        <v>5989</v>
      </c>
      <c r="H375" s="59">
        <v>650</v>
      </c>
      <c r="I375" s="65">
        <v>1627389</v>
      </c>
      <c r="J375" s="53">
        <v>5388</v>
      </c>
      <c r="K375" s="54">
        <v>22340541</v>
      </c>
      <c r="L375" s="63">
        <v>13645</v>
      </c>
      <c r="M375" s="97">
        <v>23301449.239999998</v>
      </c>
      <c r="N375" s="64">
        <v>11354</v>
      </c>
      <c r="O375" s="66">
        <v>301710.24</v>
      </c>
      <c r="P375" s="66">
        <v>163786.95000000001</v>
      </c>
    </row>
    <row r="376" spans="1:16" x14ac:dyDescent="0.2">
      <c r="A376" s="52"/>
      <c r="B376" s="72">
        <v>202512</v>
      </c>
      <c r="C376" s="73">
        <v>20251217</v>
      </c>
      <c r="D376" s="52">
        <v>105</v>
      </c>
      <c r="E376" s="63">
        <v>6158</v>
      </c>
      <c r="F376" s="63">
        <v>23395597</v>
      </c>
      <c r="G376" s="64">
        <v>6111</v>
      </c>
      <c r="H376" s="59">
        <v>685</v>
      </c>
      <c r="I376" s="65">
        <v>1534975.33</v>
      </c>
      <c r="J376" s="53">
        <v>5473</v>
      </c>
      <c r="K376" s="54">
        <v>21860621.670000002</v>
      </c>
      <c r="L376" s="63">
        <v>14014</v>
      </c>
      <c r="M376" s="97">
        <v>23941131.129999999</v>
      </c>
      <c r="N376" s="64">
        <v>11606</v>
      </c>
      <c r="O376" s="66">
        <v>301732.20999999996</v>
      </c>
      <c r="P376" s="66">
        <v>173930.95</v>
      </c>
    </row>
    <row r="377" spans="1:16" x14ac:dyDescent="0.2">
      <c r="A377" s="52"/>
      <c r="B377" s="72">
        <v>202512</v>
      </c>
      <c r="C377" s="73">
        <v>20251218</v>
      </c>
      <c r="D377" s="52">
        <v>104</v>
      </c>
      <c r="E377" s="63">
        <v>5977</v>
      </c>
      <c r="F377" s="63">
        <v>23480766</v>
      </c>
      <c r="G377" s="64">
        <v>5903</v>
      </c>
      <c r="H377" s="59">
        <v>637</v>
      </c>
      <c r="I377" s="65">
        <v>1584996.86</v>
      </c>
      <c r="J377" s="53">
        <v>5340</v>
      </c>
      <c r="K377" s="54">
        <v>21895769.140000001</v>
      </c>
      <c r="L377" s="63">
        <v>14051</v>
      </c>
      <c r="M377" s="97">
        <v>24757626.989999998</v>
      </c>
      <c r="N377" s="64">
        <v>11629</v>
      </c>
      <c r="O377" s="66">
        <v>300887.55</v>
      </c>
      <c r="P377" s="66">
        <v>183547.65000000002</v>
      </c>
    </row>
    <row r="378" spans="1:16" x14ac:dyDescent="0.2">
      <c r="A378" s="52"/>
      <c r="B378" s="72">
        <v>202512</v>
      </c>
      <c r="C378" s="73">
        <v>20251219</v>
      </c>
      <c r="D378" s="52">
        <v>103</v>
      </c>
      <c r="E378" s="63">
        <v>6047</v>
      </c>
      <c r="F378" s="63">
        <v>24118728</v>
      </c>
      <c r="G378" s="64">
        <v>5988</v>
      </c>
      <c r="H378" s="59">
        <v>598</v>
      </c>
      <c r="I378" s="65">
        <v>1522200.24</v>
      </c>
      <c r="J378" s="53">
        <v>5449</v>
      </c>
      <c r="K378" s="54">
        <v>22596527.760000002</v>
      </c>
      <c r="L378" s="63">
        <v>14696</v>
      </c>
      <c r="M378" s="97">
        <v>27647081.109999999</v>
      </c>
      <c r="N378" s="64">
        <v>12231</v>
      </c>
      <c r="O378" s="66">
        <v>300381.33</v>
      </c>
      <c r="P378" s="66">
        <v>190702.77</v>
      </c>
    </row>
    <row r="379" spans="1:16" x14ac:dyDescent="0.2">
      <c r="A379" s="52"/>
      <c r="B379" s="72">
        <v>202512</v>
      </c>
      <c r="C379" s="73">
        <v>20251220</v>
      </c>
      <c r="D379" s="52">
        <v>102</v>
      </c>
      <c r="E379" s="63">
        <v>6597</v>
      </c>
      <c r="F379" s="63">
        <v>27283464</v>
      </c>
      <c r="G379" s="64">
        <v>6518</v>
      </c>
      <c r="H379" s="59">
        <v>672</v>
      </c>
      <c r="I379" s="65">
        <v>1810758.1</v>
      </c>
      <c r="J379" s="53">
        <v>5925</v>
      </c>
      <c r="K379" s="54">
        <v>25472705.899999999</v>
      </c>
      <c r="L379" s="63">
        <v>15132</v>
      </c>
      <c r="M379" s="97">
        <v>30352347.629999999</v>
      </c>
      <c r="N379" s="64">
        <v>12552</v>
      </c>
      <c r="O379" s="66">
        <v>298427.3</v>
      </c>
      <c r="P379" s="66">
        <v>206022.05000000002</v>
      </c>
    </row>
    <row r="380" spans="1:16" x14ac:dyDescent="0.2">
      <c r="A380" s="52"/>
      <c r="B380" s="72">
        <v>202512</v>
      </c>
      <c r="C380" s="73">
        <v>20251221</v>
      </c>
      <c r="D380" s="52">
        <v>101</v>
      </c>
      <c r="E380" s="63">
        <v>5687</v>
      </c>
      <c r="F380" s="63">
        <v>21463472</v>
      </c>
      <c r="G380" s="64">
        <v>5606</v>
      </c>
      <c r="H380" s="59">
        <v>604</v>
      </c>
      <c r="I380" s="65">
        <v>1496370.46</v>
      </c>
      <c r="J380" s="53">
        <v>5083</v>
      </c>
      <c r="K380" s="54">
        <v>19967101.539999999</v>
      </c>
      <c r="L380" s="63">
        <v>12824</v>
      </c>
      <c r="M380" s="97">
        <v>22737250.129999999</v>
      </c>
      <c r="N380" s="64">
        <v>10561</v>
      </c>
      <c r="O380" s="66">
        <v>297071.41000000003</v>
      </c>
      <c r="P380" s="66">
        <v>156684.89000000001</v>
      </c>
    </row>
    <row r="381" spans="1:16" x14ac:dyDescent="0.2">
      <c r="A381" s="52"/>
      <c r="B381" s="72">
        <v>202512</v>
      </c>
      <c r="C381" s="73">
        <v>20251222</v>
      </c>
      <c r="D381" s="52">
        <v>100</v>
      </c>
      <c r="E381" s="63">
        <v>6892</v>
      </c>
      <c r="F381" s="63">
        <v>29137655</v>
      </c>
      <c r="G381" s="64">
        <v>6814</v>
      </c>
      <c r="H381" s="59">
        <v>701</v>
      </c>
      <c r="I381" s="65">
        <v>1910643.22</v>
      </c>
      <c r="J381" s="53">
        <v>6191</v>
      </c>
      <c r="K381" s="54">
        <v>27227011.780000001</v>
      </c>
      <c r="L381" s="63">
        <v>15534</v>
      </c>
      <c r="M381" s="97">
        <v>32555206.920000002</v>
      </c>
      <c r="N381" s="64">
        <v>13072</v>
      </c>
      <c r="O381" s="66">
        <v>296512.31000000006</v>
      </c>
      <c r="P381" s="66">
        <v>231870.72</v>
      </c>
    </row>
    <row r="382" spans="1:16" x14ac:dyDescent="0.2">
      <c r="A382" s="52"/>
      <c r="B382" s="72">
        <v>202512</v>
      </c>
      <c r="C382" s="73">
        <v>20251223</v>
      </c>
      <c r="D382" s="52">
        <v>99</v>
      </c>
      <c r="E382" s="63">
        <v>7123</v>
      </c>
      <c r="F382" s="63">
        <v>30335732</v>
      </c>
      <c r="G382" s="64">
        <v>7057</v>
      </c>
      <c r="H382" s="59">
        <v>783</v>
      </c>
      <c r="I382" s="65">
        <v>2177563.11</v>
      </c>
      <c r="J382" s="53">
        <v>6340</v>
      </c>
      <c r="K382" s="54">
        <v>28158168.890000001</v>
      </c>
      <c r="L382" s="63">
        <v>16727</v>
      </c>
      <c r="M382" s="97">
        <v>36663968.689999998</v>
      </c>
      <c r="N382" s="64">
        <v>13992</v>
      </c>
      <c r="O382" s="66">
        <v>295058.26</v>
      </c>
      <c r="P382" s="66">
        <v>253137.21999999997</v>
      </c>
    </row>
    <row r="383" spans="1:16" x14ac:dyDescent="0.2">
      <c r="A383" s="52"/>
      <c r="B383" s="72">
        <v>202512</v>
      </c>
      <c r="C383" s="73">
        <v>20251224</v>
      </c>
      <c r="D383" s="52">
        <v>98</v>
      </c>
      <c r="E383" s="63">
        <v>7960</v>
      </c>
      <c r="F383" s="63">
        <v>33979606</v>
      </c>
      <c r="G383" s="64">
        <v>7871</v>
      </c>
      <c r="H383" s="59">
        <v>857</v>
      </c>
      <c r="I383" s="65">
        <v>2545902.83</v>
      </c>
      <c r="J383" s="53">
        <v>7103</v>
      </c>
      <c r="K383" s="54">
        <v>31433703.170000002</v>
      </c>
      <c r="L383" s="63">
        <v>17476</v>
      </c>
      <c r="M383" s="97">
        <v>38247987.640000001</v>
      </c>
      <c r="N383" s="64">
        <v>14528</v>
      </c>
      <c r="O383" s="66">
        <v>293069.26</v>
      </c>
      <c r="P383" s="66">
        <v>257934.89</v>
      </c>
    </row>
    <row r="384" spans="1:16" x14ac:dyDescent="0.2">
      <c r="A384" s="52"/>
      <c r="B384" s="72">
        <v>202512</v>
      </c>
      <c r="C384" s="73">
        <v>20251225</v>
      </c>
      <c r="D384" s="52">
        <v>97</v>
      </c>
      <c r="E384" s="63">
        <v>5467</v>
      </c>
      <c r="F384" s="63">
        <v>20562307</v>
      </c>
      <c r="G384" s="64">
        <v>5402</v>
      </c>
      <c r="H384" s="59">
        <v>630</v>
      </c>
      <c r="I384" s="65">
        <v>1503579.82</v>
      </c>
      <c r="J384" s="53">
        <v>4837</v>
      </c>
      <c r="K384" s="54">
        <v>19058727.18</v>
      </c>
      <c r="L384" s="63">
        <v>13465</v>
      </c>
      <c r="M384" s="97">
        <v>24096676.09</v>
      </c>
      <c r="N384" s="64">
        <v>11059</v>
      </c>
      <c r="O384" s="66">
        <v>291528.90000000002</v>
      </c>
      <c r="P384" s="66">
        <v>176896.08</v>
      </c>
    </row>
    <row r="385" spans="1:16" x14ac:dyDescent="0.2">
      <c r="A385" s="52"/>
      <c r="B385" s="72">
        <v>202512</v>
      </c>
      <c r="C385" s="73">
        <v>20251226</v>
      </c>
      <c r="D385" s="52">
        <v>96</v>
      </c>
      <c r="E385" s="63">
        <v>5251</v>
      </c>
      <c r="F385" s="63">
        <v>20644988</v>
      </c>
      <c r="G385" s="64">
        <v>5212</v>
      </c>
      <c r="H385" s="59">
        <v>587</v>
      </c>
      <c r="I385" s="65">
        <v>1606282.15</v>
      </c>
      <c r="J385" s="53">
        <v>4664</v>
      </c>
      <c r="K385" s="54">
        <v>19038705.850000001</v>
      </c>
      <c r="L385" s="63">
        <v>12871</v>
      </c>
      <c r="M385" s="97">
        <v>22881426.460000001</v>
      </c>
      <c r="N385" s="64">
        <v>10719</v>
      </c>
      <c r="O385" s="66">
        <v>290535.66000000003</v>
      </c>
      <c r="P385" s="66">
        <v>168099.18</v>
      </c>
    </row>
    <row r="386" spans="1:16" x14ac:dyDescent="0.2">
      <c r="A386" s="52"/>
      <c r="B386" s="72">
        <v>202512</v>
      </c>
      <c r="C386" s="73">
        <v>20251227</v>
      </c>
      <c r="D386" s="52">
        <v>95</v>
      </c>
      <c r="E386" s="63">
        <v>5751</v>
      </c>
      <c r="F386" s="63">
        <v>23756608</v>
      </c>
      <c r="G386" s="64">
        <v>5704</v>
      </c>
      <c r="H386" s="59">
        <v>635</v>
      </c>
      <c r="I386" s="65">
        <v>1556705.94</v>
      </c>
      <c r="J386" s="53">
        <v>5116</v>
      </c>
      <c r="K386" s="54">
        <v>22199902.059999999</v>
      </c>
      <c r="L386" s="63">
        <v>12677</v>
      </c>
      <c r="M386" s="97">
        <v>22865056.32</v>
      </c>
      <c r="N386" s="64">
        <v>10476</v>
      </c>
      <c r="O386" s="66">
        <v>289848.63</v>
      </c>
      <c r="P386" s="66">
        <v>165388.13</v>
      </c>
    </row>
    <row r="387" spans="1:16" x14ac:dyDescent="0.2">
      <c r="A387" s="52"/>
      <c r="B387" s="72">
        <v>202512</v>
      </c>
      <c r="C387" s="73">
        <v>20251228</v>
      </c>
      <c r="D387" s="52">
        <v>94</v>
      </c>
      <c r="E387" s="63">
        <v>5103</v>
      </c>
      <c r="F387" s="63">
        <v>19685851</v>
      </c>
      <c r="G387" s="64">
        <v>5049</v>
      </c>
      <c r="H387" s="59">
        <v>546</v>
      </c>
      <c r="I387" s="65">
        <v>1383039.05</v>
      </c>
      <c r="J387" s="53">
        <v>4557</v>
      </c>
      <c r="K387" s="54">
        <v>18302811.949999999</v>
      </c>
      <c r="L387" s="63">
        <v>11311</v>
      </c>
      <c r="M387" s="97">
        <v>19456965.93</v>
      </c>
      <c r="N387" s="64">
        <v>9530</v>
      </c>
      <c r="O387" s="66">
        <v>289888.48</v>
      </c>
      <c r="P387" s="66">
        <v>145247.23000000001</v>
      </c>
    </row>
    <row r="388" spans="1:16" x14ac:dyDescent="0.2">
      <c r="A388" s="52"/>
      <c r="B388" s="72">
        <v>202512</v>
      </c>
      <c r="C388" s="73">
        <v>20251229</v>
      </c>
      <c r="D388" s="52">
        <v>93</v>
      </c>
      <c r="E388" s="63">
        <v>6301</v>
      </c>
      <c r="F388" s="63">
        <v>26473002</v>
      </c>
      <c r="G388" s="64">
        <v>6234</v>
      </c>
      <c r="H388" s="59">
        <v>705</v>
      </c>
      <c r="I388" s="65">
        <v>1809768.11</v>
      </c>
      <c r="J388" s="53">
        <v>5596</v>
      </c>
      <c r="K388" s="54">
        <v>24663233.890000001</v>
      </c>
      <c r="L388" s="63">
        <v>13135</v>
      </c>
      <c r="M388" s="97">
        <v>25790443.379999999</v>
      </c>
      <c r="N388" s="64">
        <v>11013</v>
      </c>
      <c r="O388" s="66">
        <v>289844.15000000002</v>
      </c>
      <c r="P388" s="66">
        <v>180089.97999999998</v>
      </c>
    </row>
    <row r="389" spans="1:16" x14ac:dyDescent="0.2">
      <c r="A389" s="52"/>
      <c r="B389" s="72">
        <v>202512</v>
      </c>
      <c r="C389" s="73">
        <v>20251230</v>
      </c>
      <c r="D389" s="52">
        <v>92</v>
      </c>
      <c r="E389" s="63">
        <v>6214</v>
      </c>
      <c r="F389" s="63">
        <v>25816520</v>
      </c>
      <c r="G389" s="64">
        <v>6154</v>
      </c>
      <c r="H389" s="59">
        <v>701</v>
      </c>
      <c r="I389" s="65">
        <v>1800400.22</v>
      </c>
      <c r="J389" s="53">
        <v>5513</v>
      </c>
      <c r="K389" s="54">
        <v>24016119.780000001</v>
      </c>
      <c r="L389" s="63">
        <v>13285</v>
      </c>
      <c r="M389" s="97">
        <v>25958597.890000001</v>
      </c>
      <c r="N389" s="64">
        <v>11146</v>
      </c>
      <c r="O389" s="66">
        <v>289882.3</v>
      </c>
      <c r="P389" s="66">
        <v>184674.36</v>
      </c>
    </row>
    <row r="390" spans="1:16" x14ac:dyDescent="0.2">
      <c r="A390" s="52"/>
      <c r="B390" s="72">
        <v>202512</v>
      </c>
      <c r="C390" s="73">
        <v>20251231</v>
      </c>
      <c r="D390" s="52">
        <v>91</v>
      </c>
      <c r="E390" s="63">
        <v>7216</v>
      </c>
      <c r="F390" s="63">
        <v>30472014</v>
      </c>
      <c r="G390" s="64">
        <v>7148</v>
      </c>
      <c r="H390" s="59">
        <v>753</v>
      </c>
      <c r="I390" s="65">
        <v>2053331.07</v>
      </c>
      <c r="J390" s="53">
        <v>6463</v>
      </c>
      <c r="K390" s="54">
        <v>28418682.93</v>
      </c>
      <c r="L390" s="63">
        <v>13764</v>
      </c>
      <c r="M390" s="97">
        <v>29849082.539999999</v>
      </c>
      <c r="N390" s="64">
        <v>11613</v>
      </c>
      <c r="O390" s="66">
        <v>289642.62</v>
      </c>
      <c r="P390" s="66">
        <v>205595.33000000002</v>
      </c>
    </row>
    <row r="391" spans="1:16" x14ac:dyDescent="0.2">
      <c r="B391" s="72" t="s">
        <v>39</v>
      </c>
      <c r="C391" s="73">
        <v>20260101</v>
      </c>
      <c r="D391" s="52">
        <v>90</v>
      </c>
      <c r="E391" s="63">
        <v>5767</v>
      </c>
      <c r="F391" s="63">
        <v>23059933</v>
      </c>
      <c r="G391" s="64">
        <v>5737</v>
      </c>
      <c r="H391" s="59">
        <v>605</v>
      </c>
      <c r="I391" s="65">
        <v>1669652.97</v>
      </c>
      <c r="J391" s="53">
        <v>5162</v>
      </c>
      <c r="K391" s="54">
        <v>21390280.030000001</v>
      </c>
      <c r="L391" s="63">
        <v>11976</v>
      </c>
      <c r="M391" s="97">
        <v>22405318.920000002</v>
      </c>
      <c r="N391" s="64">
        <v>9945</v>
      </c>
      <c r="O391" s="66">
        <v>289531.53999999998</v>
      </c>
      <c r="P391" s="66">
        <v>158736.14000000001</v>
      </c>
    </row>
    <row r="392" spans="1:16" x14ac:dyDescent="0.2">
      <c r="B392" s="72" t="s">
        <v>39</v>
      </c>
      <c r="C392" s="73">
        <v>20260102</v>
      </c>
      <c r="D392" s="52">
        <v>89</v>
      </c>
      <c r="E392" s="63">
        <v>6920</v>
      </c>
      <c r="F392" s="63">
        <v>30428034</v>
      </c>
      <c r="G392" s="64">
        <v>6868</v>
      </c>
      <c r="H392" s="59">
        <v>751</v>
      </c>
      <c r="I392" s="65">
        <v>2169272.0499999998</v>
      </c>
      <c r="J392" s="53">
        <v>6169</v>
      </c>
      <c r="K392" s="54">
        <v>28258761.949999999</v>
      </c>
      <c r="L392" s="63">
        <v>13956</v>
      </c>
      <c r="M392" s="97">
        <v>27113059.09</v>
      </c>
      <c r="N392" s="64">
        <v>11729</v>
      </c>
      <c r="O392" s="66">
        <v>289651.77</v>
      </c>
      <c r="P392" s="66">
        <v>197510.62</v>
      </c>
    </row>
    <row r="393" spans="1:16" x14ac:dyDescent="0.2">
      <c r="B393" s="72" t="s">
        <v>39</v>
      </c>
      <c r="C393" s="73">
        <v>20260103</v>
      </c>
      <c r="D393" s="52">
        <v>88</v>
      </c>
      <c r="E393" s="63">
        <v>7186</v>
      </c>
      <c r="F393" s="63">
        <v>30591049</v>
      </c>
      <c r="G393" s="64">
        <v>7129</v>
      </c>
      <c r="H393" s="59">
        <v>751</v>
      </c>
      <c r="I393" s="65">
        <v>2111894.5299999998</v>
      </c>
      <c r="J393" s="53">
        <v>6435</v>
      </c>
      <c r="K393" s="54">
        <v>28479154.469999999</v>
      </c>
      <c r="L393" s="63">
        <v>14024</v>
      </c>
      <c r="M393" s="97">
        <v>26887338.920000002</v>
      </c>
      <c r="N393" s="64">
        <v>11637</v>
      </c>
      <c r="O393" s="66">
        <v>290260.54000000004</v>
      </c>
      <c r="P393" s="66">
        <v>198306.74</v>
      </c>
    </row>
    <row r="394" spans="1:16" x14ac:dyDescent="0.2">
      <c r="B394" s="72" t="s">
        <v>39</v>
      </c>
      <c r="C394" s="73">
        <v>20260104</v>
      </c>
      <c r="D394" s="52">
        <v>87</v>
      </c>
      <c r="E394" s="63">
        <v>6506</v>
      </c>
      <c r="F394" s="63">
        <v>26461096</v>
      </c>
      <c r="G394" s="64">
        <v>6463</v>
      </c>
      <c r="H394" s="59">
        <v>717</v>
      </c>
      <c r="I394" s="65">
        <v>1864370.04</v>
      </c>
      <c r="J394" s="53">
        <v>5789</v>
      </c>
      <c r="K394" s="54">
        <v>24596725.960000001</v>
      </c>
      <c r="L394" s="63">
        <v>12251</v>
      </c>
      <c r="M394" s="97">
        <v>21967819.640000001</v>
      </c>
      <c r="N394" s="64">
        <v>10171</v>
      </c>
      <c r="O394" s="66">
        <v>290857.39</v>
      </c>
      <c r="P394" s="66">
        <v>155581.43</v>
      </c>
    </row>
    <row r="395" spans="1:16" x14ac:dyDescent="0.2">
      <c r="B395" s="72" t="s">
        <v>39</v>
      </c>
      <c r="C395" s="73">
        <v>20260105</v>
      </c>
      <c r="D395" s="52">
        <v>86</v>
      </c>
      <c r="E395" s="63">
        <v>8049</v>
      </c>
      <c r="F395" s="63">
        <v>35929302</v>
      </c>
      <c r="G395" s="64">
        <v>7999</v>
      </c>
      <c r="H395" s="59">
        <v>892</v>
      </c>
      <c r="I395" s="65">
        <v>2840290.23</v>
      </c>
      <c r="J395" s="53">
        <v>7157</v>
      </c>
      <c r="K395" s="54">
        <v>33089011.77</v>
      </c>
      <c r="L395" s="63">
        <v>15229</v>
      </c>
      <c r="M395" s="97">
        <v>31219169.670000002</v>
      </c>
      <c r="N395" s="64">
        <v>12859</v>
      </c>
      <c r="O395" s="66">
        <v>291791.5</v>
      </c>
      <c r="P395" s="66">
        <v>225453.71</v>
      </c>
    </row>
    <row r="396" spans="1:16" x14ac:dyDescent="0.2">
      <c r="B396" s="72" t="s">
        <v>39</v>
      </c>
      <c r="C396" s="73">
        <v>20260106</v>
      </c>
      <c r="D396" s="52">
        <v>85</v>
      </c>
      <c r="E396" s="63">
        <v>7736</v>
      </c>
      <c r="F396" s="63">
        <v>32984301</v>
      </c>
      <c r="G396" s="64">
        <v>7693</v>
      </c>
      <c r="H396" s="59">
        <v>836</v>
      </c>
      <c r="I396" s="65">
        <v>2354568.92</v>
      </c>
      <c r="J396" s="53">
        <v>6900</v>
      </c>
      <c r="K396" s="54">
        <v>30629732.079999998</v>
      </c>
      <c r="L396" s="63">
        <v>15637</v>
      </c>
      <c r="M396" s="97">
        <v>29891942.920000002</v>
      </c>
      <c r="N396" s="64">
        <v>13142</v>
      </c>
      <c r="O396" s="66">
        <v>292619.38</v>
      </c>
      <c r="P396" s="66">
        <v>226668.79999999999</v>
      </c>
    </row>
    <row r="397" spans="1:16" x14ac:dyDescent="0.2">
      <c r="B397" s="72" t="s">
        <v>39</v>
      </c>
      <c r="C397" s="73">
        <v>20260107</v>
      </c>
      <c r="D397" s="52">
        <v>84</v>
      </c>
      <c r="E397" s="63">
        <v>7272</v>
      </c>
      <c r="F397" s="63">
        <v>29797680</v>
      </c>
      <c r="G397" s="64">
        <v>7202</v>
      </c>
      <c r="H397" s="59">
        <v>828</v>
      </c>
      <c r="I397" s="65">
        <v>2303069.58</v>
      </c>
      <c r="J397" s="53">
        <v>6444</v>
      </c>
      <c r="K397" s="54">
        <v>27494610.420000002</v>
      </c>
      <c r="L397" s="63">
        <v>15275</v>
      </c>
      <c r="M397" s="97">
        <v>28338505.850000001</v>
      </c>
      <c r="N397" s="64">
        <v>12915</v>
      </c>
      <c r="O397" s="66">
        <v>292895.42000000004</v>
      </c>
      <c r="P397" s="66">
        <v>216606.46999999997</v>
      </c>
    </row>
    <row r="398" spans="1:16" x14ac:dyDescent="0.2">
      <c r="B398" s="72" t="s">
        <v>39</v>
      </c>
      <c r="C398" s="73">
        <v>20260108</v>
      </c>
      <c r="D398" s="52">
        <v>83</v>
      </c>
      <c r="E398" s="63">
        <v>7177</v>
      </c>
      <c r="F398" s="63">
        <v>28713977</v>
      </c>
      <c r="G398" s="64">
        <v>7119</v>
      </c>
      <c r="H398" s="59">
        <v>895</v>
      </c>
      <c r="I398" s="65">
        <v>2214787.38</v>
      </c>
      <c r="J398" s="53">
        <v>6282</v>
      </c>
      <c r="K398" s="54">
        <v>26499189.620000001</v>
      </c>
      <c r="L398" s="63">
        <v>15021</v>
      </c>
      <c r="M398" s="97">
        <v>27228880.379999999</v>
      </c>
      <c r="N398" s="64">
        <v>12769</v>
      </c>
      <c r="O398" s="66">
        <v>293005.67</v>
      </c>
      <c r="P398" s="66">
        <v>212907.40999999997</v>
      </c>
    </row>
    <row r="399" spans="1:16" x14ac:dyDescent="0.2">
      <c r="B399" s="72" t="s">
        <v>39</v>
      </c>
      <c r="C399" s="73">
        <v>20260109</v>
      </c>
      <c r="D399" s="52">
        <v>82</v>
      </c>
      <c r="E399" s="63">
        <v>6855</v>
      </c>
      <c r="F399" s="63">
        <v>27507520</v>
      </c>
      <c r="G399" s="64">
        <v>6790</v>
      </c>
      <c r="H399" s="59">
        <v>881</v>
      </c>
      <c r="I399" s="65">
        <v>2565485.21</v>
      </c>
      <c r="J399" s="53">
        <v>5974</v>
      </c>
      <c r="K399" s="54">
        <v>24942034.789999999</v>
      </c>
      <c r="L399" s="63">
        <v>14175</v>
      </c>
      <c r="M399" s="97">
        <v>25247833.98</v>
      </c>
      <c r="N399" s="64">
        <v>11994</v>
      </c>
      <c r="O399" s="66">
        <v>293095.39</v>
      </c>
      <c r="P399" s="66">
        <v>201322.13</v>
      </c>
    </row>
    <row r="400" spans="1:16" x14ac:dyDescent="0.2">
      <c r="B400" s="72" t="s">
        <v>39</v>
      </c>
      <c r="C400" s="73">
        <v>20260110</v>
      </c>
      <c r="D400" s="52">
        <v>81</v>
      </c>
      <c r="E400" s="63">
        <v>7226</v>
      </c>
      <c r="F400" s="63">
        <v>28040554</v>
      </c>
      <c r="G400" s="64">
        <v>7169</v>
      </c>
      <c r="H400" s="59">
        <v>916</v>
      </c>
      <c r="I400" s="65">
        <v>2494939.86</v>
      </c>
      <c r="J400" s="53">
        <v>6310</v>
      </c>
      <c r="K400" s="54">
        <v>25545614.140000001</v>
      </c>
      <c r="L400" s="63">
        <v>14085</v>
      </c>
      <c r="M400" s="97">
        <v>24838250.609999999</v>
      </c>
      <c r="N400" s="64">
        <v>11727</v>
      </c>
      <c r="O400" s="66">
        <v>293419.88</v>
      </c>
      <c r="P400" s="66">
        <v>187765.3</v>
      </c>
    </row>
    <row r="401" spans="2:16" x14ac:dyDescent="0.2">
      <c r="B401" s="72" t="s">
        <v>39</v>
      </c>
      <c r="C401" s="73">
        <v>20260111</v>
      </c>
      <c r="D401" s="52">
        <v>80</v>
      </c>
      <c r="E401" s="63">
        <v>6391</v>
      </c>
      <c r="F401" s="63">
        <v>22995063</v>
      </c>
      <c r="G401" s="64">
        <v>6343</v>
      </c>
      <c r="H401" s="59">
        <v>898</v>
      </c>
      <c r="I401" s="65">
        <v>2024639.82</v>
      </c>
      <c r="J401" s="53">
        <v>5493</v>
      </c>
      <c r="K401" s="54">
        <v>20970423.18</v>
      </c>
      <c r="L401" s="63">
        <v>12162</v>
      </c>
      <c r="M401" s="97">
        <v>19595780.32</v>
      </c>
      <c r="N401" s="64">
        <v>10115</v>
      </c>
      <c r="O401" s="66">
        <v>293976.32000000001</v>
      </c>
      <c r="P401" s="66">
        <v>147791.29</v>
      </c>
    </row>
    <row r="402" spans="2:16" x14ac:dyDescent="0.2">
      <c r="B402" s="72" t="s">
        <v>39</v>
      </c>
      <c r="C402" s="73">
        <v>20260112</v>
      </c>
      <c r="D402" s="52">
        <v>79</v>
      </c>
      <c r="E402" s="63">
        <v>7023</v>
      </c>
      <c r="F402" s="63">
        <v>28034409</v>
      </c>
      <c r="G402" s="64">
        <v>6986</v>
      </c>
      <c r="H402" s="59">
        <v>888</v>
      </c>
      <c r="I402" s="65">
        <v>2310774.87</v>
      </c>
      <c r="J402" s="53">
        <v>6135</v>
      </c>
      <c r="K402" s="54">
        <v>25723634.129999999</v>
      </c>
      <c r="L402" s="63">
        <v>13651</v>
      </c>
      <c r="M402" s="97">
        <v>23693924.859999999</v>
      </c>
      <c r="N402" s="64">
        <v>11521</v>
      </c>
      <c r="O402" s="66">
        <v>294607.71999999997</v>
      </c>
      <c r="P402" s="66">
        <v>184235.37</v>
      </c>
    </row>
    <row r="403" spans="2:16" x14ac:dyDescent="0.2">
      <c r="B403" s="72" t="s">
        <v>39</v>
      </c>
      <c r="C403" s="73">
        <v>20260113</v>
      </c>
      <c r="D403" s="52">
        <v>78</v>
      </c>
      <c r="E403" s="63">
        <v>6360</v>
      </c>
      <c r="F403" s="63">
        <v>24652413</v>
      </c>
      <c r="G403" s="64">
        <v>6302</v>
      </c>
      <c r="H403" s="59">
        <v>879</v>
      </c>
      <c r="I403" s="65">
        <v>2433200.64</v>
      </c>
      <c r="J403" s="53">
        <v>5481</v>
      </c>
      <c r="K403" s="54">
        <v>22219212.359999999</v>
      </c>
      <c r="L403" s="63">
        <v>13286</v>
      </c>
      <c r="M403" s="97">
        <v>22290455.32</v>
      </c>
      <c r="N403" s="64">
        <v>11161</v>
      </c>
      <c r="O403" s="66">
        <v>295368.96999999997</v>
      </c>
      <c r="P403" s="66">
        <v>186205.21000000002</v>
      </c>
    </row>
    <row r="404" spans="2:16" x14ac:dyDescent="0.2">
      <c r="B404" s="72" t="s">
        <v>39</v>
      </c>
      <c r="C404" s="73">
        <v>20260114</v>
      </c>
      <c r="D404" s="52">
        <v>77</v>
      </c>
      <c r="E404" s="63">
        <v>6225</v>
      </c>
      <c r="F404" s="63">
        <v>23849024</v>
      </c>
      <c r="G404" s="64">
        <v>6182</v>
      </c>
      <c r="H404" s="59">
        <v>798</v>
      </c>
      <c r="I404" s="65">
        <v>1978143.66</v>
      </c>
      <c r="J404" s="53">
        <v>5427</v>
      </c>
      <c r="K404" s="54">
        <v>21870880.34</v>
      </c>
      <c r="L404" s="63">
        <v>13335</v>
      </c>
      <c r="M404" s="97">
        <v>21947310.77</v>
      </c>
      <c r="N404" s="64">
        <v>11251</v>
      </c>
      <c r="O404" s="66">
        <v>295586.31999999995</v>
      </c>
      <c r="P404" s="66">
        <v>171680.36</v>
      </c>
    </row>
    <row r="405" spans="2:16" x14ac:dyDescent="0.2">
      <c r="B405" s="72" t="s">
        <v>39</v>
      </c>
      <c r="C405" s="73">
        <v>20260115</v>
      </c>
      <c r="D405" s="52">
        <v>76</v>
      </c>
      <c r="E405" s="63">
        <v>6565</v>
      </c>
      <c r="F405" s="63">
        <v>24340827</v>
      </c>
      <c r="G405" s="64">
        <v>6507</v>
      </c>
      <c r="H405" s="59">
        <v>1017</v>
      </c>
      <c r="I405" s="65">
        <v>2583654.0099999998</v>
      </c>
      <c r="J405" s="53">
        <v>5548</v>
      </c>
      <c r="K405" s="54">
        <v>21757172.990000002</v>
      </c>
      <c r="L405" s="63">
        <v>14682</v>
      </c>
      <c r="M405" s="97">
        <v>23210696.300000001</v>
      </c>
      <c r="N405" s="64">
        <v>12259</v>
      </c>
      <c r="O405" s="66">
        <v>295875.8</v>
      </c>
      <c r="P405" s="66">
        <v>184155.82</v>
      </c>
    </row>
    <row r="406" spans="2:16" x14ac:dyDescent="0.2">
      <c r="B406" s="72" t="s">
        <v>39</v>
      </c>
      <c r="C406" s="73">
        <v>20260116</v>
      </c>
      <c r="D406" s="52">
        <v>75</v>
      </c>
      <c r="E406" s="63">
        <v>6331</v>
      </c>
      <c r="F406" s="63">
        <v>23640434</v>
      </c>
      <c r="G406" s="64">
        <v>6289</v>
      </c>
      <c r="H406" s="59">
        <v>942</v>
      </c>
      <c r="I406" s="65">
        <v>2244305.44</v>
      </c>
      <c r="J406" s="53">
        <v>5389</v>
      </c>
      <c r="K406" s="54">
        <v>21396128.559999999</v>
      </c>
      <c r="L406" s="63">
        <v>13791</v>
      </c>
      <c r="M406" s="97">
        <v>22904349.100000001</v>
      </c>
      <c r="N406" s="64">
        <v>11642</v>
      </c>
      <c r="O406" s="66">
        <v>295892.98</v>
      </c>
      <c r="P406" s="66">
        <v>189041.11000000002</v>
      </c>
    </row>
    <row r="407" spans="2:16" x14ac:dyDescent="0.2">
      <c r="B407" s="72" t="s">
        <v>39</v>
      </c>
      <c r="C407" s="73">
        <v>20260117</v>
      </c>
      <c r="D407" s="52">
        <v>74</v>
      </c>
      <c r="E407" s="63">
        <v>6334</v>
      </c>
      <c r="F407" s="63">
        <v>23263316</v>
      </c>
      <c r="G407" s="64">
        <v>6281</v>
      </c>
      <c r="H407" s="59">
        <v>881</v>
      </c>
      <c r="I407" s="65">
        <v>1951309.94</v>
      </c>
      <c r="J407" s="53">
        <v>5453</v>
      </c>
      <c r="K407" s="54">
        <v>21312006.059999999</v>
      </c>
      <c r="L407" s="63">
        <v>12789</v>
      </c>
      <c r="M407" s="97">
        <v>20844399.09</v>
      </c>
      <c r="N407" s="64">
        <v>10614</v>
      </c>
      <c r="O407" s="66">
        <v>295921.11</v>
      </c>
      <c r="P407" s="66">
        <v>159285.84</v>
      </c>
    </row>
    <row r="408" spans="2:16" x14ac:dyDescent="0.2">
      <c r="B408" s="72" t="s">
        <v>39</v>
      </c>
      <c r="C408" s="73">
        <v>20260118</v>
      </c>
      <c r="D408" s="52">
        <v>73</v>
      </c>
      <c r="E408" s="63">
        <v>5522</v>
      </c>
      <c r="F408" s="63">
        <v>19013265</v>
      </c>
      <c r="G408" s="64">
        <v>5475</v>
      </c>
      <c r="H408" s="59">
        <v>794</v>
      </c>
      <c r="I408" s="65">
        <v>1640459.43</v>
      </c>
      <c r="J408" s="53">
        <v>4728</v>
      </c>
      <c r="K408" s="54">
        <v>17372805.57</v>
      </c>
      <c r="L408" s="63">
        <v>11263</v>
      </c>
      <c r="M408" s="97">
        <v>17201301.43</v>
      </c>
      <c r="N408" s="64">
        <v>9407</v>
      </c>
      <c r="O408" s="66">
        <v>296260.52</v>
      </c>
      <c r="P408" s="66">
        <v>129451.76999999999</v>
      </c>
    </row>
    <row r="409" spans="2:16" x14ac:dyDescent="0.2">
      <c r="B409" s="72" t="s">
        <v>39</v>
      </c>
      <c r="C409" s="73">
        <v>20260119</v>
      </c>
      <c r="D409" s="52">
        <v>72</v>
      </c>
      <c r="E409" s="63">
        <v>6872</v>
      </c>
      <c r="F409" s="63">
        <v>25169766</v>
      </c>
      <c r="G409" s="64">
        <v>6822</v>
      </c>
      <c r="H409" s="59">
        <v>1219</v>
      </c>
      <c r="I409" s="65">
        <v>2546036.2999999998</v>
      </c>
      <c r="J409" s="53">
        <v>5653</v>
      </c>
      <c r="K409" s="54">
        <v>22623729.699999999</v>
      </c>
      <c r="L409" s="63">
        <v>13455</v>
      </c>
      <c r="M409" s="97">
        <v>23454350.48</v>
      </c>
      <c r="N409" s="64">
        <v>11434</v>
      </c>
      <c r="O409" s="66">
        <v>296523.37</v>
      </c>
      <c r="P409" s="66">
        <v>182288.91</v>
      </c>
    </row>
    <row r="410" spans="2:16" x14ac:dyDescent="0.2">
      <c r="B410" s="72" t="s">
        <v>39</v>
      </c>
      <c r="C410" s="73">
        <v>20260120</v>
      </c>
      <c r="D410" s="52">
        <v>71</v>
      </c>
      <c r="E410" s="63">
        <v>6871</v>
      </c>
      <c r="F410" s="63">
        <v>24828740</v>
      </c>
      <c r="G410" s="64">
        <v>6815</v>
      </c>
      <c r="H410" s="59">
        <v>1218</v>
      </c>
      <c r="I410" s="65">
        <v>2497611.35</v>
      </c>
      <c r="J410" s="53">
        <v>5653</v>
      </c>
      <c r="K410" s="54">
        <v>22331128.649999999</v>
      </c>
      <c r="L410" s="63">
        <v>14219</v>
      </c>
      <c r="M410" s="97">
        <v>25538145.73</v>
      </c>
      <c r="N410" s="64">
        <v>11979</v>
      </c>
      <c r="O410" s="66">
        <v>296820.74</v>
      </c>
      <c r="P410" s="66">
        <v>208475.65999999997</v>
      </c>
    </row>
    <row r="411" spans="2:16" x14ac:dyDescent="0.2">
      <c r="B411" s="72" t="s">
        <v>39</v>
      </c>
      <c r="C411" s="73">
        <v>20260121</v>
      </c>
      <c r="D411" s="52">
        <v>70</v>
      </c>
      <c r="E411" s="63">
        <v>6495</v>
      </c>
      <c r="F411" s="63">
        <v>24232048</v>
      </c>
      <c r="G411" s="64">
        <v>6453</v>
      </c>
      <c r="H411" s="59">
        <v>1122</v>
      </c>
      <c r="I411" s="65">
        <v>2368976.36</v>
      </c>
      <c r="J411" s="53">
        <v>5373</v>
      </c>
      <c r="K411" s="54">
        <v>21863071.640000001</v>
      </c>
      <c r="L411" s="63">
        <v>14375</v>
      </c>
      <c r="M411" s="97">
        <v>26264208.120000001</v>
      </c>
      <c r="N411" s="64">
        <v>12133</v>
      </c>
      <c r="O411" s="66">
        <v>296458.22000000003</v>
      </c>
      <c r="P411" s="66">
        <v>196567.66</v>
      </c>
    </row>
    <row r="412" spans="2:16" x14ac:dyDescent="0.2">
      <c r="B412" s="72" t="s">
        <v>39</v>
      </c>
      <c r="C412" s="73">
        <v>20260122</v>
      </c>
      <c r="D412" s="52">
        <v>69</v>
      </c>
      <c r="E412" s="63">
        <v>6460</v>
      </c>
      <c r="F412" s="63">
        <v>24336130</v>
      </c>
      <c r="G412" s="64">
        <v>6418</v>
      </c>
      <c r="H412" s="59">
        <v>1018</v>
      </c>
      <c r="I412" s="65">
        <v>2184190.62</v>
      </c>
      <c r="J412" s="53">
        <v>5442</v>
      </c>
      <c r="K412" s="54">
        <v>22151939.379999999</v>
      </c>
      <c r="L412" s="63">
        <v>14057</v>
      </c>
      <c r="M412" s="97">
        <v>25497554.190000001</v>
      </c>
      <c r="N412" s="64">
        <v>11783</v>
      </c>
      <c r="O412" s="66">
        <v>295948.46999999997</v>
      </c>
      <c r="P412" s="66">
        <v>200365.59</v>
      </c>
    </row>
    <row r="413" spans="2:16" x14ac:dyDescent="0.2">
      <c r="B413" s="72" t="s">
        <v>39</v>
      </c>
      <c r="C413" s="73">
        <v>20260123</v>
      </c>
      <c r="D413" s="52">
        <v>68</v>
      </c>
      <c r="E413" s="63">
        <v>6220</v>
      </c>
      <c r="F413" s="63">
        <v>23822822</v>
      </c>
      <c r="G413" s="64">
        <v>6175</v>
      </c>
      <c r="H413" s="59">
        <v>1001</v>
      </c>
      <c r="I413" s="65">
        <v>2332940.71</v>
      </c>
      <c r="J413" s="53">
        <v>5219</v>
      </c>
      <c r="K413" s="54">
        <v>21489881.289999999</v>
      </c>
      <c r="L413" s="63">
        <v>13696</v>
      </c>
      <c r="M413" s="97">
        <v>25609332.109999999</v>
      </c>
      <c r="N413" s="64">
        <v>11562</v>
      </c>
      <c r="O413" s="66">
        <v>295650.44</v>
      </c>
      <c r="P413" s="66">
        <v>200221.38</v>
      </c>
    </row>
    <row r="414" spans="2:16" x14ac:dyDescent="0.2">
      <c r="B414" s="72" t="s">
        <v>39</v>
      </c>
      <c r="C414" s="73">
        <v>20260124</v>
      </c>
      <c r="D414" s="52">
        <v>67</v>
      </c>
      <c r="E414" s="63">
        <v>6218</v>
      </c>
      <c r="F414" s="63">
        <v>24518770</v>
      </c>
      <c r="G414" s="64">
        <v>6176</v>
      </c>
      <c r="H414" s="59">
        <v>985</v>
      </c>
      <c r="I414" s="65">
        <v>2490210.2599999998</v>
      </c>
      <c r="J414" s="53">
        <v>5233</v>
      </c>
      <c r="K414" s="54">
        <v>22028559.740000002</v>
      </c>
      <c r="L414" s="63">
        <v>12980</v>
      </c>
      <c r="M414" s="97">
        <v>23327004.280000001</v>
      </c>
      <c r="N414" s="64">
        <v>10870</v>
      </c>
      <c r="O414" s="66">
        <v>295284.2</v>
      </c>
      <c r="P414" s="66">
        <v>177436.06</v>
      </c>
    </row>
    <row r="415" spans="2:16" x14ac:dyDescent="0.2">
      <c r="B415" s="72" t="s">
        <v>39</v>
      </c>
      <c r="C415" s="73">
        <v>20260125</v>
      </c>
      <c r="D415" s="52">
        <v>66</v>
      </c>
      <c r="E415" s="63">
        <v>5648</v>
      </c>
      <c r="F415" s="63">
        <v>19652919</v>
      </c>
      <c r="G415" s="64">
        <v>5611</v>
      </c>
      <c r="H415" s="59">
        <v>896</v>
      </c>
      <c r="I415" s="65">
        <v>2106472.31</v>
      </c>
      <c r="J415" s="53">
        <v>4752</v>
      </c>
      <c r="K415" s="54">
        <v>17546446.690000001</v>
      </c>
      <c r="L415" s="63">
        <v>11110</v>
      </c>
      <c r="M415" s="97">
        <v>17904739.18</v>
      </c>
      <c r="N415" s="64">
        <v>9286</v>
      </c>
      <c r="O415" s="66">
        <v>295351.92</v>
      </c>
      <c r="P415" s="66">
        <v>135842.73000000001</v>
      </c>
    </row>
    <row r="416" spans="2:16" x14ac:dyDescent="0.2">
      <c r="B416" s="72" t="s">
        <v>39</v>
      </c>
      <c r="C416" s="73">
        <v>20260126</v>
      </c>
      <c r="D416" s="52">
        <v>65</v>
      </c>
      <c r="E416" s="63">
        <v>7696</v>
      </c>
      <c r="F416" s="63">
        <v>29133765</v>
      </c>
      <c r="G416" s="64">
        <v>7645</v>
      </c>
      <c r="H416" s="59">
        <v>1344</v>
      </c>
      <c r="I416" s="65">
        <v>2793271.46</v>
      </c>
      <c r="J416" s="53">
        <v>6352</v>
      </c>
      <c r="K416" s="54">
        <v>26340493.539999999</v>
      </c>
      <c r="L416" s="63">
        <v>14216</v>
      </c>
      <c r="M416" s="97">
        <v>28361265.129999999</v>
      </c>
      <c r="N416" s="64">
        <v>12010</v>
      </c>
      <c r="O416" s="66">
        <v>295703.05000000005</v>
      </c>
      <c r="P416" s="66">
        <v>214288.09</v>
      </c>
    </row>
    <row r="417" spans="2:16" x14ac:dyDescent="0.2">
      <c r="B417" s="72" t="s">
        <v>39</v>
      </c>
      <c r="C417" s="73">
        <v>20260127</v>
      </c>
      <c r="D417" s="52">
        <v>64</v>
      </c>
      <c r="E417" s="63">
        <v>6535</v>
      </c>
      <c r="F417" s="63">
        <v>26042627</v>
      </c>
      <c r="G417" s="64">
        <v>6484</v>
      </c>
      <c r="H417" s="59">
        <v>1045</v>
      </c>
      <c r="I417" s="65">
        <v>2505369.71</v>
      </c>
      <c r="J417" s="53">
        <v>5490</v>
      </c>
      <c r="K417" s="54">
        <v>23537257.289999999</v>
      </c>
      <c r="L417" s="63">
        <v>13903</v>
      </c>
      <c r="M417" s="97">
        <v>26336216.48</v>
      </c>
      <c r="N417" s="64">
        <v>11676</v>
      </c>
      <c r="O417" s="66">
        <v>295703.33999999997</v>
      </c>
      <c r="P417" s="66">
        <v>192626.26</v>
      </c>
    </row>
    <row r="418" spans="2:16" x14ac:dyDescent="0.2">
      <c r="B418" s="72" t="s">
        <v>39</v>
      </c>
      <c r="C418" s="73">
        <v>20260128</v>
      </c>
      <c r="D418" s="52">
        <v>63</v>
      </c>
      <c r="E418" s="63">
        <v>7013</v>
      </c>
      <c r="F418" s="63">
        <v>27394922</v>
      </c>
      <c r="G418" s="64">
        <v>6971</v>
      </c>
      <c r="H418" s="59">
        <v>1181</v>
      </c>
      <c r="I418" s="65">
        <v>2769761.68</v>
      </c>
      <c r="J418" s="53">
        <v>5832</v>
      </c>
      <c r="K418" s="54">
        <v>24625160.32</v>
      </c>
      <c r="L418" s="63">
        <v>13656</v>
      </c>
      <c r="M418" s="97">
        <v>25720366.960000001</v>
      </c>
      <c r="N418" s="64">
        <v>11580</v>
      </c>
      <c r="O418" s="66">
        <v>295421.86</v>
      </c>
      <c r="P418" s="66">
        <v>186904.77000000002</v>
      </c>
    </row>
    <row r="419" spans="2:16" x14ac:dyDescent="0.2">
      <c r="B419" s="72" t="s">
        <v>39</v>
      </c>
      <c r="C419" s="73">
        <v>20260129</v>
      </c>
      <c r="D419" s="52">
        <v>62</v>
      </c>
      <c r="E419" s="63">
        <v>6874</v>
      </c>
      <c r="F419" s="63">
        <v>27214384</v>
      </c>
      <c r="G419" s="64">
        <v>6822</v>
      </c>
      <c r="H419" s="59">
        <v>1187</v>
      </c>
      <c r="I419" s="65">
        <v>2903872.8</v>
      </c>
      <c r="J419" s="53">
        <v>5687</v>
      </c>
      <c r="K419" s="54">
        <v>24310511.199999999</v>
      </c>
      <c r="L419" s="63">
        <v>14080</v>
      </c>
      <c r="M419" s="97">
        <v>27063786.879999999</v>
      </c>
      <c r="N419" s="64">
        <v>11999</v>
      </c>
      <c r="O419" s="66">
        <v>295694.14</v>
      </c>
      <c r="P419" s="66">
        <v>201771.25</v>
      </c>
    </row>
    <row r="420" spans="2:16" x14ac:dyDescent="0.2">
      <c r="B420" s="72" t="s">
        <v>39</v>
      </c>
      <c r="C420" s="73">
        <v>20260130</v>
      </c>
      <c r="D420" s="52">
        <v>61</v>
      </c>
      <c r="E420" s="63">
        <v>7283</v>
      </c>
      <c r="F420" s="63">
        <v>29803127</v>
      </c>
      <c r="G420" s="64">
        <v>7238</v>
      </c>
      <c r="H420" s="59">
        <v>1222</v>
      </c>
      <c r="I420" s="65">
        <v>3029484.66</v>
      </c>
      <c r="J420" s="53">
        <v>6061</v>
      </c>
      <c r="K420" s="54">
        <v>26773642.34</v>
      </c>
      <c r="L420" s="63">
        <v>15251</v>
      </c>
      <c r="M420" s="97">
        <v>31435830.739999998</v>
      </c>
      <c r="N420" s="64">
        <v>13095</v>
      </c>
      <c r="O420" s="66">
        <v>295603.45999999996</v>
      </c>
      <c r="P420" s="66">
        <v>235106.47</v>
      </c>
    </row>
    <row r="421" spans="2:16" x14ac:dyDescent="0.2">
      <c r="B421" s="72" t="s">
        <v>39</v>
      </c>
      <c r="C421" s="73">
        <v>20260131</v>
      </c>
      <c r="D421" s="52">
        <v>60</v>
      </c>
      <c r="E421" s="63">
        <v>7529</v>
      </c>
      <c r="F421" s="63">
        <v>30496638</v>
      </c>
      <c r="G421" s="64">
        <v>7480</v>
      </c>
      <c r="H421" s="59">
        <v>1284</v>
      </c>
      <c r="I421" s="65">
        <v>3384413.07</v>
      </c>
      <c r="J421" s="53">
        <v>6245</v>
      </c>
      <c r="K421" s="54">
        <v>27112224.93</v>
      </c>
      <c r="L421" s="63">
        <v>15474</v>
      </c>
      <c r="M421" s="97">
        <v>30726192.18</v>
      </c>
      <c r="N421" s="64">
        <v>13032</v>
      </c>
      <c r="O421" s="66">
        <v>294973.76</v>
      </c>
      <c r="P421" s="66">
        <v>227418.59</v>
      </c>
    </row>
    <row r="422" spans="2:16" x14ac:dyDescent="0.2">
      <c r="B422" s="72" t="s">
        <v>40</v>
      </c>
      <c r="C422" s="73">
        <v>20260201</v>
      </c>
      <c r="D422" s="52">
        <v>59</v>
      </c>
      <c r="E422" s="63">
        <v>6997</v>
      </c>
      <c r="F422" s="63">
        <v>26354454</v>
      </c>
      <c r="G422" s="64">
        <v>6944</v>
      </c>
      <c r="H422" s="59">
        <v>1179</v>
      </c>
      <c r="I422" s="65">
        <v>2659203.5499999998</v>
      </c>
      <c r="J422" s="53">
        <v>5818</v>
      </c>
      <c r="K422" s="54">
        <v>23695250.449999999</v>
      </c>
      <c r="L422" s="63">
        <v>13464</v>
      </c>
      <c r="M422" s="97">
        <v>25266054.050000001</v>
      </c>
      <c r="N422" s="64">
        <v>11427</v>
      </c>
      <c r="O422" s="66">
        <v>294598.23000000004</v>
      </c>
      <c r="P422" s="66">
        <v>187451.97999999998</v>
      </c>
    </row>
    <row r="423" spans="2:16" x14ac:dyDescent="0.2">
      <c r="B423" s="72" t="s">
        <v>40</v>
      </c>
      <c r="C423" s="73">
        <v>20260202</v>
      </c>
      <c r="D423" s="52">
        <v>58</v>
      </c>
      <c r="E423" s="63">
        <v>8029</v>
      </c>
      <c r="F423" s="63">
        <v>33386988</v>
      </c>
      <c r="G423" s="64">
        <v>7975</v>
      </c>
      <c r="H423" s="59">
        <v>1259</v>
      </c>
      <c r="I423" s="65">
        <v>3370358.96</v>
      </c>
      <c r="J423" s="53">
        <v>6770</v>
      </c>
      <c r="K423" s="54">
        <v>30016629.039999999</v>
      </c>
      <c r="L423" s="63">
        <v>16497</v>
      </c>
      <c r="M423" s="97">
        <v>34210214.030000001</v>
      </c>
      <c r="N423" s="64">
        <v>14089</v>
      </c>
      <c r="O423" s="66">
        <v>294691.71999999997</v>
      </c>
      <c r="P423" s="66">
        <v>255416.46</v>
      </c>
    </row>
    <row r="424" spans="2:16" x14ac:dyDescent="0.2">
      <c r="B424" s="72" t="s">
        <v>40</v>
      </c>
      <c r="C424" s="73">
        <v>20260203</v>
      </c>
      <c r="D424" s="52">
        <v>57</v>
      </c>
      <c r="E424" s="63">
        <v>7583</v>
      </c>
      <c r="F424" s="63">
        <v>30263861</v>
      </c>
      <c r="G424" s="64">
        <v>7529</v>
      </c>
      <c r="H424" s="59">
        <v>1237</v>
      </c>
      <c r="I424" s="65">
        <v>3362503.53</v>
      </c>
      <c r="J424" s="53">
        <v>6346</v>
      </c>
      <c r="K424" s="54">
        <v>26901357.469999999</v>
      </c>
      <c r="L424" s="63">
        <v>16236</v>
      </c>
      <c r="M424" s="97">
        <v>30917631.640000001</v>
      </c>
      <c r="N424" s="64">
        <v>13755</v>
      </c>
      <c r="O424" s="66">
        <v>294380.17</v>
      </c>
      <c r="P424" s="66">
        <v>233291.14999999997</v>
      </c>
    </row>
    <row r="425" spans="2:16" x14ac:dyDescent="0.2">
      <c r="B425" s="72" t="s">
        <v>40</v>
      </c>
      <c r="C425" s="73">
        <v>20260204</v>
      </c>
      <c r="D425" s="52">
        <v>56</v>
      </c>
      <c r="E425" s="63">
        <v>7583</v>
      </c>
      <c r="F425" s="63">
        <v>30389880</v>
      </c>
      <c r="G425" s="64">
        <v>7525</v>
      </c>
      <c r="H425" s="59">
        <v>1179</v>
      </c>
      <c r="I425" s="65">
        <v>3033080.45</v>
      </c>
      <c r="J425" s="53">
        <v>6404</v>
      </c>
      <c r="K425" s="54">
        <v>27356799.550000001</v>
      </c>
      <c r="L425" s="63">
        <v>16147</v>
      </c>
      <c r="M425" s="97">
        <v>31215858.170000002</v>
      </c>
      <c r="N425" s="64">
        <v>13677</v>
      </c>
      <c r="O425" s="66">
        <v>293914.25</v>
      </c>
      <c r="P425" s="66">
        <v>245434.56</v>
      </c>
    </row>
    <row r="426" spans="2:16" x14ac:dyDescent="0.2">
      <c r="B426" s="72" t="s">
        <v>40</v>
      </c>
      <c r="C426" s="73">
        <v>20260205</v>
      </c>
      <c r="D426" s="52">
        <v>55</v>
      </c>
      <c r="E426" s="63">
        <v>8116</v>
      </c>
      <c r="F426" s="63">
        <v>33252612</v>
      </c>
      <c r="G426" s="64">
        <v>8056</v>
      </c>
      <c r="H426" s="59">
        <v>1492</v>
      </c>
      <c r="I426" s="65">
        <v>3863746.14</v>
      </c>
      <c r="J426" s="53">
        <v>6624</v>
      </c>
      <c r="K426" s="54">
        <v>29388865.859999999</v>
      </c>
      <c r="L426" s="63">
        <v>17117</v>
      </c>
      <c r="M426" s="97">
        <v>32941247.59</v>
      </c>
      <c r="N426" s="64">
        <v>14524</v>
      </c>
      <c r="O426" s="66">
        <v>292761.95</v>
      </c>
      <c r="P426" s="66">
        <v>259114.3</v>
      </c>
    </row>
    <row r="427" spans="2:16" x14ac:dyDescent="0.2">
      <c r="B427" s="72" t="s">
        <v>40</v>
      </c>
      <c r="C427" s="73">
        <v>20260206</v>
      </c>
      <c r="D427" s="52">
        <v>54</v>
      </c>
      <c r="E427" s="63">
        <v>7976</v>
      </c>
      <c r="F427" s="63">
        <v>30691243</v>
      </c>
      <c r="G427" s="64">
        <v>7910</v>
      </c>
      <c r="H427" s="59">
        <v>1416</v>
      </c>
      <c r="I427" s="65">
        <v>3623168.55</v>
      </c>
      <c r="J427" s="53">
        <v>6560</v>
      </c>
      <c r="K427" s="54">
        <v>27068074.449999999</v>
      </c>
      <c r="L427" s="63">
        <v>16534</v>
      </c>
      <c r="M427" s="97">
        <v>29922955.899999999</v>
      </c>
      <c r="N427" s="64">
        <v>13760</v>
      </c>
      <c r="O427" s="66">
        <v>283083.19999999995</v>
      </c>
      <c r="P427" s="66">
        <v>229981.18</v>
      </c>
    </row>
    <row r="428" spans="2:16" x14ac:dyDescent="0.2">
      <c r="B428" s="72" t="s">
        <v>40</v>
      </c>
      <c r="C428" s="73">
        <v>20260207</v>
      </c>
      <c r="D428" s="52">
        <v>53</v>
      </c>
      <c r="E428" s="63">
        <v>7785</v>
      </c>
      <c r="F428" s="63">
        <v>29822162</v>
      </c>
      <c r="G428" s="64">
        <v>7732</v>
      </c>
      <c r="H428" s="59">
        <v>1466</v>
      </c>
      <c r="I428" s="65">
        <v>3761932.29</v>
      </c>
      <c r="J428" s="53">
        <v>6319</v>
      </c>
      <c r="K428" s="54">
        <v>26060229.710000001</v>
      </c>
      <c r="L428" s="63">
        <v>14900</v>
      </c>
      <c r="M428" s="97">
        <v>27774390.739999998</v>
      </c>
      <c r="N428" s="64">
        <v>12563</v>
      </c>
      <c r="O428" s="66">
        <v>304348.81</v>
      </c>
      <c r="P428" s="66">
        <v>200022.87</v>
      </c>
    </row>
    <row r="429" spans="2:16" x14ac:dyDescent="0.2">
      <c r="B429" s="72" t="s">
        <v>40</v>
      </c>
      <c r="C429" s="73">
        <v>20260208</v>
      </c>
      <c r="D429" s="52">
        <v>52</v>
      </c>
      <c r="E429" s="63">
        <v>7002</v>
      </c>
      <c r="F429" s="63">
        <v>25319746</v>
      </c>
      <c r="G429" s="64">
        <v>6956</v>
      </c>
      <c r="H429" s="59">
        <v>1345</v>
      </c>
      <c r="I429" s="65">
        <v>3263949.78</v>
      </c>
      <c r="J429" s="53">
        <v>5657</v>
      </c>
      <c r="K429" s="54">
        <v>22055796.219999999</v>
      </c>
      <c r="L429" s="63">
        <v>12581</v>
      </c>
      <c r="M429" s="97">
        <v>20248651.77</v>
      </c>
      <c r="N429" s="64">
        <v>10523</v>
      </c>
      <c r="O429" s="66">
        <v>293459.97000000003</v>
      </c>
      <c r="P429" s="66">
        <v>158591.74</v>
      </c>
    </row>
    <row r="430" spans="2:16" x14ac:dyDescent="0.2">
      <c r="B430" s="72" t="s">
        <v>40</v>
      </c>
      <c r="C430" s="73">
        <v>20260209</v>
      </c>
      <c r="D430" s="52">
        <v>51</v>
      </c>
      <c r="E430" s="63">
        <v>7765</v>
      </c>
      <c r="F430" s="63">
        <v>30723301</v>
      </c>
      <c r="G430" s="64">
        <v>7726</v>
      </c>
      <c r="H430" s="59">
        <v>1402</v>
      </c>
      <c r="I430" s="65">
        <v>3850069.06</v>
      </c>
      <c r="J430" s="53">
        <v>6363</v>
      </c>
      <c r="K430" s="54">
        <v>26873231.940000001</v>
      </c>
      <c r="L430" s="63">
        <v>15237</v>
      </c>
      <c r="M430" s="97">
        <v>27343161.140000001</v>
      </c>
      <c r="N430" s="64">
        <v>12891</v>
      </c>
      <c r="O430" s="66">
        <v>294495.93</v>
      </c>
      <c r="P430" s="66">
        <v>210211.81</v>
      </c>
    </row>
    <row r="431" spans="2:16" x14ac:dyDescent="0.2">
      <c r="B431" s="72" t="s">
        <v>40</v>
      </c>
      <c r="C431" s="73">
        <v>20260210</v>
      </c>
      <c r="D431" s="52">
        <v>50</v>
      </c>
      <c r="E431" s="63">
        <v>7697</v>
      </c>
      <c r="F431" s="63">
        <v>29518808</v>
      </c>
      <c r="G431" s="64">
        <v>7617</v>
      </c>
      <c r="H431" s="59">
        <v>1470</v>
      </c>
      <c r="I431" s="65">
        <v>3715415.96</v>
      </c>
      <c r="J431" s="53">
        <v>6227</v>
      </c>
      <c r="K431" s="54">
        <v>25803392.039999999</v>
      </c>
      <c r="L431" s="63">
        <v>14587</v>
      </c>
      <c r="M431" s="97">
        <v>24897677.079999998</v>
      </c>
      <c r="N431" s="64">
        <v>12212</v>
      </c>
      <c r="O431" s="66">
        <v>295074.57999999996</v>
      </c>
      <c r="P431" s="66">
        <v>179945.63</v>
      </c>
    </row>
    <row r="432" spans="2:16" x14ac:dyDescent="0.2">
      <c r="B432" s="72" t="s">
        <v>40</v>
      </c>
      <c r="C432" s="73">
        <v>20260211</v>
      </c>
      <c r="D432" s="52">
        <v>49</v>
      </c>
      <c r="E432" s="63">
        <v>6864</v>
      </c>
      <c r="F432" s="63">
        <v>26115264</v>
      </c>
      <c r="G432" s="64">
        <v>6803</v>
      </c>
      <c r="H432" s="59">
        <v>1411</v>
      </c>
      <c r="I432" s="65">
        <v>3584963.05</v>
      </c>
      <c r="J432" s="53">
        <v>5453</v>
      </c>
      <c r="K432" s="54">
        <v>22530300.949999999</v>
      </c>
      <c r="L432" s="63">
        <v>14270</v>
      </c>
      <c r="M432" s="97">
        <v>23682163.850000001</v>
      </c>
      <c r="N432" s="64">
        <v>11937</v>
      </c>
      <c r="O432" s="66">
        <v>295965.39</v>
      </c>
      <c r="P432" s="66">
        <v>185053.16999999998</v>
      </c>
    </row>
    <row r="433" spans="2:16" x14ac:dyDescent="0.2">
      <c r="B433" s="72" t="s">
        <v>40</v>
      </c>
      <c r="C433" s="73">
        <v>20260212</v>
      </c>
      <c r="D433" s="52">
        <v>48</v>
      </c>
      <c r="E433" s="63">
        <v>6422</v>
      </c>
      <c r="F433" s="63">
        <v>23932912</v>
      </c>
      <c r="G433" s="64">
        <v>6362</v>
      </c>
      <c r="H433" s="59">
        <v>1298</v>
      </c>
      <c r="I433" s="65">
        <v>3192350.98</v>
      </c>
      <c r="J433" s="53">
        <v>5124</v>
      </c>
      <c r="K433" s="54">
        <v>20740561.02</v>
      </c>
      <c r="L433" s="63">
        <v>13629</v>
      </c>
      <c r="M433" s="97">
        <v>22633862.300000001</v>
      </c>
      <c r="N433" s="64">
        <v>11340</v>
      </c>
      <c r="O433" s="66">
        <v>296325.58</v>
      </c>
      <c r="P433" s="66">
        <v>170141.41</v>
      </c>
    </row>
    <row r="434" spans="2:16" x14ac:dyDescent="0.2">
      <c r="B434" s="72" t="s">
        <v>40</v>
      </c>
      <c r="C434" s="73">
        <v>20260213</v>
      </c>
      <c r="D434" s="52">
        <v>47</v>
      </c>
      <c r="E434" s="63">
        <v>6551</v>
      </c>
      <c r="F434" s="63">
        <v>23817532</v>
      </c>
      <c r="G434" s="64">
        <v>6516</v>
      </c>
      <c r="H434" s="59">
        <v>1309</v>
      </c>
      <c r="I434" s="65">
        <v>3341439.94</v>
      </c>
      <c r="J434" s="53">
        <v>5242</v>
      </c>
      <c r="K434" s="54">
        <v>20476092.059999999</v>
      </c>
      <c r="L434" s="63">
        <v>13290</v>
      </c>
      <c r="M434" s="97">
        <v>21441366.57</v>
      </c>
      <c r="N434" s="64">
        <v>11026</v>
      </c>
      <c r="O434" s="66">
        <v>296304.15000000002</v>
      </c>
      <c r="P434" s="66">
        <v>159251.54999999999</v>
      </c>
    </row>
    <row r="435" spans="2:16" x14ac:dyDescent="0.2">
      <c r="B435" s="72" t="s">
        <v>40</v>
      </c>
      <c r="C435" s="73">
        <v>20260214</v>
      </c>
      <c r="D435" s="52">
        <v>46</v>
      </c>
      <c r="E435" s="63">
        <v>6672</v>
      </c>
      <c r="F435" s="63">
        <v>25260397</v>
      </c>
      <c r="G435" s="64">
        <v>6628</v>
      </c>
      <c r="H435" s="59">
        <v>1334</v>
      </c>
      <c r="I435" s="65">
        <v>3520023.5</v>
      </c>
      <c r="J435" s="53">
        <v>5338</v>
      </c>
      <c r="K435" s="54">
        <v>21740373.5</v>
      </c>
      <c r="L435" s="63">
        <v>12880</v>
      </c>
      <c r="M435" s="97">
        <v>21409999.84</v>
      </c>
      <c r="N435" s="64">
        <v>10644</v>
      </c>
      <c r="O435" s="66">
        <v>296558.57</v>
      </c>
      <c r="P435" s="66">
        <v>159163.47</v>
      </c>
    </row>
    <row r="436" spans="2:16" x14ac:dyDescent="0.2">
      <c r="B436" s="72" t="s">
        <v>40</v>
      </c>
      <c r="C436" s="73">
        <v>20260215</v>
      </c>
      <c r="D436" s="52">
        <v>45</v>
      </c>
      <c r="E436" s="63">
        <v>5804</v>
      </c>
      <c r="F436" s="63">
        <v>19718328</v>
      </c>
      <c r="G436" s="64">
        <v>5765</v>
      </c>
      <c r="H436" s="59">
        <v>1172</v>
      </c>
      <c r="I436" s="65">
        <v>2904086.58</v>
      </c>
      <c r="J436" s="53">
        <v>4632</v>
      </c>
      <c r="K436" s="54">
        <v>16814241.420000002</v>
      </c>
      <c r="L436" s="63">
        <v>11113</v>
      </c>
      <c r="M436" s="97">
        <v>17386285.16</v>
      </c>
      <c r="N436" s="64">
        <v>9289</v>
      </c>
      <c r="O436" s="66">
        <v>297179.78000000003</v>
      </c>
      <c r="P436" s="66">
        <v>127907.15999999999</v>
      </c>
    </row>
    <row r="437" spans="2:16" x14ac:dyDescent="0.2">
      <c r="B437" s="72" t="s">
        <v>40</v>
      </c>
      <c r="C437" s="73">
        <v>20260216</v>
      </c>
      <c r="D437" s="52">
        <v>44</v>
      </c>
      <c r="E437" s="63">
        <v>6465</v>
      </c>
      <c r="F437" s="63">
        <v>24837543</v>
      </c>
      <c r="G437" s="64">
        <v>6431</v>
      </c>
      <c r="H437" s="59">
        <v>1319</v>
      </c>
      <c r="I437" s="65">
        <v>3552785.12</v>
      </c>
      <c r="J437" s="53">
        <v>5146</v>
      </c>
      <c r="K437" s="54">
        <v>21284757.879999999</v>
      </c>
      <c r="L437" s="63">
        <v>13351</v>
      </c>
      <c r="M437" s="97">
        <v>22314965.190000001</v>
      </c>
      <c r="N437" s="64">
        <v>11224</v>
      </c>
      <c r="O437" s="66">
        <v>297547.86</v>
      </c>
      <c r="P437" s="66">
        <v>167362.28999999998</v>
      </c>
    </row>
    <row r="438" spans="2:16" x14ac:dyDescent="0.2">
      <c r="B438" s="72" t="s">
        <v>40</v>
      </c>
      <c r="C438" s="73">
        <v>20260217</v>
      </c>
      <c r="D438" s="52">
        <v>43</v>
      </c>
      <c r="E438" s="63">
        <v>5959</v>
      </c>
      <c r="F438" s="63">
        <v>22288653</v>
      </c>
      <c r="G438" s="64">
        <v>5931</v>
      </c>
      <c r="H438" s="59">
        <v>1270</v>
      </c>
      <c r="I438" s="65">
        <v>3110094.6</v>
      </c>
      <c r="J438" s="53">
        <v>4689</v>
      </c>
      <c r="K438" s="54">
        <v>19178558.399999999</v>
      </c>
      <c r="L438" s="63">
        <v>13217</v>
      </c>
      <c r="M438" s="97">
        <v>21492476.309999999</v>
      </c>
      <c r="N438" s="64">
        <v>11090</v>
      </c>
      <c r="O438" s="66">
        <v>297941.11</v>
      </c>
      <c r="P438" s="66">
        <v>166639.36000000002</v>
      </c>
    </row>
    <row r="439" spans="2:16" x14ac:dyDescent="0.2">
      <c r="B439" s="72" t="s">
        <v>40</v>
      </c>
      <c r="C439" s="73">
        <v>20260218</v>
      </c>
      <c r="D439" s="52">
        <v>42</v>
      </c>
      <c r="E439" s="63">
        <v>5704</v>
      </c>
      <c r="F439" s="63">
        <v>21523843</v>
      </c>
      <c r="G439" s="64">
        <v>5674</v>
      </c>
      <c r="H439" s="59">
        <v>1244</v>
      </c>
      <c r="I439" s="65">
        <v>3437572.55</v>
      </c>
      <c r="J439" s="53">
        <v>4460</v>
      </c>
      <c r="K439" s="54">
        <v>18086270.449999999</v>
      </c>
      <c r="L439" s="63">
        <v>12803</v>
      </c>
      <c r="M439" s="97">
        <v>20672656.960000001</v>
      </c>
      <c r="N439" s="64">
        <v>10740</v>
      </c>
      <c r="O439" s="66">
        <v>297922.61</v>
      </c>
      <c r="P439" s="66">
        <v>150165.35</v>
      </c>
    </row>
    <row r="440" spans="2:16" x14ac:dyDescent="0.2">
      <c r="B440" s="72" t="s">
        <v>40</v>
      </c>
      <c r="C440" s="73">
        <v>20260219</v>
      </c>
      <c r="D440" s="52">
        <v>41</v>
      </c>
      <c r="E440" s="63">
        <v>5734</v>
      </c>
      <c r="F440" s="63">
        <v>21610481</v>
      </c>
      <c r="G440" s="64">
        <v>5696</v>
      </c>
      <c r="H440" s="59">
        <v>1265</v>
      </c>
      <c r="I440" s="65">
        <v>3357954.74</v>
      </c>
      <c r="J440" s="53">
        <v>4469</v>
      </c>
      <c r="K440" s="54">
        <v>18252526.259999998</v>
      </c>
      <c r="L440" s="63">
        <v>12992</v>
      </c>
      <c r="M440" s="97">
        <v>21890614.539999999</v>
      </c>
      <c r="N440" s="64">
        <v>10923</v>
      </c>
      <c r="O440" s="66">
        <v>297913.78000000003</v>
      </c>
      <c r="P440" s="66">
        <v>159464.43</v>
      </c>
    </row>
    <row r="441" spans="2:16" x14ac:dyDescent="0.2">
      <c r="B441" s="72" t="s">
        <v>40</v>
      </c>
      <c r="C441" s="73">
        <v>20260220</v>
      </c>
      <c r="D441" s="52">
        <v>40</v>
      </c>
      <c r="E441" s="63">
        <v>6150</v>
      </c>
      <c r="F441" s="63">
        <v>24134115</v>
      </c>
      <c r="G441" s="64">
        <v>6110</v>
      </c>
      <c r="H441" s="59">
        <v>1360</v>
      </c>
      <c r="I441" s="65">
        <v>3497389.71</v>
      </c>
      <c r="J441" s="53">
        <v>4790</v>
      </c>
      <c r="K441" s="54">
        <v>20636725.289999999</v>
      </c>
      <c r="L441" s="63">
        <v>13691</v>
      </c>
      <c r="M441" s="97">
        <v>26262338.510000002</v>
      </c>
      <c r="N441" s="64">
        <v>11623</v>
      </c>
      <c r="O441" s="66">
        <v>297770.18</v>
      </c>
      <c r="P441" s="66">
        <v>195508.51</v>
      </c>
    </row>
    <row r="442" spans="2:16" x14ac:dyDescent="0.2">
      <c r="B442" s="72" t="s">
        <v>40</v>
      </c>
      <c r="C442" s="73">
        <v>20260221</v>
      </c>
      <c r="D442" s="52">
        <v>39</v>
      </c>
      <c r="E442" s="63">
        <v>6212</v>
      </c>
      <c r="F442" s="63">
        <v>23933656</v>
      </c>
      <c r="G442" s="64">
        <v>6168</v>
      </c>
      <c r="H442" s="59">
        <v>1386</v>
      </c>
      <c r="I442" s="65">
        <v>4236154.3499999996</v>
      </c>
      <c r="J442" s="53">
        <v>4826</v>
      </c>
      <c r="K442" s="54">
        <v>19697501.649999999</v>
      </c>
      <c r="L442" s="63">
        <v>12754</v>
      </c>
      <c r="M442" s="97">
        <v>22852005.890000001</v>
      </c>
      <c r="N442" s="64">
        <v>10731</v>
      </c>
      <c r="O442" s="66">
        <v>297198.24</v>
      </c>
      <c r="P442" s="66">
        <v>164327.59999999998</v>
      </c>
    </row>
    <row r="443" spans="2:16" x14ac:dyDescent="0.2">
      <c r="B443" s="72" t="s">
        <v>40</v>
      </c>
      <c r="C443" s="73">
        <v>20260222</v>
      </c>
      <c r="D443" s="52">
        <v>38</v>
      </c>
      <c r="E443" s="63">
        <v>5318</v>
      </c>
      <c r="F443" s="63">
        <v>18590806</v>
      </c>
      <c r="G443" s="64">
        <v>5264</v>
      </c>
      <c r="H443" s="59">
        <v>1180</v>
      </c>
      <c r="I443" s="65">
        <v>2909212.43</v>
      </c>
      <c r="J443" s="53">
        <v>4138</v>
      </c>
      <c r="K443" s="54">
        <v>15681593.57</v>
      </c>
      <c r="L443" s="63">
        <v>10680</v>
      </c>
      <c r="M443" s="97">
        <v>17457605.210000001</v>
      </c>
      <c r="N443" s="64">
        <v>9024</v>
      </c>
      <c r="O443" s="66">
        <v>297372.31999999995</v>
      </c>
      <c r="P443" s="66">
        <v>120697.43999999999</v>
      </c>
    </row>
    <row r="444" spans="2:16" x14ac:dyDescent="0.2">
      <c r="B444" s="72" t="s">
        <v>40</v>
      </c>
      <c r="C444" s="73">
        <v>20260223</v>
      </c>
      <c r="D444" s="52">
        <v>37</v>
      </c>
      <c r="E444" s="63">
        <v>7709</v>
      </c>
      <c r="F444" s="63">
        <v>28023917</v>
      </c>
      <c r="G444" s="64">
        <v>7676</v>
      </c>
      <c r="H444" s="59">
        <v>2169</v>
      </c>
      <c r="I444" s="65">
        <v>5224351.4800000004</v>
      </c>
      <c r="J444" s="53">
        <v>5540</v>
      </c>
      <c r="K444" s="54">
        <v>22799565.52</v>
      </c>
      <c r="L444" s="63">
        <v>14442</v>
      </c>
      <c r="M444" s="97">
        <v>27601876.100000001</v>
      </c>
      <c r="N444" s="64">
        <v>12470</v>
      </c>
      <c r="O444" s="66">
        <v>297559.18</v>
      </c>
      <c r="P444" s="66">
        <v>233189.35</v>
      </c>
    </row>
    <row r="445" spans="2:16" x14ac:dyDescent="0.2">
      <c r="B445" s="72" t="s">
        <v>40</v>
      </c>
      <c r="C445" s="73">
        <v>20260224</v>
      </c>
      <c r="D445" s="52">
        <v>36</v>
      </c>
      <c r="E445" s="63">
        <v>7222</v>
      </c>
      <c r="F445" s="63">
        <v>27534660</v>
      </c>
      <c r="G445" s="64">
        <v>7193</v>
      </c>
      <c r="H445" s="59">
        <v>1930</v>
      </c>
      <c r="I445" s="65">
        <v>5060203.97</v>
      </c>
      <c r="J445" s="53">
        <v>5292</v>
      </c>
      <c r="K445" s="54">
        <v>22474456.030000001</v>
      </c>
      <c r="L445" s="63">
        <v>13727</v>
      </c>
      <c r="M445" s="97">
        <v>25987204.600000001</v>
      </c>
      <c r="N445" s="64">
        <v>11580</v>
      </c>
      <c r="O445" s="66">
        <v>297495.09999999998</v>
      </c>
      <c r="P445" s="66">
        <v>194038.44</v>
      </c>
    </row>
    <row r="446" spans="2:16" x14ac:dyDescent="0.2">
      <c r="B446" s="72" t="s">
        <v>40</v>
      </c>
      <c r="C446" s="73">
        <v>20260225</v>
      </c>
      <c r="D446" s="52">
        <v>35</v>
      </c>
      <c r="E446" s="63">
        <v>6554</v>
      </c>
      <c r="F446" s="63">
        <v>26710515</v>
      </c>
      <c r="G446" s="64">
        <v>6524</v>
      </c>
      <c r="H446" s="59">
        <v>1720</v>
      </c>
      <c r="I446" s="65">
        <v>4935009.58</v>
      </c>
      <c r="J446" s="53">
        <v>4834</v>
      </c>
      <c r="K446" s="54">
        <v>21775505.420000002</v>
      </c>
      <c r="L446" s="63">
        <v>13824</v>
      </c>
      <c r="M446" s="97">
        <v>26490367.32</v>
      </c>
      <c r="N446" s="64">
        <v>11754</v>
      </c>
      <c r="O446" s="66">
        <v>297598.24</v>
      </c>
      <c r="P446" s="66">
        <v>186426.49</v>
      </c>
    </row>
    <row r="447" spans="2:16" x14ac:dyDescent="0.2">
      <c r="B447" s="72" t="s">
        <v>40</v>
      </c>
      <c r="C447" s="73">
        <v>20260226</v>
      </c>
      <c r="D447" s="52">
        <v>34</v>
      </c>
      <c r="E447" s="63">
        <v>6338</v>
      </c>
      <c r="F447" s="63">
        <v>25266145</v>
      </c>
      <c r="G447" s="64">
        <v>6297</v>
      </c>
      <c r="H447" s="59">
        <v>1793</v>
      </c>
      <c r="I447" s="65">
        <v>5244498.18</v>
      </c>
      <c r="J447" s="53">
        <v>4545</v>
      </c>
      <c r="K447" s="54">
        <v>20021646.82</v>
      </c>
      <c r="L447" s="63">
        <v>13916</v>
      </c>
      <c r="M447" s="97">
        <v>27567793.460000001</v>
      </c>
      <c r="N447" s="64">
        <v>11803</v>
      </c>
      <c r="O447" s="66">
        <v>297577.68000000005</v>
      </c>
      <c r="P447" s="66">
        <v>208062.75</v>
      </c>
    </row>
    <row r="448" spans="2:16" x14ac:dyDescent="0.2">
      <c r="B448" s="72" t="s">
        <v>40</v>
      </c>
      <c r="C448" s="73">
        <v>20260227</v>
      </c>
      <c r="D448" s="52">
        <v>33</v>
      </c>
      <c r="E448" s="63">
        <v>6785</v>
      </c>
      <c r="F448" s="63">
        <v>28504655</v>
      </c>
      <c r="G448" s="64">
        <v>6752</v>
      </c>
      <c r="H448" s="59">
        <v>1892</v>
      </c>
      <c r="I448" s="65">
        <v>5940528.8600000003</v>
      </c>
      <c r="J448" s="53">
        <v>4893</v>
      </c>
      <c r="K448" s="54">
        <v>22564126.140000001</v>
      </c>
      <c r="L448" s="63">
        <v>14833</v>
      </c>
      <c r="M448" s="97">
        <v>32662270.73</v>
      </c>
      <c r="N448" s="64">
        <v>12746</v>
      </c>
      <c r="O448" s="66">
        <v>296947.99</v>
      </c>
      <c r="P448" s="66">
        <v>229185.62</v>
      </c>
    </row>
    <row r="449" spans="2:16" x14ac:dyDescent="0.2">
      <c r="B449" s="72" t="s">
        <v>40</v>
      </c>
      <c r="C449" s="73">
        <v>20260228</v>
      </c>
      <c r="D449" s="52">
        <v>32</v>
      </c>
      <c r="E449" s="63">
        <v>7372</v>
      </c>
      <c r="F449" s="63">
        <v>30696218</v>
      </c>
      <c r="G449" s="64">
        <v>7336</v>
      </c>
      <c r="H449" s="59">
        <v>2296</v>
      </c>
      <c r="I449" s="65">
        <v>7424295.9500000002</v>
      </c>
      <c r="J449" s="53">
        <v>5076</v>
      </c>
      <c r="K449" s="54">
        <v>23271922.050000001</v>
      </c>
      <c r="L449" s="63">
        <v>15148</v>
      </c>
      <c r="M449" s="97">
        <v>33000718.629999999</v>
      </c>
      <c r="N449" s="64">
        <v>12903</v>
      </c>
      <c r="O449" s="66">
        <v>295808.3</v>
      </c>
      <c r="P449" s="66">
        <v>230502.7</v>
      </c>
    </row>
    <row r="450" spans="2:16" x14ac:dyDescent="0.2">
      <c r="B450" s="72" t="s">
        <v>41</v>
      </c>
      <c r="C450" s="73">
        <v>20260301</v>
      </c>
      <c r="D450" s="52">
        <v>31</v>
      </c>
      <c r="E450" s="63">
        <v>6888</v>
      </c>
      <c r="F450" s="63">
        <v>27617310</v>
      </c>
      <c r="G450" s="64">
        <v>6853</v>
      </c>
      <c r="H450" s="59">
        <v>2332</v>
      </c>
      <c r="I450" s="65">
        <v>7895128.1500000004</v>
      </c>
      <c r="J450" s="53">
        <v>4556</v>
      </c>
      <c r="K450" s="54">
        <v>19722181.850000001</v>
      </c>
      <c r="L450" s="63">
        <v>13407</v>
      </c>
      <c r="M450" s="97">
        <v>26982540.859999999</v>
      </c>
      <c r="N450" s="64">
        <v>11383</v>
      </c>
      <c r="O450" s="66">
        <v>294997.34999999998</v>
      </c>
      <c r="P450" s="66">
        <v>189194.91999999998</v>
      </c>
    </row>
    <row r="451" spans="2:16" x14ac:dyDescent="0.2">
      <c r="B451" s="72" t="s">
        <v>41</v>
      </c>
      <c r="C451" s="73">
        <v>20260302</v>
      </c>
      <c r="D451" s="52">
        <v>30</v>
      </c>
      <c r="E451" s="63">
        <v>8068</v>
      </c>
      <c r="F451" s="63">
        <v>34678878</v>
      </c>
      <c r="G451" s="64">
        <v>8033</v>
      </c>
      <c r="H451" s="59">
        <v>3350</v>
      </c>
      <c r="I451" s="65">
        <v>13659001.699999999</v>
      </c>
      <c r="J451" s="53">
        <v>4718</v>
      </c>
      <c r="K451" s="54">
        <v>21019876.300000001</v>
      </c>
      <c r="L451" s="63">
        <v>16231</v>
      </c>
      <c r="M451" s="97">
        <v>35146725.740000002</v>
      </c>
      <c r="N451" s="64">
        <v>13980</v>
      </c>
      <c r="O451" s="66">
        <v>294931.90000000002</v>
      </c>
      <c r="P451" s="66">
        <v>246728.28</v>
      </c>
    </row>
    <row r="452" spans="2:16" x14ac:dyDescent="0.2">
      <c r="B452" s="72" t="s">
        <v>41</v>
      </c>
      <c r="C452" s="73">
        <v>20260303</v>
      </c>
      <c r="D452" s="52">
        <v>29</v>
      </c>
      <c r="E452" s="63">
        <v>7847</v>
      </c>
      <c r="F452" s="63">
        <v>33748401</v>
      </c>
      <c r="G452" s="64">
        <v>7805</v>
      </c>
      <c r="H452" s="59">
        <v>4100</v>
      </c>
      <c r="I452" s="65">
        <v>17393966.07</v>
      </c>
      <c r="J452" s="53">
        <v>3747</v>
      </c>
      <c r="K452" s="54">
        <v>16354434.93</v>
      </c>
      <c r="L452" s="63">
        <v>16507</v>
      </c>
      <c r="M452" s="97">
        <v>34973019.590000004</v>
      </c>
      <c r="N452" s="64">
        <v>14068</v>
      </c>
      <c r="O452" s="66">
        <v>294646.25</v>
      </c>
      <c r="P452" s="66">
        <v>248430.94</v>
      </c>
    </row>
    <row r="453" spans="2:16" x14ac:dyDescent="0.2">
      <c r="B453" s="72" t="s">
        <v>41</v>
      </c>
      <c r="C453" s="73">
        <v>20260304</v>
      </c>
      <c r="D453" s="52">
        <v>28</v>
      </c>
      <c r="E453" s="63">
        <v>7397</v>
      </c>
      <c r="F453" s="63">
        <v>30480956</v>
      </c>
      <c r="G453" s="64">
        <v>7372</v>
      </c>
      <c r="H453" s="59">
        <v>4333</v>
      </c>
      <c r="I453" s="65">
        <v>17702788.09</v>
      </c>
      <c r="J453" s="53">
        <v>3064</v>
      </c>
      <c r="K453" s="54">
        <v>12778167.91</v>
      </c>
      <c r="L453" s="63">
        <v>15571</v>
      </c>
      <c r="M453" s="97">
        <v>31504301.710000001</v>
      </c>
      <c r="N453" s="64">
        <v>13475</v>
      </c>
      <c r="O453" s="66">
        <v>293874.28000000003</v>
      </c>
      <c r="P453" s="66">
        <v>228057.53999999998</v>
      </c>
    </row>
    <row r="454" spans="2:16" x14ac:dyDescent="0.2">
      <c r="B454" s="72" t="s">
        <v>41</v>
      </c>
      <c r="C454" s="73">
        <v>20260305</v>
      </c>
      <c r="D454" s="52">
        <v>27</v>
      </c>
      <c r="E454" s="63">
        <v>7974</v>
      </c>
      <c r="F454" s="63">
        <v>32785196</v>
      </c>
      <c r="G454" s="64">
        <v>7919</v>
      </c>
      <c r="H454" s="59">
        <v>4817</v>
      </c>
      <c r="I454" s="65">
        <v>19826743.460000001</v>
      </c>
      <c r="J454" s="53">
        <v>3157</v>
      </c>
      <c r="K454" s="54">
        <v>12958452.539999999</v>
      </c>
      <c r="L454" s="63">
        <v>16800</v>
      </c>
      <c r="M454" s="97">
        <v>33308040.32</v>
      </c>
      <c r="N454" s="64">
        <v>14214</v>
      </c>
      <c r="O454" s="66">
        <v>293345.95999999996</v>
      </c>
      <c r="P454" s="66">
        <v>257949.35</v>
      </c>
    </row>
    <row r="455" spans="2:16" x14ac:dyDescent="0.2">
      <c r="B455" s="72" t="s">
        <v>41</v>
      </c>
      <c r="C455" s="73">
        <v>20260306</v>
      </c>
      <c r="D455" s="52">
        <v>26</v>
      </c>
      <c r="E455" s="63">
        <v>7764</v>
      </c>
      <c r="F455" s="63">
        <v>31681714</v>
      </c>
      <c r="G455" s="64">
        <v>7712</v>
      </c>
      <c r="H455" s="59">
        <v>4822</v>
      </c>
      <c r="I455" s="65">
        <v>19880657.809999999</v>
      </c>
      <c r="J455" s="53">
        <v>2942</v>
      </c>
      <c r="K455" s="54">
        <v>11801056.190000001</v>
      </c>
      <c r="L455" s="63">
        <v>16088</v>
      </c>
      <c r="M455" s="97">
        <v>32181899.649999999</v>
      </c>
      <c r="N455" s="64">
        <v>13660</v>
      </c>
      <c r="O455" s="66">
        <v>292402.51</v>
      </c>
      <c r="P455" s="66">
        <v>253588.61000000002</v>
      </c>
    </row>
    <row r="456" spans="2:16" x14ac:dyDescent="0.2">
      <c r="B456" s="72" t="s">
        <v>41</v>
      </c>
      <c r="C456" s="73">
        <v>20260307</v>
      </c>
      <c r="D456" s="52">
        <v>25</v>
      </c>
      <c r="E456" s="63">
        <v>7369</v>
      </c>
      <c r="F456" s="63">
        <v>29211640</v>
      </c>
      <c r="G456" s="64">
        <v>7330</v>
      </c>
      <c r="H456" s="59">
        <v>4619</v>
      </c>
      <c r="I456" s="65">
        <v>18619771.02</v>
      </c>
      <c r="J456" s="53">
        <v>2750</v>
      </c>
      <c r="K456" s="54">
        <v>10591868.98</v>
      </c>
      <c r="L456" s="63">
        <v>14156</v>
      </c>
      <c r="M456" s="97">
        <v>27666578.829999998</v>
      </c>
      <c r="N456" s="64">
        <v>12200</v>
      </c>
      <c r="O456" s="66">
        <v>291918.21999999997</v>
      </c>
      <c r="P456" s="66">
        <v>210090.62</v>
      </c>
    </row>
    <row r="457" spans="2:16" x14ac:dyDescent="0.2">
      <c r="B457" s="72" t="s">
        <v>41</v>
      </c>
      <c r="C457" s="73">
        <v>20260308</v>
      </c>
      <c r="D457" s="52">
        <v>24</v>
      </c>
      <c r="E457" s="63">
        <v>6763</v>
      </c>
      <c r="F457" s="63">
        <v>24524465</v>
      </c>
      <c r="G457" s="64">
        <v>6731</v>
      </c>
      <c r="H457" s="59">
        <v>4263</v>
      </c>
      <c r="I457" s="65">
        <v>15812988.4</v>
      </c>
      <c r="J457" s="53">
        <v>2500</v>
      </c>
      <c r="K457" s="54">
        <v>8711476.5999999996</v>
      </c>
      <c r="L457" s="63">
        <v>12551</v>
      </c>
      <c r="M457" s="97">
        <v>21339934.640000001</v>
      </c>
      <c r="N457" s="64">
        <v>10577</v>
      </c>
      <c r="O457" s="66">
        <v>291872.06</v>
      </c>
      <c r="P457" s="66">
        <v>164716.67000000001</v>
      </c>
    </row>
    <row r="458" spans="2:16" x14ac:dyDescent="0.2">
      <c r="B458" s="72" t="s">
        <v>41</v>
      </c>
      <c r="C458" s="73">
        <v>20260309</v>
      </c>
      <c r="D458" s="52">
        <v>23</v>
      </c>
      <c r="E458" s="63">
        <v>7335</v>
      </c>
      <c r="F458" s="63">
        <v>30457240</v>
      </c>
      <c r="G458" s="64">
        <v>7290</v>
      </c>
      <c r="H458" s="59">
        <v>4804</v>
      </c>
      <c r="I458" s="65">
        <v>20373543.739999998</v>
      </c>
      <c r="J458" s="53">
        <v>2531</v>
      </c>
      <c r="K458" s="54">
        <v>10083696.260000002</v>
      </c>
      <c r="L458" s="63">
        <v>14005</v>
      </c>
      <c r="M458" s="97">
        <v>26553699.989999998</v>
      </c>
      <c r="N458" s="64">
        <v>11911</v>
      </c>
      <c r="O458" s="66">
        <v>292375.45</v>
      </c>
      <c r="P458" s="66">
        <v>193662.72</v>
      </c>
    </row>
    <row r="459" spans="2:16" x14ac:dyDescent="0.2">
      <c r="B459" s="72" t="s">
        <v>41</v>
      </c>
      <c r="C459" s="73">
        <v>20260310</v>
      </c>
      <c r="D459" s="52">
        <v>22</v>
      </c>
      <c r="E459" s="63">
        <v>6471</v>
      </c>
      <c r="F459" s="63">
        <v>26441053</v>
      </c>
      <c r="G459" s="64">
        <v>6437</v>
      </c>
      <c r="H459" s="59">
        <v>4284</v>
      </c>
      <c r="I459" s="65">
        <v>17812320.98</v>
      </c>
      <c r="J459" s="53">
        <v>2187</v>
      </c>
      <c r="K459" s="54">
        <v>8628732.0199999996</v>
      </c>
      <c r="L459" s="63">
        <v>13237</v>
      </c>
      <c r="M459" s="97">
        <v>24183810.629999999</v>
      </c>
      <c r="N459" s="64">
        <v>11299</v>
      </c>
      <c r="O459" s="66">
        <v>293050.39</v>
      </c>
      <c r="P459" s="66">
        <v>184421.41</v>
      </c>
    </row>
    <row r="460" spans="2:16" x14ac:dyDescent="0.2">
      <c r="B460" s="72" t="s">
        <v>41</v>
      </c>
      <c r="C460" s="73">
        <v>20260311</v>
      </c>
      <c r="D460" s="52">
        <v>21</v>
      </c>
      <c r="E460" s="63">
        <v>5940</v>
      </c>
      <c r="F460" s="63">
        <v>23779501</v>
      </c>
      <c r="G460" s="64">
        <v>5917</v>
      </c>
      <c r="H460" s="59">
        <v>3984</v>
      </c>
      <c r="I460" s="65">
        <v>16383906.359999999</v>
      </c>
      <c r="J460" s="53">
        <v>1956</v>
      </c>
      <c r="K460" s="54">
        <v>7395594.6400000006</v>
      </c>
      <c r="L460" s="63">
        <v>12609</v>
      </c>
      <c r="M460" s="97">
        <v>23042775.18</v>
      </c>
      <c r="N460" s="64">
        <v>10866</v>
      </c>
      <c r="O460" s="66">
        <v>293148.99</v>
      </c>
      <c r="P460" s="66">
        <v>176491.67</v>
      </c>
    </row>
    <row r="461" spans="2:16" x14ac:dyDescent="0.2">
      <c r="B461" s="72" t="s">
        <v>41</v>
      </c>
      <c r="C461" s="73">
        <v>20260312</v>
      </c>
      <c r="D461" s="52">
        <v>20</v>
      </c>
      <c r="E461" s="63">
        <v>5861</v>
      </c>
      <c r="F461" s="63">
        <v>23503848</v>
      </c>
      <c r="G461" s="64">
        <v>5833</v>
      </c>
      <c r="H461" s="59">
        <v>3911</v>
      </c>
      <c r="I461" s="65">
        <v>16189322.939999999</v>
      </c>
      <c r="J461" s="53">
        <v>1950</v>
      </c>
      <c r="K461" s="54">
        <v>7314525.0600000005</v>
      </c>
      <c r="L461" s="63">
        <v>12632</v>
      </c>
      <c r="M461" s="97">
        <v>22214163.050000001</v>
      </c>
      <c r="N461" s="64">
        <v>10695</v>
      </c>
      <c r="O461" s="66">
        <v>293116.12</v>
      </c>
      <c r="P461" s="66">
        <v>168634.6</v>
      </c>
    </row>
    <row r="462" spans="2:16" x14ac:dyDescent="0.2">
      <c r="B462" s="72" t="s">
        <v>41</v>
      </c>
      <c r="C462" s="73">
        <v>20260313</v>
      </c>
      <c r="D462" s="52">
        <v>19</v>
      </c>
      <c r="E462" s="63">
        <v>6394</v>
      </c>
      <c r="F462" s="63">
        <v>25744102</v>
      </c>
      <c r="G462" s="64">
        <v>6365</v>
      </c>
      <c r="H462" s="59">
        <v>4375</v>
      </c>
      <c r="I462" s="65">
        <v>18102612.48</v>
      </c>
      <c r="J462" s="53">
        <v>2019</v>
      </c>
      <c r="K462" s="54">
        <v>7641489.5199999996</v>
      </c>
      <c r="L462" s="63">
        <v>13155</v>
      </c>
      <c r="M462" s="97">
        <v>23286616.960000001</v>
      </c>
      <c r="N462" s="64">
        <v>11145</v>
      </c>
      <c r="O462" s="66">
        <v>293192.02999999997</v>
      </c>
      <c r="P462" s="66">
        <v>184775.06</v>
      </c>
    </row>
    <row r="463" spans="2:16" x14ac:dyDescent="0.2">
      <c r="B463" s="72" t="s">
        <v>41</v>
      </c>
      <c r="C463" s="73">
        <v>20260314</v>
      </c>
      <c r="D463" s="52">
        <v>18</v>
      </c>
      <c r="E463" s="63">
        <v>6076</v>
      </c>
      <c r="F463" s="63">
        <v>23671838</v>
      </c>
      <c r="G463" s="64">
        <v>6051</v>
      </c>
      <c r="H463" s="59">
        <v>4159</v>
      </c>
      <c r="I463" s="65">
        <v>16488729.460000001</v>
      </c>
      <c r="J463" s="53">
        <v>1917</v>
      </c>
      <c r="K463" s="54">
        <v>7183108.5399999991</v>
      </c>
      <c r="L463" s="63">
        <v>11976</v>
      </c>
      <c r="M463" s="97">
        <v>20788384.559999999</v>
      </c>
      <c r="N463" s="64">
        <v>10058</v>
      </c>
      <c r="O463" s="66">
        <v>293549.01</v>
      </c>
      <c r="P463" s="66">
        <v>155152.37</v>
      </c>
    </row>
    <row r="464" spans="2:16" x14ac:dyDescent="0.2">
      <c r="B464" s="72" t="s">
        <v>41</v>
      </c>
      <c r="C464" s="73">
        <v>20260315</v>
      </c>
      <c r="D464" s="52">
        <v>17</v>
      </c>
      <c r="E464" s="63">
        <v>5390</v>
      </c>
      <c r="F464" s="63">
        <v>19297770</v>
      </c>
      <c r="G464" s="64">
        <v>5364</v>
      </c>
      <c r="H464" s="59">
        <v>3728</v>
      </c>
      <c r="I464" s="65">
        <v>13753106.02</v>
      </c>
      <c r="J464" s="53">
        <v>1662</v>
      </c>
      <c r="K464" s="54">
        <v>5544663.9800000004</v>
      </c>
      <c r="L464" s="63">
        <v>11002</v>
      </c>
      <c r="M464" s="97">
        <v>16973917.420000002</v>
      </c>
      <c r="N464" s="64">
        <v>9153</v>
      </c>
      <c r="O464" s="66">
        <v>294010.57</v>
      </c>
      <c r="P464" s="66">
        <v>131772.32</v>
      </c>
    </row>
    <row r="465" spans="2:16" x14ac:dyDescent="0.2">
      <c r="B465" s="72" t="s">
        <v>41</v>
      </c>
      <c r="C465" s="73">
        <v>20260316</v>
      </c>
      <c r="D465" s="52">
        <v>16</v>
      </c>
      <c r="E465" s="63">
        <v>6089</v>
      </c>
      <c r="F465" s="63">
        <v>24992015</v>
      </c>
      <c r="G465" s="64">
        <v>6048</v>
      </c>
      <c r="H465" s="59">
        <v>4388</v>
      </c>
      <c r="I465" s="65">
        <v>18627165.43</v>
      </c>
      <c r="J465" s="53">
        <v>1701</v>
      </c>
      <c r="K465" s="54">
        <v>6364849.5700000003</v>
      </c>
      <c r="L465" s="63">
        <v>13111</v>
      </c>
      <c r="M465" s="97">
        <v>23575885.289999999</v>
      </c>
      <c r="N465" s="64">
        <v>11110</v>
      </c>
      <c r="O465" s="66">
        <v>294432.59999999998</v>
      </c>
      <c r="P465" s="66">
        <v>173610.46</v>
      </c>
    </row>
    <row r="466" spans="2:16" x14ac:dyDescent="0.2">
      <c r="B466" s="72" t="s">
        <v>41</v>
      </c>
      <c r="C466" s="73">
        <v>20260317</v>
      </c>
      <c r="D466" s="52">
        <v>15</v>
      </c>
      <c r="E466" s="63">
        <v>4016</v>
      </c>
      <c r="F466" s="63">
        <v>15601190</v>
      </c>
      <c r="G466" s="64">
        <v>4003</v>
      </c>
      <c r="H466" s="59">
        <v>3034</v>
      </c>
      <c r="I466" s="65">
        <v>11817816.9</v>
      </c>
      <c r="J466" s="53">
        <v>982</v>
      </c>
      <c r="K466" s="54">
        <v>3783373.0999999996</v>
      </c>
      <c r="L466" s="63">
        <v>14319</v>
      </c>
      <c r="M466" s="97">
        <v>23739082.030000001</v>
      </c>
      <c r="N466" s="64">
        <v>12296</v>
      </c>
      <c r="O466" s="66">
        <v>294563.31000000006</v>
      </c>
      <c r="P466" s="66">
        <v>213119.78</v>
      </c>
    </row>
    <row r="467" spans="2:16" x14ac:dyDescent="0.2">
      <c r="B467" s="72" t="s">
        <v>41</v>
      </c>
      <c r="C467" s="73">
        <v>20260318</v>
      </c>
      <c r="D467" s="52">
        <v>14</v>
      </c>
      <c r="E467" s="63">
        <v>7373</v>
      </c>
      <c r="F467" s="63">
        <v>28673359</v>
      </c>
      <c r="G467" s="64">
        <v>7333</v>
      </c>
      <c r="H467" s="59">
        <v>5780</v>
      </c>
      <c r="I467" s="65">
        <v>22934544.620000001</v>
      </c>
      <c r="J467" s="53">
        <v>1593</v>
      </c>
      <c r="K467" s="54">
        <v>5738814.379999999</v>
      </c>
      <c r="L467" s="63">
        <v>12690</v>
      </c>
      <c r="M467" s="97">
        <v>21793434.620000001</v>
      </c>
      <c r="N467" s="64">
        <v>10680</v>
      </c>
      <c r="O467" s="66">
        <v>292585.81</v>
      </c>
      <c r="P467" s="66">
        <v>172821.39</v>
      </c>
    </row>
    <row r="468" spans="2:16" x14ac:dyDescent="0.2">
      <c r="B468" s="72" t="s">
        <v>41</v>
      </c>
      <c r="C468" s="73">
        <v>20260319</v>
      </c>
      <c r="D468" s="52">
        <v>13</v>
      </c>
      <c r="E468" s="63">
        <v>5755</v>
      </c>
      <c r="F468" s="63">
        <v>21990934</v>
      </c>
      <c r="G468" s="64">
        <v>5731</v>
      </c>
      <c r="H468" s="59">
        <v>4556</v>
      </c>
      <c r="I468" s="65">
        <v>17608516.989999998</v>
      </c>
      <c r="J468" s="53">
        <v>1199</v>
      </c>
      <c r="K468" s="54">
        <v>4382417.0100000016</v>
      </c>
      <c r="L468" s="63">
        <v>12717</v>
      </c>
      <c r="M468" s="97">
        <v>22121476.25</v>
      </c>
      <c r="N468" s="64">
        <v>10849</v>
      </c>
      <c r="O468" s="66">
        <v>293896.3</v>
      </c>
      <c r="P468" s="66">
        <v>162944.23000000001</v>
      </c>
    </row>
    <row r="469" spans="2:16" x14ac:dyDescent="0.2">
      <c r="B469" s="72" t="s">
        <v>41</v>
      </c>
      <c r="C469" s="73">
        <v>20260320</v>
      </c>
      <c r="D469" s="52">
        <v>12</v>
      </c>
      <c r="E469" s="63">
        <v>5700</v>
      </c>
      <c r="F469" s="63">
        <v>22627893</v>
      </c>
      <c r="G469" s="64">
        <v>5673</v>
      </c>
      <c r="H469" s="59">
        <v>4705</v>
      </c>
      <c r="I469" s="65">
        <v>18947026.52</v>
      </c>
      <c r="J469" s="53">
        <v>995</v>
      </c>
      <c r="K469" s="54">
        <v>3680866.4800000004</v>
      </c>
      <c r="L469" s="63">
        <v>12531</v>
      </c>
      <c r="M469" s="97">
        <v>22763491.780000001</v>
      </c>
      <c r="N469" s="64">
        <v>10642</v>
      </c>
      <c r="O469" s="66">
        <v>293594.78000000003</v>
      </c>
      <c r="P469" s="66">
        <v>159944</v>
      </c>
    </row>
    <row r="470" spans="2:16" x14ac:dyDescent="0.2">
      <c r="B470" s="72" t="s">
        <v>41</v>
      </c>
      <c r="C470" s="73">
        <v>20260321</v>
      </c>
      <c r="D470" s="52">
        <v>11</v>
      </c>
      <c r="E470" s="63">
        <v>5764</v>
      </c>
      <c r="F470" s="63">
        <v>22803045</v>
      </c>
      <c r="G470" s="64">
        <v>5741</v>
      </c>
      <c r="H470" s="59">
        <v>4871</v>
      </c>
      <c r="I470" s="65">
        <v>19698165.420000002</v>
      </c>
      <c r="J470" s="53">
        <v>893</v>
      </c>
      <c r="K470" s="54">
        <v>3104879.5799999982</v>
      </c>
      <c r="L470" s="63">
        <v>12070</v>
      </c>
      <c r="M470" s="97">
        <v>21993365.07</v>
      </c>
      <c r="N470" s="64">
        <v>10271</v>
      </c>
      <c r="O470" s="66">
        <v>293402.78000000003</v>
      </c>
      <c r="P470" s="66">
        <v>152887.90999999997</v>
      </c>
    </row>
    <row r="471" spans="2:16" x14ac:dyDescent="0.2">
      <c r="B471" s="72" t="s">
        <v>41</v>
      </c>
      <c r="C471" s="73">
        <v>20260322</v>
      </c>
      <c r="D471" s="52">
        <v>10</v>
      </c>
      <c r="E471" s="63">
        <v>5041</v>
      </c>
      <c r="F471" s="63">
        <v>19015096</v>
      </c>
      <c r="G471" s="64">
        <v>5022</v>
      </c>
      <c r="H471" s="59">
        <v>4222</v>
      </c>
      <c r="I471" s="65">
        <v>16347185.710000001</v>
      </c>
      <c r="J471" s="53">
        <v>819</v>
      </c>
      <c r="K471" s="54">
        <v>2667910.2899999991</v>
      </c>
      <c r="L471" s="63">
        <v>10355</v>
      </c>
      <c r="M471" s="97">
        <v>17683690.289999999</v>
      </c>
      <c r="N471" s="64">
        <v>8790</v>
      </c>
      <c r="O471" s="66">
        <v>293340.66000000003</v>
      </c>
      <c r="P471" s="66">
        <v>128072.11</v>
      </c>
    </row>
    <row r="472" spans="2:16" x14ac:dyDescent="0.2">
      <c r="B472" s="72" t="s">
        <v>41</v>
      </c>
      <c r="C472" s="73">
        <v>20260323</v>
      </c>
      <c r="D472" s="52">
        <v>9</v>
      </c>
      <c r="E472" s="63">
        <v>5337</v>
      </c>
      <c r="F472" s="63">
        <v>21847239</v>
      </c>
      <c r="G472" s="64">
        <v>5321</v>
      </c>
      <c r="H472" s="59">
        <v>4592</v>
      </c>
      <c r="I472" s="65">
        <v>19216989.260000002</v>
      </c>
      <c r="J472" s="53">
        <v>745</v>
      </c>
      <c r="K472" s="54">
        <v>2630249.7399999984</v>
      </c>
      <c r="L472" s="63">
        <v>12456</v>
      </c>
      <c r="M472" s="97">
        <v>23447565.43</v>
      </c>
      <c r="N472" s="64">
        <v>10578</v>
      </c>
      <c r="O472" s="66">
        <v>293495.45</v>
      </c>
      <c r="P472" s="66">
        <v>169350.7</v>
      </c>
    </row>
    <row r="473" spans="2:16" x14ac:dyDescent="0.2">
      <c r="B473" s="72" t="s">
        <v>41</v>
      </c>
      <c r="C473" s="73">
        <v>20260324</v>
      </c>
      <c r="D473" s="52">
        <v>8</v>
      </c>
      <c r="E473" s="63">
        <v>5541</v>
      </c>
      <c r="F473" s="63">
        <v>23273971</v>
      </c>
      <c r="G473" s="64">
        <v>5511</v>
      </c>
      <c r="H473" s="59">
        <v>4843</v>
      </c>
      <c r="I473" s="65">
        <v>20877103.789999999</v>
      </c>
      <c r="J473" s="53">
        <v>698</v>
      </c>
      <c r="K473" s="54">
        <v>2396867.2100000009</v>
      </c>
      <c r="L473" s="63">
        <v>12252</v>
      </c>
      <c r="M473" s="97">
        <v>23033092.859999999</v>
      </c>
      <c r="N473" s="64">
        <v>10423</v>
      </c>
      <c r="O473" s="66">
        <v>292989.55</v>
      </c>
      <c r="P473" s="66">
        <v>164924.14000000001</v>
      </c>
    </row>
    <row r="474" spans="2:16" x14ac:dyDescent="0.2">
      <c r="B474" s="72" t="s">
        <v>41</v>
      </c>
      <c r="C474" s="73">
        <v>20260325</v>
      </c>
      <c r="D474" s="52">
        <v>7</v>
      </c>
      <c r="E474" s="63">
        <v>5265</v>
      </c>
      <c r="F474" s="63">
        <v>22861842</v>
      </c>
      <c r="G474" s="64">
        <v>5238</v>
      </c>
      <c r="H474" s="59">
        <v>4700</v>
      </c>
      <c r="I474" s="65">
        <v>20834842.66</v>
      </c>
      <c r="J474" s="53">
        <v>565</v>
      </c>
      <c r="K474" s="54">
        <v>2026999.3399999999</v>
      </c>
      <c r="L474" s="63">
        <v>12951</v>
      </c>
      <c r="M474" s="97">
        <v>26139527.039999999</v>
      </c>
      <c r="N474" s="64">
        <v>11144</v>
      </c>
      <c r="O474" s="66">
        <v>292647.29000000004</v>
      </c>
      <c r="P474" s="66">
        <v>191963.57</v>
      </c>
    </row>
    <row r="475" spans="2:16" x14ac:dyDescent="0.2">
      <c r="B475" s="72" t="s">
        <v>41</v>
      </c>
      <c r="C475" s="73">
        <v>20260326</v>
      </c>
      <c r="D475" s="52">
        <v>6</v>
      </c>
      <c r="E475" s="63">
        <v>5630</v>
      </c>
      <c r="F475" s="63">
        <v>24436468</v>
      </c>
      <c r="G475" s="64">
        <v>5590</v>
      </c>
      <c r="H475" s="59">
        <v>5102</v>
      </c>
      <c r="I475" s="65">
        <v>22591489.079999998</v>
      </c>
      <c r="J475" s="53">
        <v>528</v>
      </c>
      <c r="K475" s="54">
        <v>1844978.9200000018</v>
      </c>
      <c r="L475" s="63">
        <v>13407</v>
      </c>
      <c r="M475" s="97">
        <v>27989517.469999999</v>
      </c>
      <c r="N475" s="64">
        <v>11504</v>
      </c>
      <c r="O475" s="66">
        <v>291895.33</v>
      </c>
      <c r="P475" s="66">
        <v>207165.47999999998</v>
      </c>
    </row>
    <row r="476" spans="2:16" x14ac:dyDescent="0.2">
      <c r="B476" s="72" t="s">
        <v>41</v>
      </c>
      <c r="C476" s="73">
        <v>20260327</v>
      </c>
      <c r="D476" s="52">
        <v>5</v>
      </c>
      <c r="E476" s="63">
        <v>5754</v>
      </c>
      <c r="F476" s="63">
        <v>25495167</v>
      </c>
      <c r="G476" s="64">
        <v>5723</v>
      </c>
      <c r="H476" s="59">
        <v>5314</v>
      </c>
      <c r="I476" s="65">
        <v>23862602.379999999</v>
      </c>
      <c r="J476" s="53">
        <v>440</v>
      </c>
      <c r="K476" s="54">
        <v>1632564.620000001</v>
      </c>
      <c r="L476" s="63">
        <v>13148</v>
      </c>
      <c r="M476" s="97">
        <v>27641293.289999999</v>
      </c>
      <c r="N476" s="64">
        <v>11226</v>
      </c>
      <c r="O476" s="66">
        <v>290915.34999999998</v>
      </c>
      <c r="P476" s="66">
        <v>197891.08999999997</v>
      </c>
    </row>
    <row r="477" spans="2:16" x14ac:dyDescent="0.2">
      <c r="B477" s="72" t="s">
        <v>41</v>
      </c>
      <c r="C477" s="73">
        <v>20260328</v>
      </c>
      <c r="D477" s="52">
        <v>4</v>
      </c>
      <c r="E477" s="63">
        <v>5674</v>
      </c>
      <c r="F477" s="63">
        <v>24072581</v>
      </c>
      <c r="G477" s="64">
        <v>5645</v>
      </c>
      <c r="H477" s="59">
        <v>5314</v>
      </c>
      <c r="I477" s="65">
        <v>22851433.629999999</v>
      </c>
      <c r="J477" s="53">
        <v>360</v>
      </c>
      <c r="K477" s="54">
        <v>1221147.370000001</v>
      </c>
      <c r="L477" s="63">
        <v>12593</v>
      </c>
      <c r="M477" s="97">
        <v>24430625.100000001</v>
      </c>
      <c r="N477" s="64">
        <v>10651</v>
      </c>
      <c r="O477" s="66">
        <v>290224.27999999997</v>
      </c>
      <c r="P477" s="66">
        <v>175615.06</v>
      </c>
    </row>
    <row r="478" spans="2:16" x14ac:dyDescent="0.2">
      <c r="B478" s="72" t="s">
        <v>41</v>
      </c>
      <c r="C478" s="73">
        <v>20260329</v>
      </c>
      <c r="D478" s="52">
        <v>3</v>
      </c>
      <c r="E478" s="63">
        <v>5042</v>
      </c>
      <c r="F478" s="63">
        <v>19323586</v>
      </c>
      <c r="G478" s="64">
        <v>5011</v>
      </c>
      <c r="H478" s="59">
        <v>4760</v>
      </c>
      <c r="I478" s="65">
        <v>18479258.91</v>
      </c>
      <c r="J478" s="53">
        <v>282</v>
      </c>
      <c r="K478" s="54">
        <v>844327.08999999985</v>
      </c>
      <c r="L478" s="63">
        <v>10560</v>
      </c>
      <c r="M478" s="97">
        <v>18710921.18</v>
      </c>
      <c r="N478" s="64">
        <v>8927</v>
      </c>
      <c r="O478" s="66">
        <v>290068.58999999997</v>
      </c>
      <c r="P478" s="66">
        <v>141097.15</v>
      </c>
    </row>
    <row r="479" spans="2:16" x14ac:dyDescent="0.2">
      <c r="B479" s="72" t="s">
        <v>41</v>
      </c>
      <c r="C479" s="73">
        <v>20260330</v>
      </c>
      <c r="D479" s="52">
        <v>2</v>
      </c>
      <c r="E479" s="63">
        <v>6117</v>
      </c>
      <c r="F479" s="63">
        <v>26481613</v>
      </c>
      <c r="G479" s="64">
        <v>6094</v>
      </c>
      <c r="H479" s="59">
        <v>5940</v>
      </c>
      <c r="I479" s="65">
        <v>25855707.449999999</v>
      </c>
      <c r="J479" s="53">
        <v>177</v>
      </c>
      <c r="K479" s="54">
        <v>625905.55000000075</v>
      </c>
      <c r="L479" s="63">
        <v>13545</v>
      </c>
      <c r="M479" s="97">
        <v>27927366.73</v>
      </c>
      <c r="N479" s="64">
        <v>11618</v>
      </c>
      <c r="O479" s="66">
        <v>289911.42000000004</v>
      </c>
      <c r="P479" s="66">
        <v>197629.87</v>
      </c>
    </row>
    <row r="480" spans="2:16" x14ac:dyDescent="0.2">
      <c r="B480" s="72" t="s">
        <v>41</v>
      </c>
      <c r="C480" s="73">
        <v>20260331</v>
      </c>
      <c r="D480" s="52">
        <v>1</v>
      </c>
      <c r="E480" s="63">
        <v>6121</v>
      </c>
      <c r="F480" s="63">
        <v>26947370</v>
      </c>
      <c r="G480" s="64">
        <v>6095</v>
      </c>
      <c r="H480" s="59">
        <v>6037</v>
      </c>
      <c r="I480" s="65">
        <v>26645204.289999999</v>
      </c>
      <c r="J480" s="53">
        <v>84</v>
      </c>
      <c r="K480" s="54">
        <v>302165.71000000089</v>
      </c>
      <c r="L480" s="63">
        <v>14620</v>
      </c>
      <c r="M480" s="97">
        <v>31677256.84</v>
      </c>
      <c r="N480" s="64">
        <v>12626</v>
      </c>
      <c r="O480" s="66">
        <v>295808.3</v>
      </c>
      <c r="P480" s="66">
        <v>230502.7</v>
      </c>
    </row>
  </sheetData>
  <mergeCells count="6">
    <mergeCell ref="O3:P3"/>
    <mergeCell ref="C3:D3"/>
    <mergeCell ref="E3:G3"/>
    <mergeCell ref="H3:I3"/>
    <mergeCell ref="J3:K3"/>
    <mergeCell ref="L3:N3"/>
  </mergeCells>
  <pageMargins left="0.7" right="0.7" top="0.75" bottom="0.75" header="0.3" footer="0.3"/>
  <headerFooter>
    <oddFooter>&amp;R_x000D_&amp;1#&amp;"Aptos"&amp;10&amp;K000000 C2 - Safaricom Internal</oddFooter>
  </headerFooter>
  <ignoredErrors>
    <ignoredError sqref="B5:B4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Summary</vt:lpstr>
      <vt:lpstr>Daily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Faithmaria Mongina Oguta</dc:creator>
  <cp:lastModifiedBy>ADMIN</cp:lastModifiedBy>
  <dcterms:created xsi:type="dcterms:W3CDTF">2026-04-13T14:00:07Z</dcterms:created>
  <dcterms:modified xsi:type="dcterms:W3CDTF">2026-05-07T10:07:44Z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26a360-01f4-41de-a997-796697102599_Enabled">
    <vt:lpwstr>true</vt:lpwstr>
  </property>
  <property fmtid="{D5CDD505-2E9C-101B-9397-08002B2CF9AE}" pid="3" name="MSIP_Label_6926a360-01f4-41de-a997-796697102599_SetDate">
    <vt:lpwstr>2026-04-13T14:01:12Z</vt:lpwstr>
  </property>
  <property fmtid="{D5CDD505-2E9C-101B-9397-08002B2CF9AE}" pid="4" name="MSIP_Label_6926a360-01f4-41de-a997-796697102599_Method">
    <vt:lpwstr>Standard</vt:lpwstr>
  </property>
  <property fmtid="{D5CDD505-2E9C-101B-9397-08002B2CF9AE}" pid="5" name="MSIP_Label_6926a360-01f4-41de-a997-796697102599_Name">
    <vt:lpwstr>6926a360-01f4-41de-a997-796697102599</vt:lpwstr>
  </property>
  <property fmtid="{D5CDD505-2E9C-101B-9397-08002B2CF9AE}" pid="6" name="MSIP_Label_6926a360-01f4-41de-a997-796697102599_SiteId">
    <vt:lpwstr>19a4db07-607d-475f-a518-0e3b699ac7d0</vt:lpwstr>
  </property>
  <property fmtid="{D5CDD505-2E9C-101B-9397-08002B2CF9AE}" pid="7" name="MSIP_Label_6926a360-01f4-41de-a997-796697102599_ActionId">
    <vt:lpwstr>1ad5ea81-667e-4913-97f6-1516949a042a</vt:lpwstr>
  </property>
  <property fmtid="{D5CDD505-2E9C-101B-9397-08002B2CF9AE}" pid="8" name="MSIP_Label_6926a360-01f4-41de-a997-796697102599_ContentBits">
    <vt:lpwstr>2</vt:lpwstr>
  </property>
  <property fmtid="{D5CDD505-2E9C-101B-9397-08002B2CF9AE}" pid="9" name="MSIP_Label_6926a360-01f4-41de-a997-796697102599_Tag">
    <vt:lpwstr>10, 3, 0, 1</vt:lpwstr>
  </property>
</Properties>
</file>