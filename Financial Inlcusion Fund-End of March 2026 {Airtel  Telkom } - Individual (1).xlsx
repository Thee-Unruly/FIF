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SM\"/>
    </mc:Choice>
  </mc:AlternateContent>
  <xr:revisionPtr revIDLastSave="0" documentId="13_ncr:1_{F329443C-B93E-4695-84CB-A4FE0BA50CB1}" xr6:coauthVersionLast="47" xr6:coauthVersionMax="47" xr10:uidLastSave="{00000000-0000-0000-0000-000000000000}"/>
  <workbookProtection workbookAlgorithmName="SHA-512" workbookHashValue="fMOVN4x/VGAlkJlFBsdw+2MX8qMTuSg27djTwghyLC0b64WCXNeizbsuRtewq0xnRvjLV/k6P6I1ne9XWfkoaQ==" workbookSaltValue="fZ0bab0KzuCv0d1vZoFGjQ==" workbookSpinCount="100000" lockStructure="1"/>
  <bookViews>
    <workbookView xWindow="-120" yWindow="-120" windowWidth="29040" windowHeight="15720" tabRatio="882" xr2:uid="{E9E3884B-8EE3-426A-983B-8E4AE023C946}"/>
  </bookViews>
  <sheets>
    <sheet name="Monthly Summary (Airtel)" sheetId="10" r:id="rId1"/>
    <sheet name="Monthly Summary (Telkom)" sheetId="8" r:id="rId2"/>
    <sheet name="Daily Summary(Telkom)" sheetId="7" r:id="rId3"/>
    <sheet name="Daily Summary(Airtel)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03" i="11" l="1"/>
  <c r="W1164" i="11"/>
  <c r="X1197" i="11"/>
  <c r="N1224" i="11"/>
  <c r="G1097" i="7"/>
  <c r="G858" i="7"/>
  <c r="G584" i="7"/>
  <c r="G403" i="7"/>
  <c r="N645" i="11" l="1"/>
  <c r="L645" i="11"/>
  <c r="G980" i="11"/>
  <c r="G158" i="11"/>
  <c r="G37" i="11"/>
  <c r="R1193" i="11"/>
  <c r="R1194" i="11"/>
  <c r="R1195" i="11"/>
  <c r="R1196" i="11"/>
  <c r="R1197" i="11"/>
  <c r="R1198" i="11"/>
  <c r="R1199" i="11"/>
  <c r="R1200" i="11"/>
  <c r="R1201" i="11"/>
  <c r="R1202" i="11"/>
  <c r="R1203" i="11"/>
  <c r="R1204" i="11"/>
  <c r="R1205" i="11"/>
  <c r="R1206" i="11"/>
  <c r="R1207" i="11"/>
  <c r="R1208" i="11"/>
  <c r="R1209" i="11"/>
  <c r="R1210" i="11"/>
  <c r="R1211" i="11"/>
  <c r="R1212" i="11"/>
  <c r="R1213" i="11"/>
  <c r="R1214" i="11"/>
  <c r="R1215" i="11"/>
  <c r="R1216" i="11"/>
  <c r="R1217" i="11"/>
  <c r="R1218" i="11"/>
  <c r="R1219" i="11"/>
  <c r="R1220" i="11"/>
  <c r="R1221" i="11"/>
  <c r="R1222" i="11"/>
  <c r="R1223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191" i="11"/>
  <c r="D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4" i="11"/>
  <c r="D4" i="11"/>
  <c r="R4" i="11"/>
  <c r="B5" i="11"/>
  <c r="D5" i="11"/>
  <c r="R5" i="11"/>
  <c r="B6" i="11"/>
  <c r="D6" i="11"/>
  <c r="R6" i="11"/>
  <c r="B7" i="11"/>
  <c r="D7" i="11"/>
  <c r="R7" i="11"/>
  <c r="B8" i="11"/>
  <c r="D8" i="11"/>
  <c r="R8" i="11"/>
  <c r="B9" i="11"/>
  <c r="D9" i="11"/>
  <c r="R9" i="11"/>
  <c r="B10" i="11"/>
  <c r="D10" i="11"/>
  <c r="R10" i="11"/>
  <c r="B11" i="11"/>
  <c r="D11" i="11"/>
  <c r="R11" i="11"/>
  <c r="B12" i="11"/>
  <c r="D12" i="11"/>
  <c r="R12" i="11"/>
  <c r="B13" i="11"/>
  <c r="D13" i="11"/>
  <c r="R13" i="11"/>
  <c r="B14" i="11"/>
  <c r="D14" i="11"/>
  <c r="R14" i="11"/>
  <c r="B15" i="11"/>
  <c r="D15" i="11"/>
  <c r="R15" i="11"/>
  <c r="B16" i="11"/>
  <c r="D16" i="11"/>
  <c r="R16" i="11"/>
  <c r="B17" i="11"/>
  <c r="D17" i="11"/>
  <c r="R17" i="11"/>
  <c r="B18" i="11"/>
  <c r="D18" i="11"/>
  <c r="R18" i="11"/>
  <c r="B19" i="11"/>
  <c r="D19" i="11"/>
  <c r="R19" i="11"/>
  <c r="B20" i="11"/>
  <c r="D20" i="11"/>
  <c r="R20" i="11"/>
  <c r="B21" i="11"/>
  <c r="D21" i="11"/>
  <c r="R21" i="11"/>
  <c r="B22" i="11"/>
  <c r="D22" i="11"/>
  <c r="R22" i="11"/>
  <c r="B23" i="11"/>
  <c r="D23" i="11"/>
  <c r="R23" i="11"/>
  <c r="B24" i="11"/>
  <c r="D24" i="11"/>
  <c r="R24" i="11"/>
  <c r="B25" i="11"/>
  <c r="D25" i="11"/>
  <c r="R25" i="11"/>
  <c r="B26" i="11"/>
  <c r="D26" i="11"/>
  <c r="R26" i="11"/>
  <c r="B27" i="11"/>
  <c r="D27" i="11"/>
  <c r="R27" i="11"/>
  <c r="B28" i="11"/>
  <c r="D28" i="11"/>
  <c r="R28" i="11"/>
  <c r="B29" i="11"/>
  <c r="D29" i="11"/>
  <c r="R29" i="11"/>
  <c r="B30" i="11"/>
  <c r="D30" i="11"/>
  <c r="R30" i="11"/>
  <c r="B31" i="11"/>
  <c r="D31" i="11"/>
  <c r="R31" i="11"/>
  <c r="B32" i="11"/>
  <c r="D32" i="11"/>
  <c r="R32" i="11"/>
  <c r="B33" i="11"/>
  <c r="D33" i="11"/>
  <c r="R33" i="11"/>
  <c r="B34" i="11"/>
  <c r="D34" i="11"/>
  <c r="R34" i="11"/>
  <c r="B35" i="11"/>
  <c r="D35" i="11"/>
  <c r="R35" i="11"/>
  <c r="B36" i="11"/>
  <c r="D36" i="11"/>
  <c r="R36" i="11"/>
  <c r="B38" i="11"/>
  <c r="D38" i="11"/>
  <c r="R38" i="11"/>
  <c r="B39" i="11"/>
  <c r="D39" i="11"/>
  <c r="R39" i="11"/>
  <c r="B40" i="11"/>
  <c r="D40" i="11"/>
  <c r="R40" i="11"/>
  <c r="B41" i="11"/>
  <c r="D41" i="11"/>
  <c r="R41" i="11"/>
  <c r="B42" i="11"/>
  <c r="D42" i="11"/>
  <c r="R42" i="11"/>
  <c r="B43" i="11"/>
  <c r="D43" i="11"/>
  <c r="R43" i="11"/>
  <c r="B44" i="11"/>
  <c r="D44" i="11"/>
  <c r="R44" i="11"/>
  <c r="B45" i="11"/>
  <c r="D45" i="11"/>
  <c r="R45" i="11"/>
  <c r="B46" i="11"/>
  <c r="D46" i="11"/>
  <c r="R46" i="11"/>
  <c r="B47" i="11"/>
  <c r="D47" i="11"/>
  <c r="R47" i="11"/>
  <c r="B48" i="11"/>
  <c r="D48" i="11"/>
  <c r="R48" i="11"/>
  <c r="B49" i="11"/>
  <c r="D49" i="11"/>
  <c r="R49" i="11"/>
  <c r="B50" i="11"/>
  <c r="D50" i="11"/>
  <c r="R50" i="11"/>
  <c r="B51" i="11"/>
  <c r="D51" i="11"/>
  <c r="R51" i="11"/>
  <c r="B52" i="11"/>
  <c r="D52" i="11"/>
  <c r="R52" i="11"/>
  <c r="B53" i="11"/>
  <c r="D53" i="11"/>
  <c r="R53" i="11"/>
  <c r="B54" i="11"/>
  <c r="D54" i="11"/>
  <c r="R54" i="11"/>
  <c r="B55" i="11"/>
  <c r="D55" i="11"/>
  <c r="R55" i="11"/>
  <c r="B56" i="11"/>
  <c r="D56" i="11"/>
  <c r="R56" i="11"/>
  <c r="B57" i="11"/>
  <c r="D57" i="11"/>
  <c r="R57" i="11"/>
  <c r="B58" i="11"/>
  <c r="D58" i="11"/>
  <c r="R58" i="11"/>
  <c r="B59" i="11"/>
  <c r="D59" i="11"/>
  <c r="R59" i="11"/>
  <c r="B60" i="11"/>
  <c r="D60" i="11"/>
  <c r="R60" i="11"/>
  <c r="B61" i="11"/>
  <c r="D61" i="11"/>
  <c r="R61" i="11"/>
  <c r="B62" i="11"/>
  <c r="D62" i="11"/>
  <c r="R62" i="11"/>
  <c r="B63" i="11"/>
  <c r="D63" i="11"/>
  <c r="R63" i="11"/>
  <c r="B64" i="11"/>
  <c r="D64" i="11"/>
  <c r="R64" i="11"/>
  <c r="B65" i="11"/>
  <c r="D65" i="11"/>
  <c r="R65" i="11"/>
  <c r="B66" i="11"/>
  <c r="D66" i="11"/>
  <c r="R66" i="11"/>
  <c r="B67" i="11"/>
  <c r="D67" i="11"/>
  <c r="R67" i="11"/>
  <c r="B68" i="11"/>
  <c r="D68" i="11"/>
  <c r="R68" i="11"/>
  <c r="B69" i="11"/>
  <c r="D69" i="11"/>
  <c r="R69" i="11"/>
  <c r="B70" i="11"/>
  <c r="D70" i="11"/>
  <c r="R70" i="11"/>
  <c r="B71" i="11"/>
  <c r="D71" i="11"/>
  <c r="R71" i="11"/>
  <c r="B72" i="11"/>
  <c r="D72" i="11"/>
  <c r="R72" i="11"/>
  <c r="B73" i="11"/>
  <c r="D73" i="11"/>
  <c r="R73" i="11"/>
  <c r="B74" i="11"/>
  <c r="D74" i="11"/>
  <c r="R74" i="11"/>
  <c r="B75" i="11"/>
  <c r="D75" i="11"/>
  <c r="R75" i="11"/>
  <c r="B76" i="11"/>
  <c r="D76" i="11"/>
  <c r="R76" i="11"/>
  <c r="B77" i="11"/>
  <c r="D77" i="11"/>
  <c r="R77" i="11"/>
  <c r="B78" i="11"/>
  <c r="D78" i="11"/>
  <c r="R78" i="11"/>
  <c r="B79" i="11"/>
  <c r="D79" i="11"/>
  <c r="R79" i="11"/>
  <c r="B80" i="11"/>
  <c r="D80" i="11"/>
  <c r="R80" i="11"/>
  <c r="B81" i="11"/>
  <c r="D81" i="11"/>
  <c r="R81" i="11"/>
  <c r="B82" i="11"/>
  <c r="D82" i="11"/>
  <c r="R82" i="11"/>
  <c r="B83" i="11"/>
  <c r="D83" i="11"/>
  <c r="R83" i="11"/>
  <c r="B84" i="11"/>
  <c r="D84" i="11"/>
  <c r="R84" i="11"/>
  <c r="B85" i="11"/>
  <c r="D85" i="11"/>
  <c r="R85" i="11"/>
  <c r="B86" i="11"/>
  <c r="D86" i="11"/>
  <c r="R86" i="11"/>
  <c r="B87" i="11"/>
  <c r="D87" i="11"/>
  <c r="R87" i="11"/>
  <c r="B88" i="11"/>
  <c r="D88" i="11"/>
  <c r="R88" i="11"/>
  <c r="B89" i="11"/>
  <c r="D89" i="11"/>
  <c r="R89" i="11"/>
  <c r="B90" i="11"/>
  <c r="D90" i="11"/>
  <c r="R90" i="11"/>
  <c r="B91" i="11"/>
  <c r="D91" i="11"/>
  <c r="R91" i="11"/>
  <c r="B92" i="11"/>
  <c r="D92" i="11"/>
  <c r="R92" i="11"/>
  <c r="B93" i="11"/>
  <c r="D93" i="11"/>
  <c r="R93" i="11"/>
  <c r="B94" i="11"/>
  <c r="D94" i="11"/>
  <c r="R94" i="11"/>
  <c r="B95" i="11"/>
  <c r="D95" i="11"/>
  <c r="R95" i="11"/>
  <c r="B96" i="11"/>
  <c r="D96" i="11"/>
  <c r="R96" i="11"/>
  <c r="B97" i="11"/>
  <c r="D97" i="11"/>
  <c r="R97" i="11"/>
  <c r="B98" i="11"/>
  <c r="D98" i="11"/>
  <c r="R98" i="11"/>
  <c r="B99" i="11"/>
  <c r="D99" i="11"/>
  <c r="R99" i="11"/>
  <c r="B100" i="11"/>
  <c r="D100" i="11"/>
  <c r="R100" i="11"/>
  <c r="B101" i="11"/>
  <c r="D101" i="11"/>
  <c r="R101" i="11"/>
  <c r="B102" i="11"/>
  <c r="D102" i="11"/>
  <c r="R102" i="11"/>
  <c r="B103" i="11"/>
  <c r="D103" i="11"/>
  <c r="R103" i="11"/>
  <c r="B104" i="11"/>
  <c r="D104" i="11"/>
  <c r="R104" i="11"/>
  <c r="B105" i="11"/>
  <c r="D105" i="11"/>
  <c r="R105" i="11"/>
  <c r="B106" i="11"/>
  <c r="D106" i="11"/>
  <c r="R106" i="11"/>
  <c r="B107" i="11"/>
  <c r="D107" i="11"/>
  <c r="R107" i="11"/>
  <c r="B108" i="11"/>
  <c r="D108" i="11"/>
  <c r="R108" i="11"/>
  <c r="B109" i="11"/>
  <c r="D109" i="11"/>
  <c r="R109" i="11"/>
  <c r="B110" i="11"/>
  <c r="D110" i="11"/>
  <c r="R110" i="11"/>
  <c r="B111" i="11"/>
  <c r="D111" i="11"/>
  <c r="R111" i="11"/>
  <c r="B112" i="11"/>
  <c r="D112" i="11"/>
  <c r="R112" i="11"/>
  <c r="B113" i="11"/>
  <c r="D113" i="11"/>
  <c r="R113" i="11"/>
  <c r="B114" i="11"/>
  <c r="D114" i="11"/>
  <c r="R114" i="11"/>
  <c r="B115" i="11"/>
  <c r="D115" i="11"/>
  <c r="R115" i="11"/>
  <c r="B116" i="11"/>
  <c r="D116" i="11"/>
  <c r="R116" i="11"/>
  <c r="B117" i="11"/>
  <c r="D117" i="11"/>
  <c r="R117" i="11"/>
  <c r="B118" i="11"/>
  <c r="D118" i="11"/>
  <c r="R118" i="11"/>
  <c r="B119" i="11"/>
  <c r="D119" i="11"/>
  <c r="R119" i="11"/>
  <c r="B120" i="11"/>
  <c r="D120" i="11"/>
  <c r="R120" i="11"/>
  <c r="B121" i="11"/>
  <c r="D121" i="11"/>
  <c r="R121" i="11"/>
  <c r="B122" i="11"/>
  <c r="D122" i="11"/>
  <c r="R122" i="11"/>
  <c r="B123" i="11"/>
  <c r="D123" i="11"/>
  <c r="R123" i="11"/>
  <c r="B124" i="11"/>
  <c r="D124" i="11"/>
  <c r="R124" i="11"/>
  <c r="B125" i="11"/>
  <c r="D125" i="11"/>
  <c r="R125" i="11"/>
  <c r="B126" i="11"/>
  <c r="D126" i="11"/>
  <c r="R126" i="11"/>
  <c r="B127" i="11"/>
  <c r="D127" i="11"/>
  <c r="R127" i="11"/>
  <c r="B128" i="11"/>
  <c r="D128" i="11"/>
  <c r="R128" i="11"/>
  <c r="B129" i="11"/>
  <c r="D129" i="11"/>
  <c r="R129" i="11"/>
  <c r="B130" i="11"/>
  <c r="D130" i="11"/>
  <c r="R130" i="11"/>
  <c r="B131" i="11"/>
  <c r="D131" i="11"/>
  <c r="R131" i="11"/>
  <c r="B132" i="11"/>
  <c r="D132" i="11"/>
  <c r="R132" i="11"/>
  <c r="B133" i="11"/>
  <c r="D133" i="11"/>
  <c r="R133" i="11"/>
  <c r="B134" i="11"/>
  <c r="D134" i="11"/>
  <c r="R134" i="11"/>
  <c r="B135" i="11"/>
  <c r="D135" i="11"/>
  <c r="R135" i="11"/>
  <c r="B136" i="11"/>
  <c r="D136" i="11"/>
  <c r="R136" i="11"/>
  <c r="B137" i="11"/>
  <c r="D137" i="11"/>
  <c r="R137" i="11"/>
  <c r="B138" i="11"/>
  <c r="D138" i="11"/>
  <c r="R138" i="11"/>
  <c r="B139" i="11"/>
  <c r="D139" i="11"/>
  <c r="R139" i="11"/>
  <c r="B140" i="11"/>
  <c r="D140" i="11"/>
  <c r="R140" i="11"/>
  <c r="B141" i="11"/>
  <c r="D141" i="11"/>
  <c r="R141" i="11"/>
  <c r="B142" i="11"/>
  <c r="D142" i="11"/>
  <c r="R142" i="11"/>
  <c r="B143" i="11"/>
  <c r="D143" i="11"/>
  <c r="R143" i="11"/>
  <c r="B144" i="11"/>
  <c r="D144" i="11"/>
  <c r="R144" i="11"/>
  <c r="B145" i="11"/>
  <c r="D145" i="11"/>
  <c r="R145" i="11"/>
  <c r="B146" i="11"/>
  <c r="D146" i="11"/>
  <c r="R146" i="11"/>
  <c r="B147" i="11"/>
  <c r="D147" i="11"/>
  <c r="R147" i="11"/>
  <c r="B148" i="11"/>
  <c r="D148" i="11"/>
  <c r="R148" i="11"/>
  <c r="B149" i="11"/>
  <c r="D149" i="11"/>
  <c r="R149" i="11"/>
  <c r="B150" i="11"/>
  <c r="D150" i="11"/>
  <c r="R150" i="11"/>
  <c r="B151" i="11"/>
  <c r="D151" i="11"/>
  <c r="R151" i="11"/>
  <c r="B152" i="11"/>
  <c r="D152" i="11"/>
  <c r="R152" i="11"/>
  <c r="B153" i="11"/>
  <c r="D153" i="11"/>
  <c r="R153" i="11"/>
  <c r="B154" i="11"/>
  <c r="D154" i="11"/>
  <c r="R154" i="11"/>
  <c r="B155" i="11"/>
  <c r="D155" i="11"/>
  <c r="R155" i="11"/>
  <c r="B156" i="11"/>
  <c r="D156" i="11"/>
  <c r="R156" i="11"/>
  <c r="B157" i="11"/>
  <c r="D157" i="11"/>
  <c r="R157" i="11"/>
  <c r="B159" i="11"/>
  <c r="D159" i="11"/>
  <c r="R159" i="11"/>
  <c r="B160" i="11"/>
  <c r="D160" i="11"/>
  <c r="R160" i="11"/>
  <c r="B161" i="11"/>
  <c r="D161" i="11"/>
  <c r="R161" i="11"/>
  <c r="B162" i="11"/>
  <c r="D162" i="11"/>
  <c r="R162" i="11"/>
  <c r="B163" i="11"/>
  <c r="D163" i="11"/>
  <c r="R163" i="11"/>
  <c r="B164" i="11"/>
  <c r="D164" i="11"/>
  <c r="R164" i="11"/>
  <c r="B165" i="11"/>
  <c r="D165" i="11"/>
  <c r="R165" i="11"/>
  <c r="B166" i="11"/>
  <c r="D166" i="11"/>
  <c r="R166" i="11"/>
  <c r="B167" i="11"/>
  <c r="D167" i="11"/>
  <c r="R167" i="11"/>
  <c r="B168" i="11"/>
  <c r="D168" i="11"/>
  <c r="R168" i="11"/>
  <c r="B169" i="11"/>
  <c r="D169" i="11"/>
  <c r="R169" i="11"/>
  <c r="B170" i="11"/>
  <c r="D170" i="11"/>
  <c r="R170" i="11"/>
  <c r="B171" i="11"/>
  <c r="D171" i="11"/>
  <c r="R171" i="11"/>
  <c r="B172" i="11"/>
  <c r="D172" i="11"/>
  <c r="R172" i="11"/>
  <c r="B173" i="11"/>
  <c r="D173" i="11"/>
  <c r="R173" i="11"/>
  <c r="B174" i="11"/>
  <c r="D174" i="11"/>
  <c r="R174" i="11"/>
  <c r="B175" i="11"/>
  <c r="D175" i="11"/>
  <c r="R175" i="11"/>
  <c r="B176" i="11"/>
  <c r="D176" i="11"/>
  <c r="R176" i="11"/>
  <c r="B177" i="11"/>
  <c r="D177" i="11"/>
  <c r="R177" i="11"/>
  <c r="B178" i="11"/>
  <c r="D178" i="11"/>
  <c r="R178" i="11"/>
  <c r="B179" i="11"/>
  <c r="D179" i="11"/>
  <c r="R179" i="11"/>
  <c r="B180" i="11"/>
  <c r="D180" i="11"/>
  <c r="R180" i="11"/>
  <c r="B181" i="11"/>
  <c r="D181" i="11"/>
  <c r="R181" i="11"/>
  <c r="B182" i="11"/>
  <c r="D182" i="11"/>
  <c r="R182" i="11"/>
  <c r="B183" i="11"/>
  <c r="D183" i="11"/>
  <c r="R183" i="11"/>
  <c r="B184" i="11"/>
  <c r="D184" i="11"/>
  <c r="R184" i="11"/>
  <c r="B185" i="11"/>
  <c r="D185" i="11"/>
  <c r="R185" i="11"/>
  <c r="B186" i="11"/>
  <c r="D186" i="11"/>
  <c r="R186" i="11"/>
  <c r="B187" i="11"/>
  <c r="D187" i="11"/>
  <c r="R187" i="11"/>
  <c r="B188" i="11"/>
  <c r="D188" i="11"/>
  <c r="R188" i="11"/>
  <c r="B189" i="11"/>
  <c r="D189" i="11"/>
  <c r="R189" i="11"/>
  <c r="B190" i="11"/>
  <c r="D190" i="11"/>
  <c r="R190" i="11"/>
  <c r="B191" i="11"/>
  <c r="D191" i="11"/>
  <c r="R191" i="11"/>
  <c r="B192" i="11"/>
  <c r="D192" i="11"/>
  <c r="R192" i="11"/>
  <c r="B193" i="11"/>
  <c r="D193" i="11"/>
  <c r="R193" i="11"/>
  <c r="B194" i="11"/>
  <c r="D194" i="11"/>
  <c r="R194" i="11"/>
  <c r="B195" i="11"/>
  <c r="D195" i="11"/>
  <c r="R195" i="11"/>
  <c r="B196" i="11"/>
  <c r="D196" i="11"/>
  <c r="R196" i="11"/>
  <c r="B197" i="11"/>
  <c r="D197" i="11"/>
  <c r="R197" i="11"/>
  <c r="B198" i="11"/>
  <c r="D198" i="11"/>
  <c r="R198" i="11"/>
  <c r="B199" i="11"/>
  <c r="D199" i="11"/>
  <c r="R199" i="11"/>
  <c r="B200" i="11"/>
  <c r="D200" i="11"/>
  <c r="R200" i="11"/>
  <c r="B201" i="11"/>
  <c r="D201" i="11"/>
  <c r="R201" i="11"/>
  <c r="B202" i="11"/>
  <c r="D202" i="11"/>
  <c r="R202" i="11"/>
  <c r="B203" i="11"/>
  <c r="D203" i="11"/>
  <c r="R203" i="11"/>
  <c r="B204" i="11"/>
  <c r="D204" i="11"/>
  <c r="R204" i="11"/>
  <c r="B205" i="11"/>
  <c r="D205" i="11"/>
  <c r="R205" i="11"/>
  <c r="B206" i="11"/>
  <c r="D206" i="11"/>
  <c r="R206" i="11"/>
  <c r="B207" i="11"/>
  <c r="D207" i="11"/>
  <c r="R207" i="11"/>
  <c r="B208" i="11"/>
  <c r="D208" i="11"/>
  <c r="R208" i="11"/>
  <c r="B209" i="11"/>
  <c r="D209" i="11"/>
  <c r="R209" i="11"/>
  <c r="B210" i="11"/>
  <c r="D210" i="11"/>
  <c r="R210" i="11"/>
  <c r="B211" i="11"/>
  <c r="D211" i="11"/>
  <c r="R211" i="11"/>
  <c r="B212" i="11"/>
  <c r="D212" i="11"/>
  <c r="R212" i="11"/>
  <c r="B213" i="11"/>
  <c r="D213" i="11"/>
  <c r="R213" i="11"/>
  <c r="B214" i="11"/>
  <c r="D214" i="11"/>
  <c r="R214" i="11"/>
  <c r="B215" i="11"/>
  <c r="D215" i="11"/>
  <c r="R215" i="11"/>
  <c r="B216" i="11"/>
  <c r="D216" i="11"/>
  <c r="R216" i="11"/>
  <c r="B217" i="11"/>
  <c r="D217" i="11"/>
  <c r="R217" i="11"/>
  <c r="B218" i="11"/>
  <c r="D218" i="11"/>
  <c r="R218" i="11"/>
  <c r="B219" i="11"/>
  <c r="D219" i="11"/>
  <c r="R219" i="11"/>
  <c r="B220" i="11"/>
  <c r="D220" i="11"/>
  <c r="R220" i="11"/>
  <c r="B221" i="11"/>
  <c r="D221" i="11"/>
  <c r="R221" i="11"/>
  <c r="B222" i="11"/>
  <c r="D222" i="11"/>
  <c r="R222" i="11"/>
  <c r="B223" i="11"/>
  <c r="D223" i="11"/>
  <c r="R223" i="11"/>
  <c r="B224" i="11"/>
  <c r="D224" i="11"/>
  <c r="R224" i="11"/>
  <c r="B225" i="11"/>
  <c r="D225" i="11"/>
  <c r="R225" i="11"/>
  <c r="B226" i="11"/>
  <c r="D226" i="11"/>
  <c r="R226" i="11"/>
  <c r="B227" i="11"/>
  <c r="D227" i="11"/>
  <c r="R227" i="11"/>
  <c r="B228" i="11"/>
  <c r="D228" i="11"/>
  <c r="R228" i="11"/>
  <c r="B229" i="11"/>
  <c r="D229" i="11"/>
  <c r="R229" i="11"/>
  <c r="B230" i="11"/>
  <c r="D230" i="11"/>
  <c r="R230" i="11"/>
  <c r="B231" i="11"/>
  <c r="D231" i="11"/>
  <c r="R231" i="11"/>
  <c r="B232" i="11"/>
  <c r="D232" i="11"/>
  <c r="R232" i="11"/>
  <c r="B233" i="11"/>
  <c r="D233" i="11"/>
  <c r="R233" i="11"/>
  <c r="B234" i="11"/>
  <c r="D234" i="11"/>
  <c r="R234" i="11"/>
  <c r="B235" i="11"/>
  <c r="D235" i="11"/>
  <c r="R235" i="11"/>
  <c r="B236" i="11"/>
  <c r="D236" i="11"/>
  <c r="R236" i="11"/>
  <c r="B237" i="11"/>
  <c r="D237" i="11"/>
  <c r="R237" i="11"/>
  <c r="B238" i="11"/>
  <c r="D238" i="11"/>
  <c r="R238" i="11"/>
  <c r="B239" i="11"/>
  <c r="D239" i="11"/>
  <c r="R239" i="11"/>
  <c r="B240" i="11"/>
  <c r="D240" i="11"/>
  <c r="R240" i="11"/>
  <c r="B241" i="11"/>
  <c r="D241" i="11"/>
  <c r="R241" i="11"/>
  <c r="B242" i="11"/>
  <c r="D242" i="11"/>
  <c r="R242" i="11"/>
  <c r="B243" i="11"/>
  <c r="D243" i="11"/>
  <c r="R243" i="11"/>
  <c r="B244" i="11"/>
  <c r="D244" i="11"/>
  <c r="R244" i="11"/>
  <c r="B245" i="11"/>
  <c r="D245" i="11"/>
  <c r="R245" i="11"/>
  <c r="B246" i="11"/>
  <c r="D246" i="11"/>
  <c r="R246" i="11"/>
  <c r="B247" i="11"/>
  <c r="D247" i="11"/>
  <c r="R247" i="11"/>
  <c r="B248" i="11"/>
  <c r="D248" i="11"/>
  <c r="R248" i="11"/>
  <c r="B249" i="11"/>
  <c r="D249" i="11"/>
  <c r="R249" i="11"/>
  <c r="B250" i="11"/>
  <c r="D250" i="11"/>
  <c r="R250" i="11"/>
  <c r="B251" i="11"/>
  <c r="D251" i="11"/>
  <c r="R251" i="11"/>
  <c r="B252" i="11"/>
  <c r="D252" i="11"/>
  <c r="R252" i="11"/>
  <c r="B253" i="11"/>
  <c r="D253" i="11"/>
  <c r="R253" i="11"/>
  <c r="B254" i="11"/>
  <c r="D254" i="11"/>
  <c r="R254" i="11"/>
  <c r="B255" i="11"/>
  <c r="D255" i="11"/>
  <c r="R255" i="11"/>
  <c r="B256" i="11"/>
  <c r="D256" i="11"/>
  <c r="R256" i="11"/>
  <c r="B257" i="11"/>
  <c r="D257" i="11"/>
  <c r="R257" i="11"/>
  <c r="B258" i="11"/>
  <c r="D258" i="11"/>
  <c r="R258" i="11"/>
  <c r="B259" i="11"/>
  <c r="D259" i="11"/>
  <c r="R259" i="11"/>
  <c r="B260" i="11"/>
  <c r="D260" i="11"/>
  <c r="R260" i="11"/>
  <c r="B261" i="11"/>
  <c r="D261" i="11"/>
  <c r="R261" i="11"/>
  <c r="B262" i="11"/>
  <c r="D262" i="11"/>
  <c r="R262" i="11"/>
  <c r="B263" i="11"/>
  <c r="D263" i="11"/>
  <c r="R263" i="11"/>
  <c r="B264" i="11"/>
  <c r="D264" i="11"/>
  <c r="R264" i="11"/>
  <c r="B265" i="11"/>
  <c r="D265" i="11"/>
  <c r="R265" i="11"/>
  <c r="B266" i="11"/>
  <c r="D266" i="11"/>
  <c r="R266" i="11"/>
  <c r="B267" i="11"/>
  <c r="D267" i="11"/>
  <c r="R267" i="11"/>
  <c r="B268" i="11"/>
  <c r="D268" i="11"/>
  <c r="R268" i="11"/>
  <c r="B269" i="11"/>
  <c r="D269" i="11"/>
  <c r="R269" i="11"/>
  <c r="B270" i="11"/>
  <c r="D270" i="11"/>
  <c r="R270" i="11"/>
  <c r="B271" i="11"/>
  <c r="D271" i="11"/>
  <c r="R271" i="11"/>
  <c r="B272" i="11"/>
  <c r="D272" i="11"/>
  <c r="R272" i="11"/>
  <c r="B273" i="11"/>
  <c r="D273" i="11"/>
  <c r="R273" i="11"/>
  <c r="B274" i="11"/>
  <c r="D274" i="11"/>
  <c r="R274" i="11"/>
  <c r="B275" i="11"/>
  <c r="D275" i="11"/>
  <c r="R275" i="11"/>
  <c r="B276" i="11"/>
  <c r="D276" i="11"/>
  <c r="R276" i="11"/>
  <c r="B277" i="11"/>
  <c r="D277" i="11"/>
  <c r="R277" i="11"/>
  <c r="B278" i="11"/>
  <c r="D278" i="11"/>
  <c r="R278" i="11"/>
  <c r="B279" i="11"/>
  <c r="D279" i="11"/>
  <c r="R279" i="11"/>
  <c r="B280" i="11"/>
  <c r="D280" i="11"/>
  <c r="R280" i="11"/>
  <c r="B281" i="11"/>
  <c r="D281" i="11"/>
  <c r="R281" i="11"/>
  <c r="B282" i="11"/>
  <c r="D282" i="11"/>
  <c r="R282" i="11"/>
  <c r="B283" i="11"/>
  <c r="D283" i="11"/>
  <c r="R283" i="11"/>
  <c r="B284" i="11"/>
  <c r="D284" i="11"/>
  <c r="R284" i="11"/>
  <c r="B285" i="11"/>
  <c r="D285" i="11"/>
  <c r="R285" i="11"/>
  <c r="B286" i="11"/>
  <c r="D286" i="11"/>
  <c r="R286" i="11"/>
  <c r="B287" i="11"/>
  <c r="D287" i="11"/>
  <c r="R287" i="11"/>
  <c r="B288" i="11"/>
  <c r="D288" i="11"/>
  <c r="R288" i="11"/>
  <c r="B289" i="11"/>
  <c r="D289" i="11"/>
  <c r="R289" i="11"/>
  <c r="B290" i="11"/>
  <c r="D290" i="11"/>
  <c r="R290" i="11"/>
  <c r="B291" i="11"/>
  <c r="D291" i="11"/>
  <c r="R291" i="11"/>
  <c r="B292" i="11"/>
  <c r="D292" i="11"/>
  <c r="R292" i="11"/>
  <c r="B293" i="11"/>
  <c r="D293" i="11"/>
  <c r="R293" i="11"/>
  <c r="B294" i="11"/>
  <c r="D294" i="11"/>
  <c r="R294" i="11"/>
  <c r="B295" i="11"/>
  <c r="D295" i="11"/>
  <c r="R295" i="11"/>
  <c r="B296" i="11"/>
  <c r="D296" i="11"/>
  <c r="R296" i="11"/>
  <c r="B297" i="11"/>
  <c r="D297" i="11"/>
  <c r="R297" i="11"/>
  <c r="B298" i="11"/>
  <c r="D298" i="11"/>
  <c r="R298" i="11"/>
  <c r="B299" i="11"/>
  <c r="D299" i="11"/>
  <c r="R299" i="11"/>
  <c r="B300" i="11"/>
  <c r="D300" i="11"/>
  <c r="R300" i="11"/>
  <c r="B301" i="11"/>
  <c r="D301" i="11"/>
  <c r="R301" i="11"/>
  <c r="B302" i="11"/>
  <c r="D302" i="11"/>
  <c r="R302" i="11"/>
  <c r="B303" i="11"/>
  <c r="D303" i="11"/>
  <c r="R303" i="11"/>
  <c r="B304" i="11"/>
  <c r="D304" i="11"/>
  <c r="R304" i="11"/>
  <c r="B305" i="11"/>
  <c r="D305" i="11"/>
  <c r="R305" i="11"/>
  <c r="B306" i="11"/>
  <c r="D306" i="11"/>
  <c r="R306" i="11"/>
  <c r="B307" i="11"/>
  <c r="D307" i="11"/>
  <c r="R307" i="11"/>
  <c r="B308" i="11"/>
  <c r="D308" i="11"/>
  <c r="R308" i="11"/>
  <c r="B309" i="11"/>
  <c r="D309" i="11"/>
  <c r="R309" i="11"/>
  <c r="B310" i="11"/>
  <c r="D310" i="11"/>
  <c r="R310" i="11"/>
  <c r="B311" i="11"/>
  <c r="D311" i="11"/>
  <c r="R311" i="11"/>
  <c r="B312" i="11"/>
  <c r="D312" i="11"/>
  <c r="R312" i="11"/>
  <c r="B313" i="11"/>
  <c r="D313" i="11"/>
  <c r="R313" i="11"/>
  <c r="B314" i="11"/>
  <c r="D314" i="11"/>
  <c r="R314" i="11"/>
  <c r="B315" i="11"/>
  <c r="D315" i="11"/>
  <c r="R315" i="11"/>
  <c r="B316" i="11"/>
  <c r="D316" i="11"/>
  <c r="R316" i="11"/>
  <c r="B317" i="11"/>
  <c r="D317" i="11"/>
  <c r="R317" i="11"/>
  <c r="B318" i="11"/>
  <c r="D318" i="11"/>
  <c r="R318" i="11"/>
  <c r="B319" i="11"/>
  <c r="D319" i="11"/>
  <c r="R319" i="11"/>
  <c r="B320" i="11"/>
  <c r="D320" i="11"/>
  <c r="R320" i="11"/>
  <c r="B321" i="11"/>
  <c r="D321" i="11"/>
  <c r="R321" i="11"/>
  <c r="B322" i="11"/>
  <c r="D322" i="11"/>
  <c r="R322" i="11"/>
  <c r="B323" i="11"/>
  <c r="D323" i="11"/>
  <c r="R323" i="11"/>
  <c r="B324" i="11"/>
  <c r="D324" i="11"/>
  <c r="R324" i="11"/>
  <c r="B325" i="11"/>
  <c r="D325" i="11"/>
  <c r="R325" i="11"/>
  <c r="B326" i="11"/>
  <c r="D326" i="11"/>
  <c r="R326" i="11"/>
  <c r="B327" i="11"/>
  <c r="D327" i="11"/>
  <c r="R327" i="11"/>
  <c r="B328" i="11"/>
  <c r="D328" i="11"/>
  <c r="R328" i="11"/>
  <c r="B329" i="11"/>
  <c r="D329" i="11"/>
  <c r="R329" i="11"/>
  <c r="B330" i="11"/>
  <c r="D330" i="11"/>
  <c r="R330" i="11"/>
  <c r="B331" i="11"/>
  <c r="D331" i="11"/>
  <c r="R331" i="11"/>
  <c r="B332" i="11"/>
  <c r="D332" i="11"/>
  <c r="R332" i="11"/>
  <c r="B333" i="11"/>
  <c r="D333" i="11"/>
  <c r="R333" i="11"/>
  <c r="B334" i="11"/>
  <c r="D334" i="11"/>
  <c r="R334" i="11"/>
  <c r="B335" i="11"/>
  <c r="D335" i="11"/>
  <c r="R335" i="11"/>
  <c r="B336" i="11"/>
  <c r="D336" i="11"/>
  <c r="R336" i="11"/>
  <c r="B337" i="11"/>
  <c r="D337" i="11"/>
  <c r="R337" i="11"/>
  <c r="B338" i="11"/>
  <c r="D338" i="11"/>
  <c r="R338" i="11"/>
  <c r="B339" i="11"/>
  <c r="D339" i="11"/>
  <c r="R339" i="11"/>
  <c r="B340" i="11"/>
  <c r="D340" i="11"/>
  <c r="R340" i="11"/>
  <c r="B341" i="11"/>
  <c r="D341" i="11"/>
  <c r="R341" i="11"/>
  <c r="B342" i="11"/>
  <c r="D342" i="11"/>
  <c r="R342" i="11"/>
  <c r="B343" i="11"/>
  <c r="D343" i="11"/>
  <c r="R343" i="11"/>
  <c r="B344" i="11"/>
  <c r="D344" i="11"/>
  <c r="R344" i="11"/>
  <c r="B345" i="11"/>
  <c r="D345" i="11"/>
  <c r="R345" i="11"/>
  <c r="B346" i="11"/>
  <c r="D346" i="11"/>
  <c r="R346" i="11"/>
  <c r="B347" i="11"/>
  <c r="D347" i="11"/>
  <c r="R347" i="11"/>
  <c r="B348" i="11"/>
  <c r="D348" i="11"/>
  <c r="R348" i="11"/>
  <c r="B349" i="11"/>
  <c r="D349" i="11"/>
  <c r="R349" i="11"/>
  <c r="B350" i="11"/>
  <c r="D350" i="11"/>
  <c r="R350" i="11"/>
  <c r="B351" i="11"/>
  <c r="D351" i="11"/>
  <c r="R351" i="11"/>
  <c r="B352" i="11"/>
  <c r="D352" i="11"/>
  <c r="R352" i="11"/>
  <c r="B353" i="11"/>
  <c r="D353" i="11"/>
  <c r="R353" i="11"/>
  <c r="B354" i="11"/>
  <c r="D354" i="11"/>
  <c r="R354" i="11"/>
  <c r="B355" i="11"/>
  <c r="D355" i="11"/>
  <c r="R355" i="11"/>
  <c r="B356" i="11"/>
  <c r="D356" i="11"/>
  <c r="R356" i="11"/>
  <c r="B357" i="11"/>
  <c r="D357" i="11"/>
  <c r="R357" i="11"/>
  <c r="B358" i="11"/>
  <c r="D358" i="11"/>
  <c r="R358" i="11"/>
  <c r="B359" i="11"/>
  <c r="D359" i="11"/>
  <c r="R359" i="11"/>
  <c r="B360" i="11"/>
  <c r="D360" i="11"/>
  <c r="R360" i="11"/>
  <c r="B361" i="11"/>
  <c r="D361" i="11"/>
  <c r="R361" i="11"/>
  <c r="B362" i="11"/>
  <c r="D362" i="11"/>
  <c r="R362" i="11"/>
  <c r="B363" i="11"/>
  <c r="D363" i="11"/>
  <c r="R363" i="11"/>
  <c r="B364" i="11"/>
  <c r="D364" i="11"/>
  <c r="R364" i="11"/>
  <c r="B365" i="11"/>
  <c r="D365" i="11"/>
  <c r="R365" i="11"/>
  <c r="B366" i="11"/>
  <c r="D366" i="11"/>
  <c r="R366" i="11"/>
  <c r="B367" i="11"/>
  <c r="D367" i="11"/>
  <c r="R367" i="11"/>
  <c r="B368" i="11"/>
  <c r="D368" i="11"/>
  <c r="R368" i="11"/>
  <c r="B369" i="11"/>
  <c r="D369" i="11"/>
  <c r="R369" i="11"/>
  <c r="B370" i="11"/>
  <c r="D370" i="11"/>
  <c r="R370" i="11"/>
  <c r="B371" i="11"/>
  <c r="D371" i="11"/>
  <c r="R371" i="11"/>
  <c r="B372" i="11"/>
  <c r="D372" i="11"/>
  <c r="R372" i="11"/>
  <c r="B373" i="11"/>
  <c r="D373" i="11"/>
  <c r="R373" i="11"/>
  <c r="B374" i="11"/>
  <c r="D374" i="11"/>
  <c r="R374" i="11"/>
  <c r="B375" i="11"/>
  <c r="D375" i="11"/>
  <c r="R375" i="11"/>
  <c r="B376" i="11"/>
  <c r="D376" i="11"/>
  <c r="R376" i="11"/>
  <c r="B377" i="11"/>
  <c r="D377" i="11"/>
  <c r="R377" i="11"/>
  <c r="B378" i="11"/>
  <c r="D378" i="11"/>
  <c r="R378" i="11"/>
  <c r="B379" i="11"/>
  <c r="D379" i="11"/>
  <c r="R379" i="11"/>
  <c r="B380" i="11"/>
  <c r="D380" i="11"/>
  <c r="R380" i="11"/>
  <c r="B381" i="11"/>
  <c r="D381" i="11"/>
  <c r="R381" i="11"/>
  <c r="B382" i="11"/>
  <c r="D382" i="11"/>
  <c r="R382" i="11"/>
  <c r="B383" i="11"/>
  <c r="D383" i="11"/>
  <c r="R383" i="11"/>
  <c r="B384" i="11"/>
  <c r="D384" i="11"/>
  <c r="R384" i="11"/>
  <c r="B385" i="11"/>
  <c r="D385" i="11"/>
  <c r="R385" i="11"/>
  <c r="B386" i="11"/>
  <c r="D386" i="11"/>
  <c r="R386" i="11"/>
  <c r="B387" i="11"/>
  <c r="D387" i="11"/>
  <c r="R387" i="11"/>
  <c r="B388" i="11"/>
  <c r="D388" i="11"/>
  <c r="R388" i="11"/>
  <c r="B389" i="11"/>
  <c r="D389" i="11"/>
  <c r="R389" i="11"/>
  <c r="B390" i="11"/>
  <c r="D390" i="11"/>
  <c r="R390" i="11"/>
  <c r="B391" i="11"/>
  <c r="D391" i="11"/>
  <c r="R391" i="11"/>
  <c r="B392" i="11"/>
  <c r="D392" i="11"/>
  <c r="R392" i="11"/>
  <c r="B393" i="11"/>
  <c r="D393" i="11"/>
  <c r="R393" i="11"/>
  <c r="B394" i="11"/>
  <c r="D394" i="11"/>
  <c r="R394" i="11"/>
  <c r="B395" i="11"/>
  <c r="D395" i="11"/>
  <c r="R395" i="11"/>
  <c r="B396" i="11"/>
  <c r="D396" i="11"/>
  <c r="R396" i="11"/>
  <c r="B397" i="11"/>
  <c r="D397" i="11"/>
  <c r="R397" i="11"/>
  <c r="B398" i="11"/>
  <c r="D398" i="11"/>
  <c r="R398" i="11"/>
  <c r="B399" i="11"/>
  <c r="D399" i="11"/>
  <c r="R399" i="11"/>
  <c r="B400" i="11"/>
  <c r="D400" i="11"/>
  <c r="R400" i="11"/>
  <c r="B401" i="11"/>
  <c r="D401" i="11"/>
  <c r="R401" i="11"/>
  <c r="B402" i="11"/>
  <c r="D402" i="11"/>
  <c r="R402" i="11"/>
  <c r="B403" i="11"/>
  <c r="D403" i="11"/>
  <c r="R403" i="11"/>
  <c r="B404" i="11"/>
  <c r="D404" i="11"/>
  <c r="R404" i="11"/>
  <c r="B405" i="11"/>
  <c r="D405" i="11"/>
  <c r="R405" i="11"/>
  <c r="B406" i="11"/>
  <c r="D406" i="11"/>
  <c r="R406" i="11"/>
  <c r="B407" i="11"/>
  <c r="D407" i="11"/>
  <c r="R407" i="11"/>
  <c r="B408" i="11"/>
  <c r="D408" i="11"/>
  <c r="R408" i="11"/>
  <c r="B409" i="11"/>
  <c r="D409" i="11"/>
  <c r="R409" i="11"/>
  <c r="B410" i="11"/>
  <c r="D410" i="11"/>
  <c r="R410" i="11"/>
  <c r="B411" i="11"/>
  <c r="D411" i="11"/>
  <c r="R411" i="11"/>
  <c r="B412" i="11"/>
  <c r="D412" i="11"/>
  <c r="R412" i="11"/>
  <c r="B413" i="11"/>
  <c r="D413" i="11"/>
  <c r="R413" i="11"/>
  <c r="B414" i="11"/>
  <c r="D414" i="11"/>
  <c r="R414" i="11"/>
  <c r="B415" i="11"/>
  <c r="D415" i="11"/>
  <c r="R415" i="11"/>
  <c r="B416" i="11"/>
  <c r="D416" i="11"/>
  <c r="R416" i="11"/>
  <c r="B417" i="11"/>
  <c r="D417" i="11"/>
  <c r="R417" i="11"/>
  <c r="B418" i="11"/>
  <c r="D418" i="11"/>
  <c r="R418" i="11"/>
  <c r="B419" i="11"/>
  <c r="D419" i="11"/>
  <c r="R419" i="11"/>
  <c r="B420" i="11"/>
  <c r="D420" i="11"/>
  <c r="R420" i="11"/>
  <c r="B421" i="11"/>
  <c r="D421" i="11"/>
  <c r="R421" i="11"/>
  <c r="B422" i="11"/>
  <c r="D422" i="11"/>
  <c r="R422" i="11"/>
  <c r="B423" i="11"/>
  <c r="D423" i="11"/>
  <c r="R423" i="11"/>
  <c r="B424" i="11"/>
  <c r="D424" i="11"/>
  <c r="R424" i="11"/>
  <c r="B425" i="11"/>
  <c r="D425" i="11"/>
  <c r="R425" i="11"/>
  <c r="B426" i="11"/>
  <c r="D426" i="11"/>
  <c r="R426" i="11"/>
  <c r="B427" i="11"/>
  <c r="D427" i="11"/>
  <c r="R427" i="11"/>
  <c r="B428" i="11"/>
  <c r="D428" i="11"/>
  <c r="R428" i="11"/>
  <c r="B429" i="11"/>
  <c r="D429" i="11"/>
  <c r="R429" i="11"/>
  <c r="B430" i="11"/>
  <c r="D430" i="11"/>
  <c r="R430" i="11"/>
  <c r="B431" i="11"/>
  <c r="D431" i="11"/>
  <c r="R431" i="11"/>
  <c r="B432" i="11"/>
  <c r="D432" i="11"/>
  <c r="R432" i="11"/>
  <c r="B433" i="11"/>
  <c r="D433" i="11"/>
  <c r="R433" i="11"/>
  <c r="B434" i="11"/>
  <c r="D434" i="11"/>
  <c r="R434" i="11"/>
  <c r="B435" i="11"/>
  <c r="D435" i="11"/>
  <c r="R435" i="11"/>
  <c r="B436" i="11"/>
  <c r="D436" i="11"/>
  <c r="R436" i="11"/>
  <c r="B437" i="11"/>
  <c r="D437" i="11"/>
  <c r="R437" i="11"/>
  <c r="B438" i="11"/>
  <c r="D438" i="11"/>
  <c r="R438" i="11"/>
  <c r="B439" i="11"/>
  <c r="D439" i="11"/>
  <c r="R439" i="11"/>
  <c r="B440" i="11"/>
  <c r="D440" i="11"/>
  <c r="R440" i="11"/>
  <c r="B441" i="11"/>
  <c r="D441" i="11"/>
  <c r="R441" i="11"/>
  <c r="B442" i="11"/>
  <c r="D442" i="11"/>
  <c r="R442" i="11"/>
  <c r="B443" i="11"/>
  <c r="D443" i="11"/>
  <c r="R443" i="11"/>
  <c r="B444" i="11"/>
  <c r="D444" i="11"/>
  <c r="R444" i="11"/>
  <c r="B445" i="11"/>
  <c r="D445" i="11"/>
  <c r="R445" i="11"/>
  <c r="B446" i="11"/>
  <c r="D446" i="11"/>
  <c r="R446" i="11"/>
  <c r="B447" i="11"/>
  <c r="D447" i="11"/>
  <c r="R447" i="11"/>
  <c r="B448" i="11"/>
  <c r="D448" i="11"/>
  <c r="R448" i="11"/>
  <c r="B449" i="11"/>
  <c r="D449" i="11"/>
  <c r="R449" i="11"/>
  <c r="B450" i="11"/>
  <c r="D450" i="11"/>
  <c r="R450" i="11"/>
  <c r="B451" i="11"/>
  <c r="D451" i="11"/>
  <c r="R451" i="11"/>
  <c r="B452" i="11"/>
  <c r="D452" i="11"/>
  <c r="R452" i="11"/>
  <c r="B453" i="11"/>
  <c r="D453" i="11"/>
  <c r="R453" i="11"/>
  <c r="B454" i="11"/>
  <c r="D454" i="11"/>
  <c r="R454" i="11"/>
  <c r="B455" i="11"/>
  <c r="D455" i="11"/>
  <c r="R455" i="11"/>
  <c r="B456" i="11"/>
  <c r="D456" i="11"/>
  <c r="R456" i="11"/>
  <c r="B457" i="11"/>
  <c r="D457" i="11"/>
  <c r="R457" i="11"/>
  <c r="B458" i="11"/>
  <c r="D458" i="11"/>
  <c r="R458" i="11"/>
  <c r="B459" i="11"/>
  <c r="D459" i="11"/>
  <c r="R459" i="11"/>
  <c r="B460" i="11"/>
  <c r="D460" i="11"/>
  <c r="R460" i="11"/>
  <c r="B461" i="11"/>
  <c r="D461" i="11"/>
  <c r="R461" i="11"/>
  <c r="B462" i="11"/>
  <c r="D462" i="11"/>
  <c r="R462" i="11"/>
  <c r="B463" i="11"/>
  <c r="D463" i="11"/>
  <c r="R463" i="11"/>
  <c r="B464" i="11"/>
  <c r="D464" i="11"/>
  <c r="R464" i="11"/>
  <c r="B465" i="11"/>
  <c r="D465" i="11"/>
  <c r="R465" i="11"/>
  <c r="B466" i="11"/>
  <c r="D466" i="11"/>
  <c r="R466" i="11"/>
  <c r="B467" i="11"/>
  <c r="D467" i="11"/>
  <c r="R467" i="11"/>
  <c r="B468" i="11"/>
  <c r="D468" i="11"/>
  <c r="R468" i="11"/>
  <c r="B469" i="11"/>
  <c r="D469" i="11"/>
  <c r="R469" i="11"/>
  <c r="B470" i="11"/>
  <c r="D470" i="11"/>
  <c r="R470" i="11"/>
  <c r="B471" i="11"/>
  <c r="D471" i="11"/>
  <c r="R471" i="11"/>
  <c r="B472" i="11"/>
  <c r="D472" i="11"/>
  <c r="R472" i="11"/>
  <c r="B473" i="11"/>
  <c r="D473" i="11"/>
  <c r="R473" i="11"/>
  <c r="B474" i="11"/>
  <c r="D474" i="11"/>
  <c r="R474" i="11"/>
  <c r="B475" i="11"/>
  <c r="D475" i="11"/>
  <c r="R475" i="11"/>
  <c r="B476" i="11"/>
  <c r="D476" i="11"/>
  <c r="R476" i="11"/>
  <c r="B477" i="11"/>
  <c r="D477" i="11"/>
  <c r="R477" i="11"/>
  <c r="B478" i="11"/>
  <c r="D478" i="11"/>
  <c r="R478" i="11"/>
  <c r="B479" i="11"/>
  <c r="D479" i="11"/>
  <c r="R479" i="11"/>
  <c r="B480" i="11"/>
  <c r="D480" i="11"/>
  <c r="R480" i="11"/>
  <c r="B481" i="11"/>
  <c r="D481" i="11"/>
  <c r="R481" i="11"/>
  <c r="B482" i="11"/>
  <c r="D482" i="11"/>
  <c r="R482" i="11"/>
  <c r="B483" i="11"/>
  <c r="D483" i="11"/>
  <c r="R483" i="11"/>
  <c r="B484" i="11"/>
  <c r="D484" i="11"/>
  <c r="R484" i="11"/>
  <c r="B485" i="11"/>
  <c r="D485" i="11"/>
  <c r="R485" i="11"/>
  <c r="B486" i="11"/>
  <c r="D486" i="11"/>
  <c r="R486" i="11"/>
  <c r="B487" i="11"/>
  <c r="D487" i="11"/>
  <c r="R487" i="11"/>
  <c r="B488" i="11"/>
  <c r="D488" i="11"/>
  <c r="R488" i="11"/>
  <c r="B489" i="11"/>
  <c r="D489" i="11"/>
  <c r="R489" i="11"/>
  <c r="B490" i="11"/>
  <c r="D490" i="11"/>
  <c r="R490" i="11"/>
  <c r="B491" i="11"/>
  <c r="D491" i="11"/>
  <c r="R491" i="11"/>
  <c r="B492" i="11"/>
  <c r="D492" i="11"/>
  <c r="R492" i="11"/>
  <c r="B493" i="11"/>
  <c r="D493" i="11"/>
  <c r="R493" i="11"/>
  <c r="B494" i="11"/>
  <c r="D494" i="11"/>
  <c r="R494" i="11"/>
  <c r="B495" i="11"/>
  <c r="D495" i="11"/>
  <c r="R495" i="11"/>
  <c r="B496" i="11"/>
  <c r="D496" i="11"/>
  <c r="R496" i="11"/>
  <c r="B497" i="11"/>
  <c r="D497" i="11"/>
  <c r="R497" i="11"/>
  <c r="B498" i="11"/>
  <c r="D498" i="11"/>
  <c r="R498" i="11"/>
  <c r="B499" i="11"/>
  <c r="D499" i="11"/>
  <c r="R499" i="11"/>
  <c r="B500" i="11"/>
  <c r="D500" i="11"/>
  <c r="R500" i="11"/>
  <c r="B501" i="11"/>
  <c r="D501" i="11"/>
  <c r="R501" i="11"/>
  <c r="B502" i="11"/>
  <c r="D502" i="11"/>
  <c r="R502" i="11"/>
  <c r="B503" i="11"/>
  <c r="D503" i="11"/>
  <c r="R503" i="11"/>
  <c r="B504" i="11"/>
  <c r="D504" i="11"/>
  <c r="R504" i="11"/>
  <c r="B505" i="11"/>
  <c r="D505" i="11"/>
  <c r="R505" i="11"/>
  <c r="B506" i="11"/>
  <c r="D506" i="11"/>
  <c r="R506" i="11"/>
  <c r="B507" i="11"/>
  <c r="D507" i="11"/>
  <c r="R507" i="11"/>
  <c r="B508" i="11"/>
  <c r="D508" i="11"/>
  <c r="R508" i="11"/>
  <c r="B509" i="11"/>
  <c r="D509" i="11"/>
  <c r="R509" i="11"/>
  <c r="B510" i="11"/>
  <c r="D510" i="11"/>
  <c r="R510" i="11"/>
  <c r="B511" i="11"/>
  <c r="D511" i="11"/>
  <c r="R511" i="11"/>
  <c r="B512" i="11"/>
  <c r="D512" i="11"/>
  <c r="R512" i="11"/>
  <c r="B513" i="11"/>
  <c r="D513" i="11"/>
  <c r="R513" i="11"/>
  <c r="B514" i="11"/>
  <c r="D514" i="11"/>
  <c r="R514" i="11"/>
  <c r="B515" i="11"/>
  <c r="D515" i="11"/>
  <c r="R515" i="11"/>
  <c r="B516" i="11"/>
  <c r="D516" i="11"/>
  <c r="R516" i="11"/>
  <c r="B517" i="11"/>
  <c r="D517" i="11"/>
  <c r="R517" i="11"/>
  <c r="B518" i="11"/>
  <c r="D518" i="11"/>
  <c r="R518" i="11"/>
  <c r="B519" i="11"/>
  <c r="D519" i="11"/>
  <c r="R519" i="11"/>
  <c r="B520" i="11"/>
  <c r="D520" i="11"/>
  <c r="R520" i="11"/>
  <c r="B521" i="11"/>
  <c r="D521" i="11"/>
  <c r="R521" i="11"/>
  <c r="B522" i="11"/>
  <c r="D522" i="11"/>
  <c r="R522" i="11"/>
  <c r="B523" i="11"/>
  <c r="D523" i="11"/>
  <c r="R523" i="11"/>
  <c r="B524" i="11"/>
  <c r="D524" i="11"/>
  <c r="R524" i="11"/>
  <c r="B525" i="11"/>
  <c r="D525" i="11"/>
  <c r="R525" i="11"/>
  <c r="B526" i="11"/>
  <c r="D526" i="11"/>
  <c r="R526" i="11"/>
  <c r="B527" i="11"/>
  <c r="D527" i="11"/>
  <c r="R527" i="11"/>
  <c r="B528" i="11"/>
  <c r="D528" i="11"/>
  <c r="R528" i="11"/>
  <c r="B529" i="11"/>
  <c r="D529" i="11"/>
  <c r="R529" i="11"/>
  <c r="B530" i="11"/>
  <c r="D530" i="11"/>
  <c r="R530" i="11"/>
  <c r="B531" i="11"/>
  <c r="D531" i="11"/>
  <c r="R531" i="11"/>
  <c r="B532" i="11"/>
  <c r="D532" i="11"/>
  <c r="R532" i="11"/>
  <c r="B533" i="11"/>
  <c r="D533" i="11"/>
  <c r="R533" i="11"/>
  <c r="B534" i="11"/>
  <c r="D534" i="11"/>
  <c r="R534" i="11"/>
  <c r="B535" i="11"/>
  <c r="D535" i="11"/>
  <c r="R535" i="11"/>
  <c r="B536" i="11"/>
  <c r="D536" i="11"/>
  <c r="R536" i="11"/>
  <c r="B537" i="11"/>
  <c r="D537" i="11"/>
  <c r="R537" i="11"/>
  <c r="B538" i="11"/>
  <c r="D538" i="11"/>
  <c r="R538" i="11"/>
  <c r="B539" i="11"/>
  <c r="D539" i="11"/>
  <c r="R539" i="11"/>
  <c r="B540" i="11"/>
  <c r="D540" i="11"/>
  <c r="R540" i="11"/>
  <c r="B541" i="11"/>
  <c r="D541" i="11"/>
  <c r="R541" i="11"/>
  <c r="B542" i="11"/>
  <c r="D542" i="11"/>
  <c r="R542" i="11"/>
  <c r="B543" i="11"/>
  <c r="D543" i="11"/>
  <c r="R543" i="11"/>
  <c r="B544" i="11"/>
  <c r="D544" i="11"/>
  <c r="R544" i="11"/>
  <c r="B545" i="11"/>
  <c r="D545" i="11"/>
  <c r="R545" i="11"/>
  <c r="B546" i="11"/>
  <c r="D546" i="11"/>
  <c r="R546" i="11"/>
  <c r="B547" i="11"/>
  <c r="D547" i="11"/>
  <c r="R547" i="11"/>
  <c r="B548" i="11"/>
  <c r="D548" i="11"/>
  <c r="R548" i="11"/>
  <c r="B549" i="11"/>
  <c r="D549" i="11"/>
  <c r="R549" i="11"/>
  <c r="B550" i="11"/>
  <c r="D550" i="11"/>
  <c r="R550" i="11"/>
  <c r="B551" i="11"/>
  <c r="D551" i="11"/>
  <c r="R551" i="11"/>
  <c r="B552" i="11"/>
  <c r="D552" i="11"/>
  <c r="R552" i="11"/>
  <c r="B553" i="11"/>
  <c r="D553" i="11"/>
  <c r="R553" i="11"/>
  <c r="B554" i="11"/>
  <c r="D554" i="11"/>
  <c r="R554" i="11"/>
  <c r="B555" i="11"/>
  <c r="D555" i="11"/>
  <c r="R555" i="11"/>
  <c r="B556" i="11"/>
  <c r="D556" i="11"/>
  <c r="R556" i="11"/>
  <c r="B557" i="11"/>
  <c r="D557" i="11"/>
  <c r="R557" i="11"/>
  <c r="B558" i="11"/>
  <c r="D558" i="11"/>
  <c r="R558" i="11"/>
  <c r="B559" i="11"/>
  <c r="D559" i="11"/>
  <c r="R559" i="11"/>
  <c r="B560" i="11"/>
  <c r="D560" i="11"/>
  <c r="R560" i="11"/>
  <c r="B561" i="11"/>
  <c r="D561" i="11"/>
  <c r="R561" i="11"/>
  <c r="B562" i="11"/>
  <c r="D562" i="11"/>
  <c r="R562" i="11"/>
  <c r="B563" i="11"/>
  <c r="D563" i="11"/>
  <c r="R563" i="11"/>
  <c r="B564" i="11"/>
  <c r="D564" i="11"/>
  <c r="R564" i="11"/>
  <c r="B565" i="11"/>
  <c r="D565" i="11"/>
  <c r="R565" i="11"/>
  <c r="B566" i="11"/>
  <c r="D566" i="11"/>
  <c r="R566" i="11"/>
  <c r="B567" i="11"/>
  <c r="D567" i="11"/>
  <c r="R567" i="11"/>
  <c r="B568" i="11"/>
  <c r="D568" i="11"/>
  <c r="R568" i="11"/>
  <c r="B569" i="11"/>
  <c r="D569" i="11"/>
  <c r="R569" i="11"/>
  <c r="B570" i="11"/>
  <c r="D570" i="11"/>
  <c r="R570" i="11"/>
  <c r="B571" i="11"/>
  <c r="D571" i="11"/>
  <c r="R571" i="11"/>
  <c r="B572" i="11"/>
  <c r="D572" i="11"/>
  <c r="R572" i="11"/>
  <c r="B573" i="11"/>
  <c r="D573" i="11"/>
  <c r="R573" i="11"/>
  <c r="B574" i="11"/>
  <c r="D574" i="11"/>
  <c r="R574" i="11"/>
  <c r="B575" i="11"/>
  <c r="D575" i="11"/>
  <c r="R575" i="11"/>
  <c r="B576" i="11"/>
  <c r="D576" i="11"/>
  <c r="R576" i="11"/>
  <c r="B577" i="11"/>
  <c r="D577" i="11"/>
  <c r="R577" i="11"/>
  <c r="B578" i="11"/>
  <c r="D578" i="11"/>
  <c r="R578" i="11"/>
  <c r="B579" i="11"/>
  <c r="D579" i="11"/>
  <c r="R579" i="11"/>
  <c r="B580" i="11"/>
  <c r="D580" i="11"/>
  <c r="R580" i="11"/>
  <c r="B581" i="11"/>
  <c r="D581" i="11"/>
  <c r="R581" i="11"/>
  <c r="B582" i="11"/>
  <c r="D582" i="11"/>
  <c r="R582" i="11"/>
  <c r="B583" i="11"/>
  <c r="D583" i="11"/>
  <c r="R583" i="11"/>
  <c r="B584" i="11"/>
  <c r="D584" i="11"/>
  <c r="R584" i="11"/>
  <c r="B585" i="11"/>
  <c r="D585" i="11"/>
  <c r="R585" i="11"/>
  <c r="B586" i="11"/>
  <c r="D586" i="11"/>
  <c r="R586" i="11"/>
  <c r="B587" i="11"/>
  <c r="D587" i="11"/>
  <c r="R587" i="11"/>
  <c r="B588" i="11"/>
  <c r="D588" i="11"/>
  <c r="R588" i="11"/>
  <c r="B589" i="11"/>
  <c r="D589" i="11"/>
  <c r="R589" i="11"/>
  <c r="B590" i="11"/>
  <c r="D590" i="11"/>
  <c r="R590" i="11"/>
  <c r="B591" i="11"/>
  <c r="D591" i="11"/>
  <c r="R591" i="11"/>
  <c r="B592" i="11"/>
  <c r="D592" i="11"/>
  <c r="R592" i="11"/>
  <c r="B593" i="11"/>
  <c r="D593" i="11"/>
  <c r="R593" i="11"/>
  <c r="B594" i="11"/>
  <c r="D594" i="11"/>
  <c r="R594" i="11"/>
  <c r="B595" i="11"/>
  <c r="D595" i="11"/>
  <c r="R595" i="11"/>
  <c r="B596" i="11"/>
  <c r="D596" i="11"/>
  <c r="R596" i="11"/>
  <c r="B597" i="11"/>
  <c r="D597" i="11"/>
  <c r="R597" i="11"/>
  <c r="B598" i="11"/>
  <c r="D598" i="11"/>
  <c r="R598" i="11"/>
  <c r="B599" i="11"/>
  <c r="D599" i="11"/>
  <c r="R599" i="11"/>
  <c r="B600" i="11"/>
  <c r="D600" i="11"/>
  <c r="R600" i="11"/>
  <c r="B601" i="11"/>
  <c r="D601" i="11"/>
  <c r="R601" i="11"/>
  <c r="B602" i="11"/>
  <c r="D602" i="11"/>
  <c r="R602" i="11"/>
  <c r="B603" i="11"/>
  <c r="D603" i="11"/>
  <c r="R603" i="11"/>
  <c r="B604" i="11"/>
  <c r="D604" i="11"/>
  <c r="R604" i="11"/>
  <c r="B605" i="11"/>
  <c r="D605" i="11"/>
  <c r="R605" i="11"/>
  <c r="B606" i="11"/>
  <c r="D606" i="11"/>
  <c r="R606" i="11"/>
  <c r="B607" i="11"/>
  <c r="D607" i="11"/>
  <c r="R607" i="11"/>
  <c r="B608" i="11"/>
  <c r="D608" i="11"/>
  <c r="R608" i="11"/>
  <c r="B609" i="11"/>
  <c r="D609" i="11"/>
  <c r="R609" i="11"/>
  <c r="B610" i="11"/>
  <c r="D610" i="11"/>
  <c r="R610" i="11"/>
  <c r="B611" i="11"/>
  <c r="D611" i="11"/>
  <c r="R611" i="11"/>
  <c r="B612" i="11"/>
  <c r="D612" i="11"/>
  <c r="R612" i="11"/>
  <c r="B613" i="11"/>
  <c r="D613" i="11"/>
  <c r="R613" i="11"/>
  <c r="B614" i="11"/>
  <c r="D614" i="11"/>
  <c r="R614" i="11"/>
  <c r="B615" i="11"/>
  <c r="D615" i="11"/>
  <c r="R615" i="11"/>
  <c r="B616" i="11"/>
  <c r="D616" i="11"/>
  <c r="R616" i="11"/>
  <c r="B617" i="11"/>
  <c r="D617" i="11"/>
  <c r="R617" i="11"/>
  <c r="B618" i="11"/>
  <c r="D618" i="11"/>
  <c r="R618" i="11"/>
  <c r="B619" i="11"/>
  <c r="D619" i="11"/>
  <c r="R619" i="11"/>
  <c r="B620" i="11"/>
  <c r="D620" i="11"/>
  <c r="R620" i="11"/>
  <c r="B621" i="11"/>
  <c r="D621" i="11"/>
  <c r="R621" i="11"/>
  <c r="B622" i="11"/>
  <c r="D622" i="11"/>
  <c r="R622" i="11"/>
  <c r="B623" i="11"/>
  <c r="D623" i="11"/>
  <c r="R623" i="11"/>
  <c r="B624" i="11"/>
  <c r="D624" i="11"/>
  <c r="R624" i="11"/>
  <c r="B625" i="11"/>
  <c r="D625" i="11"/>
  <c r="R625" i="11"/>
  <c r="B626" i="11"/>
  <c r="D626" i="11"/>
  <c r="R626" i="11"/>
  <c r="B627" i="11"/>
  <c r="D627" i="11"/>
  <c r="R627" i="11"/>
  <c r="B628" i="11"/>
  <c r="D628" i="11"/>
  <c r="R628" i="11"/>
  <c r="B629" i="11"/>
  <c r="D629" i="11"/>
  <c r="R629" i="11"/>
  <c r="B630" i="11"/>
  <c r="D630" i="11"/>
  <c r="R630" i="11"/>
  <c r="B631" i="11"/>
  <c r="D631" i="11"/>
  <c r="R631" i="11"/>
  <c r="B632" i="11"/>
  <c r="D632" i="11"/>
  <c r="R632" i="11"/>
  <c r="B633" i="11"/>
  <c r="D633" i="11"/>
  <c r="R633" i="11"/>
  <c r="B634" i="11"/>
  <c r="D634" i="11"/>
  <c r="R634" i="11"/>
  <c r="B635" i="11"/>
  <c r="D635" i="11"/>
  <c r="R635" i="11"/>
  <c r="B636" i="11"/>
  <c r="D636" i="11"/>
  <c r="R636" i="11"/>
  <c r="B637" i="11"/>
  <c r="D637" i="11"/>
  <c r="R637" i="11"/>
  <c r="B638" i="11"/>
  <c r="D638" i="11"/>
  <c r="R638" i="11"/>
  <c r="B639" i="11"/>
  <c r="D639" i="11"/>
  <c r="R639" i="11"/>
  <c r="B640" i="11"/>
  <c r="D640" i="11"/>
  <c r="R640" i="11"/>
  <c r="B641" i="11"/>
  <c r="D641" i="11"/>
  <c r="R641" i="11"/>
  <c r="B642" i="11"/>
  <c r="D642" i="11"/>
  <c r="R642" i="11"/>
  <c r="B643" i="11"/>
  <c r="D643" i="11"/>
  <c r="R643" i="11"/>
  <c r="B644" i="11"/>
  <c r="D644" i="11"/>
  <c r="R644" i="11"/>
  <c r="B646" i="11"/>
  <c r="D646" i="11"/>
  <c r="R646" i="11"/>
  <c r="B647" i="11"/>
  <c r="D647" i="11"/>
  <c r="R647" i="11"/>
  <c r="B648" i="11"/>
  <c r="D648" i="11"/>
  <c r="R648" i="11"/>
  <c r="B649" i="11"/>
  <c r="D649" i="11"/>
  <c r="R649" i="11"/>
  <c r="B650" i="11"/>
  <c r="D650" i="11"/>
  <c r="R650" i="11"/>
  <c r="B651" i="11"/>
  <c r="D651" i="11"/>
  <c r="R651" i="11"/>
  <c r="B652" i="11"/>
  <c r="D652" i="11"/>
  <c r="R652" i="11"/>
  <c r="B653" i="11"/>
  <c r="D653" i="11"/>
  <c r="R653" i="11"/>
  <c r="B654" i="11"/>
  <c r="D654" i="11"/>
  <c r="R654" i="11"/>
  <c r="B655" i="11"/>
  <c r="D655" i="11"/>
  <c r="R655" i="11"/>
  <c r="B656" i="11"/>
  <c r="D656" i="11"/>
  <c r="R656" i="11"/>
  <c r="B657" i="11"/>
  <c r="D657" i="11"/>
  <c r="R657" i="11"/>
  <c r="B658" i="11"/>
  <c r="D658" i="11"/>
  <c r="R658" i="11"/>
  <c r="B659" i="11"/>
  <c r="D659" i="11"/>
  <c r="R659" i="11"/>
  <c r="B660" i="11"/>
  <c r="D660" i="11"/>
  <c r="R660" i="11"/>
  <c r="B661" i="11"/>
  <c r="D661" i="11"/>
  <c r="R661" i="11"/>
  <c r="B662" i="11"/>
  <c r="D662" i="11"/>
  <c r="R662" i="11"/>
  <c r="B663" i="11"/>
  <c r="D663" i="11"/>
  <c r="R663" i="11"/>
  <c r="B664" i="11"/>
  <c r="D664" i="11"/>
  <c r="R664" i="11"/>
  <c r="B665" i="11"/>
  <c r="D665" i="11"/>
  <c r="R665" i="11"/>
  <c r="B666" i="11"/>
  <c r="D666" i="11"/>
  <c r="R666" i="11"/>
  <c r="B667" i="11"/>
  <c r="D667" i="11"/>
  <c r="R667" i="11"/>
  <c r="B668" i="11"/>
  <c r="D668" i="11"/>
  <c r="R668" i="11"/>
  <c r="B669" i="11"/>
  <c r="D669" i="11"/>
  <c r="R669" i="11"/>
  <c r="B670" i="11"/>
  <c r="D670" i="11"/>
  <c r="R670" i="11"/>
  <c r="B671" i="11"/>
  <c r="D671" i="11"/>
  <c r="R671" i="11"/>
  <c r="B672" i="11"/>
  <c r="D672" i="11"/>
  <c r="R672" i="11"/>
  <c r="B673" i="11"/>
  <c r="D673" i="11"/>
  <c r="R673" i="11"/>
  <c r="B674" i="11"/>
  <c r="D674" i="11"/>
  <c r="R674" i="11"/>
  <c r="B675" i="11"/>
  <c r="D675" i="11"/>
  <c r="R675" i="11"/>
  <c r="B676" i="11"/>
  <c r="D676" i="11"/>
  <c r="R676" i="11"/>
  <c r="B677" i="11"/>
  <c r="D677" i="11"/>
  <c r="R677" i="11"/>
  <c r="B678" i="11"/>
  <c r="D678" i="11"/>
  <c r="R678" i="11"/>
  <c r="B679" i="11"/>
  <c r="D679" i="11"/>
  <c r="R679" i="11"/>
  <c r="B680" i="11"/>
  <c r="D680" i="11"/>
  <c r="R680" i="11"/>
  <c r="B681" i="11"/>
  <c r="D681" i="11"/>
  <c r="R681" i="11"/>
  <c r="B682" i="11"/>
  <c r="D682" i="11"/>
  <c r="R682" i="11"/>
  <c r="B683" i="11"/>
  <c r="D683" i="11"/>
  <c r="R683" i="11"/>
  <c r="B684" i="11"/>
  <c r="D684" i="11"/>
  <c r="R684" i="11"/>
  <c r="B685" i="11"/>
  <c r="D685" i="11"/>
  <c r="R685" i="11"/>
  <c r="B686" i="11"/>
  <c r="D686" i="11"/>
  <c r="R686" i="11"/>
  <c r="B687" i="11"/>
  <c r="D687" i="11"/>
  <c r="R687" i="11"/>
  <c r="B688" i="11"/>
  <c r="D688" i="11"/>
  <c r="R688" i="11"/>
  <c r="B689" i="11"/>
  <c r="D689" i="11"/>
  <c r="R689" i="11"/>
  <c r="B690" i="11"/>
  <c r="D690" i="11"/>
  <c r="R690" i="11"/>
  <c r="B691" i="11"/>
  <c r="D691" i="11"/>
  <c r="R691" i="11"/>
  <c r="B692" i="11"/>
  <c r="D692" i="11"/>
  <c r="R692" i="11"/>
  <c r="B693" i="11"/>
  <c r="D693" i="11"/>
  <c r="R693" i="11"/>
  <c r="B694" i="11"/>
  <c r="D694" i="11"/>
  <c r="R694" i="11"/>
  <c r="B695" i="11"/>
  <c r="D695" i="11"/>
  <c r="R695" i="11"/>
  <c r="B696" i="11"/>
  <c r="D696" i="11"/>
  <c r="R696" i="11"/>
  <c r="B697" i="11"/>
  <c r="D697" i="11"/>
  <c r="R697" i="11"/>
  <c r="B698" i="11"/>
  <c r="D698" i="11"/>
  <c r="R698" i="11"/>
  <c r="B699" i="11"/>
  <c r="D699" i="11"/>
  <c r="R699" i="11"/>
  <c r="B700" i="11"/>
  <c r="D700" i="11"/>
  <c r="R700" i="11"/>
  <c r="B701" i="11"/>
  <c r="D701" i="11"/>
  <c r="R701" i="11"/>
  <c r="B702" i="11"/>
  <c r="D702" i="11"/>
  <c r="R702" i="11"/>
  <c r="B703" i="11"/>
  <c r="D703" i="11"/>
  <c r="R703" i="11"/>
  <c r="B704" i="11"/>
  <c r="D704" i="11"/>
  <c r="R704" i="11"/>
  <c r="B705" i="11"/>
  <c r="D705" i="11"/>
  <c r="R705" i="11"/>
  <c r="B706" i="11"/>
  <c r="D706" i="11"/>
  <c r="R706" i="11"/>
  <c r="B707" i="11"/>
  <c r="D707" i="11"/>
  <c r="R707" i="11"/>
  <c r="B708" i="11"/>
  <c r="D708" i="11"/>
  <c r="R708" i="11"/>
  <c r="B709" i="11"/>
  <c r="D709" i="11"/>
  <c r="R709" i="11"/>
  <c r="B710" i="11"/>
  <c r="D710" i="11"/>
  <c r="R710" i="11"/>
  <c r="B711" i="11"/>
  <c r="D711" i="11"/>
  <c r="R711" i="11"/>
  <c r="B712" i="11"/>
  <c r="D712" i="11"/>
  <c r="R712" i="11"/>
  <c r="B713" i="11"/>
  <c r="D713" i="11"/>
  <c r="R713" i="11"/>
  <c r="B714" i="11"/>
  <c r="D714" i="11"/>
  <c r="R714" i="11"/>
  <c r="B715" i="11"/>
  <c r="D715" i="11"/>
  <c r="R715" i="11"/>
  <c r="B716" i="11"/>
  <c r="D716" i="11"/>
  <c r="R716" i="11"/>
  <c r="B717" i="11"/>
  <c r="D717" i="11"/>
  <c r="R717" i="11"/>
  <c r="B718" i="11"/>
  <c r="D718" i="11"/>
  <c r="R718" i="11"/>
  <c r="B719" i="11"/>
  <c r="D719" i="11"/>
  <c r="R719" i="11"/>
  <c r="B720" i="11"/>
  <c r="D720" i="11"/>
  <c r="R720" i="11"/>
  <c r="B721" i="11"/>
  <c r="D721" i="11"/>
  <c r="R721" i="11"/>
  <c r="B722" i="11"/>
  <c r="D722" i="11"/>
  <c r="R722" i="11"/>
  <c r="B723" i="11"/>
  <c r="D723" i="11"/>
  <c r="R723" i="11"/>
  <c r="B724" i="11"/>
  <c r="D724" i="11"/>
  <c r="R724" i="11"/>
  <c r="B725" i="11"/>
  <c r="D725" i="11"/>
  <c r="R725" i="11"/>
  <c r="B726" i="11"/>
  <c r="D726" i="11"/>
  <c r="R726" i="11"/>
  <c r="B727" i="11"/>
  <c r="D727" i="11"/>
  <c r="R727" i="11"/>
  <c r="B728" i="11"/>
  <c r="D728" i="11"/>
  <c r="R728" i="11"/>
  <c r="B729" i="11"/>
  <c r="D729" i="11"/>
  <c r="R729" i="11"/>
  <c r="B730" i="11"/>
  <c r="D730" i="11"/>
  <c r="R730" i="11"/>
  <c r="B731" i="11"/>
  <c r="D731" i="11"/>
  <c r="R731" i="11"/>
  <c r="B732" i="11"/>
  <c r="D732" i="11"/>
  <c r="R732" i="11"/>
  <c r="B733" i="11"/>
  <c r="D733" i="11"/>
  <c r="R733" i="11"/>
  <c r="B734" i="11"/>
  <c r="D734" i="11"/>
  <c r="R734" i="11"/>
  <c r="B735" i="11"/>
  <c r="D735" i="11"/>
  <c r="R735" i="11"/>
  <c r="B736" i="11"/>
  <c r="D736" i="11"/>
  <c r="R736" i="11"/>
  <c r="B737" i="11"/>
  <c r="D737" i="11"/>
  <c r="R737" i="11"/>
  <c r="B738" i="11"/>
  <c r="D738" i="11"/>
  <c r="R738" i="11"/>
  <c r="B739" i="11"/>
  <c r="D739" i="11"/>
  <c r="R739" i="11"/>
  <c r="B740" i="11"/>
  <c r="D740" i="11"/>
  <c r="R740" i="11"/>
  <c r="B741" i="11"/>
  <c r="D741" i="11"/>
  <c r="R741" i="11"/>
  <c r="B742" i="11"/>
  <c r="D742" i="11"/>
  <c r="R742" i="11"/>
  <c r="B743" i="11"/>
  <c r="D743" i="11"/>
  <c r="R743" i="11"/>
  <c r="B744" i="11"/>
  <c r="D744" i="11"/>
  <c r="R744" i="11"/>
  <c r="B745" i="11"/>
  <c r="D745" i="11"/>
  <c r="R745" i="11"/>
  <c r="B746" i="11"/>
  <c r="D746" i="11"/>
  <c r="R746" i="11"/>
  <c r="B747" i="11"/>
  <c r="D747" i="11"/>
  <c r="R747" i="11"/>
  <c r="B748" i="11"/>
  <c r="D748" i="11"/>
  <c r="R748" i="11"/>
  <c r="B749" i="11"/>
  <c r="D749" i="11"/>
  <c r="R749" i="11"/>
  <c r="B750" i="11"/>
  <c r="D750" i="11"/>
  <c r="R750" i="11"/>
  <c r="B751" i="11"/>
  <c r="D751" i="11"/>
  <c r="R751" i="11"/>
  <c r="B752" i="11"/>
  <c r="D752" i="11"/>
  <c r="R752" i="11"/>
  <c r="B753" i="11"/>
  <c r="D753" i="11"/>
  <c r="R753" i="11"/>
  <c r="B754" i="11"/>
  <c r="D754" i="11"/>
  <c r="R754" i="11"/>
  <c r="B755" i="11"/>
  <c r="D755" i="11"/>
  <c r="R755" i="11"/>
  <c r="B756" i="11"/>
  <c r="D756" i="11"/>
  <c r="R756" i="11"/>
  <c r="B757" i="11"/>
  <c r="D757" i="11"/>
  <c r="R757" i="11"/>
  <c r="B758" i="11"/>
  <c r="D758" i="11"/>
  <c r="R758" i="11"/>
  <c r="B759" i="11"/>
  <c r="D759" i="11"/>
  <c r="R759" i="11"/>
  <c r="B760" i="11"/>
  <c r="D760" i="11"/>
  <c r="R760" i="11"/>
  <c r="B761" i="11"/>
  <c r="D761" i="11"/>
  <c r="R761" i="11"/>
  <c r="B762" i="11"/>
  <c r="D762" i="11"/>
  <c r="R762" i="11"/>
  <c r="B763" i="11"/>
  <c r="D763" i="11"/>
  <c r="R763" i="11"/>
  <c r="B764" i="11"/>
  <c r="D764" i="11"/>
  <c r="R764" i="11"/>
  <c r="B765" i="11"/>
  <c r="D765" i="11"/>
  <c r="R765" i="11"/>
  <c r="B766" i="11"/>
  <c r="D766" i="11"/>
  <c r="R766" i="11"/>
  <c r="B767" i="11"/>
  <c r="D767" i="11"/>
  <c r="R767" i="11"/>
  <c r="B768" i="11"/>
  <c r="D768" i="11"/>
  <c r="R768" i="11"/>
  <c r="B769" i="11"/>
  <c r="D769" i="11"/>
  <c r="R769" i="11"/>
  <c r="B770" i="11"/>
  <c r="D770" i="11"/>
  <c r="R770" i="11"/>
  <c r="B771" i="11"/>
  <c r="D771" i="11"/>
  <c r="R771" i="11"/>
  <c r="B772" i="11"/>
  <c r="D772" i="11"/>
  <c r="R772" i="11"/>
  <c r="B773" i="11"/>
  <c r="D773" i="11"/>
  <c r="R773" i="11"/>
  <c r="B774" i="11"/>
  <c r="D774" i="11"/>
  <c r="R774" i="11"/>
  <c r="B775" i="11"/>
  <c r="D775" i="11"/>
  <c r="R775" i="11"/>
  <c r="B776" i="11"/>
  <c r="D776" i="11"/>
  <c r="R776" i="11"/>
  <c r="B777" i="11"/>
  <c r="D777" i="11"/>
  <c r="R777" i="11"/>
  <c r="B778" i="11"/>
  <c r="D778" i="11"/>
  <c r="R778" i="11"/>
  <c r="B779" i="11"/>
  <c r="D779" i="11"/>
  <c r="R779" i="11"/>
  <c r="B780" i="11"/>
  <c r="D780" i="11"/>
  <c r="R780" i="11"/>
  <c r="B781" i="11"/>
  <c r="D781" i="11"/>
  <c r="R781" i="11"/>
  <c r="B782" i="11"/>
  <c r="D782" i="11"/>
  <c r="R782" i="11"/>
  <c r="B783" i="11"/>
  <c r="D783" i="11"/>
  <c r="R783" i="11"/>
  <c r="B784" i="11"/>
  <c r="D784" i="11"/>
  <c r="R784" i="11"/>
  <c r="B785" i="11"/>
  <c r="D785" i="11"/>
  <c r="R785" i="11"/>
  <c r="B786" i="11"/>
  <c r="D786" i="11"/>
  <c r="R786" i="11"/>
  <c r="B787" i="11"/>
  <c r="D787" i="11"/>
  <c r="R787" i="11"/>
  <c r="B788" i="11"/>
  <c r="D788" i="11"/>
  <c r="R788" i="11"/>
  <c r="B789" i="11"/>
  <c r="D789" i="11"/>
  <c r="R789" i="11"/>
  <c r="B790" i="11"/>
  <c r="D790" i="11"/>
  <c r="R790" i="11"/>
  <c r="B791" i="11"/>
  <c r="D791" i="11"/>
  <c r="R791" i="11"/>
  <c r="B792" i="11"/>
  <c r="D792" i="11"/>
  <c r="R792" i="11"/>
  <c r="B793" i="11"/>
  <c r="D793" i="11"/>
  <c r="R793" i="11"/>
  <c r="B794" i="11"/>
  <c r="D794" i="11"/>
  <c r="R794" i="11"/>
  <c r="B795" i="11"/>
  <c r="D795" i="11"/>
  <c r="R795" i="11"/>
  <c r="B796" i="11"/>
  <c r="D796" i="11"/>
  <c r="R796" i="11"/>
  <c r="B797" i="11"/>
  <c r="D797" i="11"/>
  <c r="R797" i="11"/>
  <c r="B798" i="11"/>
  <c r="D798" i="11"/>
  <c r="R798" i="11"/>
  <c r="B799" i="11"/>
  <c r="D799" i="11"/>
  <c r="R799" i="11"/>
  <c r="B800" i="11"/>
  <c r="D800" i="11"/>
  <c r="R800" i="11"/>
  <c r="B801" i="11"/>
  <c r="D801" i="11"/>
  <c r="R801" i="11"/>
  <c r="B802" i="11"/>
  <c r="D802" i="11"/>
  <c r="R802" i="11"/>
  <c r="B803" i="11"/>
  <c r="D803" i="11"/>
  <c r="R803" i="11"/>
  <c r="B804" i="11"/>
  <c r="D804" i="11"/>
  <c r="R804" i="11"/>
  <c r="B805" i="11"/>
  <c r="D805" i="11"/>
  <c r="R805" i="11"/>
  <c r="B806" i="11"/>
  <c r="D806" i="11"/>
  <c r="R806" i="11"/>
  <c r="B807" i="11"/>
  <c r="D807" i="11"/>
  <c r="R807" i="11"/>
  <c r="B808" i="11"/>
  <c r="D808" i="11"/>
  <c r="R808" i="11"/>
  <c r="B809" i="11"/>
  <c r="D809" i="11"/>
  <c r="R809" i="11"/>
  <c r="B810" i="11"/>
  <c r="D810" i="11"/>
  <c r="R810" i="11"/>
  <c r="B811" i="11"/>
  <c r="D811" i="11"/>
  <c r="R811" i="11"/>
  <c r="B812" i="11"/>
  <c r="D812" i="11"/>
  <c r="R812" i="11"/>
  <c r="B813" i="11"/>
  <c r="D813" i="11"/>
  <c r="R813" i="11"/>
  <c r="B814" i="11"/>
  <c r="D814" i="11"/>
  <c r="R814" i="11"/>
  <c r="B815" i="11"/>
  <c r="D815" i="11"/>
  <c r="R815" i="11"/>
  <c r="B816" i="11"/>
  <c r="D816" i="11"/>
  <c r="R816" i="11"/>
  <c r="B817" i="11"/>
  <c r="D817" i="11"/>
  <c r="R817" i="11"/>
  <c r="B818" i="11"/>
  <c r="D818" i="11"/>
  <c r="R818" i="11"/>
  <c r="B819" i="11"/>
  <c r="D819" i="11"/>
  <c r="R819" i="11"/>
  <c r="B820" i="11"/>
  <c r="D820" i="11"/>
  <c r="R820" i="11"/>
  <c r="B821" i="11"/>
  <c r="D821" i="11"/>
  <c r="R821" i="11"/>
  <c r="B822" i="11"/>
  <c r="D822" i="11"/>
  <c r="R822" i="11"/>
  <c r="B823" i="11"/>
  <c r="D823" i="11"/>
  <c r="R823" i="11"/>
  <c r="B824" i="11"/>
  <c r="D824" i="11"/>
  <c r="R824" i="11"/>
  <c r="B825" i="11"/>
  <c r="D825" i="11"/>
  <c r="R825" i="11"/>
  <c r="B826" i="11"/>
  <c r="D826" i="11"/>
  <c r="R826" i="11"/>
  <c r="B827" i="11"/>
  <c r="D827" i="11"/>
  <c r="R827" i="11"/>
  <c r="B828" i="11"/>
  <c r="D828" i="11"/>
  <c r="R828" i="11"/>
  <c r="B829" i="11"/>
  <c r="D829" i="11"/>
  <c r="R829" i="11"/>
  <c r="B830" i="11"/>
  <c r="D830" i="11"/>
  <c r="R830" i="11"/>
  <c r="B831" i="11"/>
  <c r="D831" i="11"/>
  <c r="R831" i="11"/>
  <c r="B832" i="11"/>
  <c r="D832" i="11"/>
  <c r="R832" i="11"/>
  <c r="B833" i="11"/>
  <c r="D833" i="11"/>
  <c r="R833" i="11"/>
  <c r="B834" i="11"/>
  <c r="D834" i="11"/>
  <c r="R834" i="11"/>
  <c r="B835" i="11"/>
  <c r="D835" i="11"/>
  <c r="R835" i="11"/>
  <c r="B836" i="11"/>
  <c r="D836" i="11"/>
  <c r="R836" i="11"/>
  <c r="B837" i="11"/>
  <c r="D837" i="11"/>
  <c r="R837" i="11"/>
  <c r="B838" i="11"/>
  <c r="D838" i="11"/>
  <c r="R838" i="11"/>
  <c r="B839" i="11"/>
  <c r="D839" i="11"/>
  <c r="R839" i="11"/>
  <c r="B840" i="11"/>
  <c r="D840" i="11"/>
  <c r="R840" i="11"/>
  <c r="B841" i="11"/>
  <c r="D841" i="11"/>
  <c r="R841" i="11"/>
  <c r="B842" i="11"/>
  <c r="D842" i="11"/>
  <c r="R842" i="11"/>
  <c r="B843" i="11"/>
  <c r="D843" i="11"/>
  <c r="R843" i="11"/>
  <c r="B844" i="11"/>
  <c r="D844" i="11"/>
  <c r="R844" i="11"/>
  <c r="B845" i="11"/>
  <c r="D845" i="11"/>
  <c r="R845" i="11"/>
  <c r="B846" i="11"/>
  <c r="D846" i="11"/>
  <c r="R846" i="11"/>
  <c r="B847" i="11"/>
  <c r="D847" i="11"/>
  <c r="R847" i="11"/>
  <c r="B848" i="11"/>
  <c r="D848" i="11"/>
  <c r="R848" i="11"/>
  <c r="B849" i="11"/>
  <c r="D849" i="11"/>
  <c r="R849" i="11"/>
  <c r="B850" i="11"/>
  <c r="D850" i="11"/>
  <c r="R850" i="11"/>
  <c r="B851" i="11"/>
  <c r="D851" i="11"/>
  <c r="R851" i="11"/>
  <c r="B852" i="11"/>
  <c r="D852" i="11"/>
  <c r="R852" i="11"/>
  <c r="B853" i="11"/>
  <c r="D853" i="11"/>
  <c r="R853" i="11"/>
  <c r="B854" i="11"/>
  <c r="D854" i="11"/>
  <c r="R854" i="11"/>
  <c r="B855" i="11"/>
  <c r="D855" i="11"/>
  <c r="R855" i="11"/>
  <c r="B856" i="11"/>
  <c r="D856" i="11"/>
  <c r="R856" i="11"/>
  <c r="B857" i="11"/>
  <c r="D857" i="11"/>
  <c r="R857" i="11"/>
  <c r="B858" i="11"/>
  <c r="D858" i="11"/>
  <c r="R858" i="11"/>
  <c r="B859" i="11"/>
  <c r="D859" i="11"/>
  <c r="R859" i="11"/>
  <c r="B860" i="11"/>
  <c r="D860" i="11"/>
  <c r="R860" i="11"/>
  <c r="B861" i="11"/>
  <c r="D861" i="11"/>
  <c r="R861" i="11"/>
  <c r="B862" i="11"/>
  <c r="D862" i="11"/>
  <c r="R862" i="11"/>
  <c r="B863" i="11"/>
  <c r="D863" i="11"/>
  <c r="R863" i="11"/>
  <c r="B864" i="11"/>
  <c r="D864" i="11"/>
  <c r="R864" i="11"/>
  <c r="B865" i="11"/>
  <c r="D865" i="11"/>
  <c r="R865" i="11"/>
  <c r="B866" i="11"/>
  <c r="D866" i="11"/>
  <c r="R866" i="11"/>
  <c r="B867" i="11"/>
  <c r="D867" i="11"/>
  <c r="R867" i="11"/>
  <c r="B868" i="11"/>
  <c r="D868" i="11"/>
  <c r="R868" i="11"/>
  <c r="B869" i="11"/>
  <c r="D869" i="11"/>
  <c r="R869" i="11"/>
  <c r="B870" i="11"/>
  <c r="D870" i="11"/>
  <c r="R870" i="11"/>
  <c r="B871" i="11"/>
  <c r="D871" i="11"/>
  <c r="R871" i="11"/>
  <c r="B872" i="11"/>
  <c r="D872" i="11"/>
  <c r="R872" i="11"/>
  <c r="B873" i="11"/>
  <c r="D873" i="11"/>
  <c r="R873" i="11"/>
  <c r="B874" i="11"/>
  <c r="D874" i="11"/>
  <c r="R874" i="11"/>
  <c r="B875" i="11"/>
  <c r="D875" i="11"/>
  <c r="R875" i="11"/>
  <c r="B876" i="11"/>
  <c r="D876" i="11"/>
  <c r="R876" i="11"/>
  <c r="B877" i="11"/>
  <c r="D877" i="11"/>
  <c r="R877" i="11"/>
  <c r="B878" i="11"/>
  <c r="D878" i="11"/>
  <c r="R878" i="11"/>
  <c r="B879" i="11"/>
  <c r="D879" i="11"/>
  <c r="R879" i="11"/>
  <c r="B880" i="11"/>
  <c r="D880" i="11"/>
  <c r="R880" i="11"/>
  <c r="B881" i="11"/>
  <c r="D881" i="11"/>
  <c r="R881" i="11"/>
  <c r="B882" i="11"/>
  <c r="D882" i="11"/>
  <c r="R882" i="11"/>
  <c r="B883" i="11"/>
  <c r="D883" i="11"/>
  <c r="R883" i="11"/>
  <c r="B884" i="11"/>
  <c r="D884" i="11"/>
  <c r="R884" i="11"/>
  <c r="B885" i="11"/>
  <c r="D885" i="11"/>
  <c r="R885" i="11"/>
  <c r="B886" i="11"/>
  <c r="D886" i="11"/>
  <c r="R886" i="11"/>
  <c r="B887" i="11"/>
  <c r="D887" i="11"/>
  <c r="R887" i="11"/>
  <c r="B888" i="11"/>
  <c r="D888" i="11"/>
  <c r="R888" i="11"/>
  <c r="B889" i="11"/>
  <c r="D889" i="11"/>
  <c r="R889" i="11"/>
  <c r="B890" i="11"/>
  <c r="D890" i="11"/>
  <c r="R890" i="11"/>
  <c r="B891" i="11"/>
  <c r="D891" i="11"/>
  <c r="R891" i="11"/>
  <c r="B892" i="11"/>
  <c r="D892" i="11"/>
  <c r="R892" i="11"/>
  <c r="B893" i="11"/>
  <c r="D893" i="11"/>
  <c r="R893" i="11"/>
  <c r="B894" i="11"/>
  <c r="D894" i="11"/>
  <c r="R894" i="11"/>
  <c r="B895" i="11"/>
  <c r="D895" i="11"/>
  <c r="R895" i="11"/>
  <c r="B896" i="11"/>
  <c r="D896" i="11"/>
  <c r="R896" i="11"/>
  <c r="B897" i="11"/>
  <c r="D897" i="11"/>
  <c r="R897" i="11"/>
  <c r="B898" i="11"/>
  <c r="D898" i="11"/>
  <c r="R898" i="11"/>
  <c r="B899" i="11"/>
  <c r="D899" i="11"/>
  <c r="R899" i="11"/>
  <c r="B900" i="11"/>
  <c r="D900" i="11"/>
  <c r="R900" i="11"/>
  <c r="B901" i="11"/>
  <c r="D901" i="11"/>
  <c r="R901" i="11"/>
  <c r="B902" i="11"/>
  <c r="D902" i="11"/>
  <c r="R902" i="11"/>
  <c r="B903" i="11"/>
  <c r="D903" i="11"/>
  <c r="R903" i="11"/>
  <c r="B904" i="11"/>
  <c r="D904" i="11"/>
  <c r="R904" i="11"/>
  <c r="B905" i="11"/>
  <c r="D905" i="11"/>
  <c r="R905" i="11"/>
  <c r="B906" i="11"/>
  <c r="D906" i="11"/>
  <c r="R906" i="11"/>
  <c r="B907" i="11"/>
  <c r="D907" i="11"/>
  <c r="R907" i="11"/>
  <c r="B908" i="11"/>
  <c r="D908" i="11"/>
  <c r="R908" i="11"/>
  <c r="B909" i="11"/>
  <c r="D909" i="11"/>
  <c r="R909" i="11"/>
  <c r="B910" i="11"/>
  <c r="D910" i="11"/>
  <c r="R910" i="11"/>
  <c r="B911" i="11"/>
  <c r="D911" i="11"/>
  <c r="R911" i="11"/>
  <c r="B912" i="11"/>
  <c r="D912" i="11"/>
  <c r="R912" i="11"/>
  <c r="B913" i="11"/>
  <c r="D913" i="11"/>
  <c r="R913" i="11"/>
  <c r="B914" i="11"/>
  <c r="D914" i="11"/>
  <c r="R914" i="11"/>
  <c r="B915" i="11"/>
  <c r="D915" i="11"/>
  <c r="R915" i="11"/>
  <c r="B916" i="11"/>
  <c r="D916" i="11"/>
  <c r="R916" i="11"/>
  <c r="B917" i="11"/>
  <c r="D917" i="11"/>
  <c r="R917" i="11"/>
  <c r="B918" i="11"/>
  <c r="D918" i="11"/>
  <c r="R918" i="11"/>
  <c r="B919" i="11"/>
  <c r="D919" i="11"/>
  <c r="R919" i="11"/>
  <c r="B920" i="11"/>
  <c r="D920" i="11"/>
  <c r="R920" i="11"/>
  <c r="B921" i="11"/>
  <c r="D921" i="11"/>
  <c r="R921" i="11"/>
  <c r="B922" i="11"/>
  <c r="D922" i="11"/>
  <c r="R922" i="11"/>
  <c r="B923" i="11"/>
  <c r="D923" i="11"/>
  <c r="R923" i="11"/>
  <c r="B924" i="11"/>
  <c r="D924" i="11"/>
  <c r="R924" i="11"/>
  <c r="B925" i="11"/>
  <c r="D925" i="11"/>
  <c r="R925" i="11"/>
  <c r="B926" i="11"/>
  <c r="D926" i="11"/>
  <c r="R926" i="11"/>
  <c r="B927" i="11"/>
  <c r="D927" i="11"/>
  <c r="R927" i="11"/>
  <c r="B928" i="11"/>
  <c r="D928" i="11"/>
  <c r="R928" i="11"/>
  <c r="B929" i="11"/>
  <c r="D929" i="11"/>
  <c r="R929" i="11"/>
  <c r="B930" i="11"/>
  <c r="D930" i="11"/>
  <c r="R930" i="11"/>
  <c r="B931" i="11"/>
  <c r="D931" i="11"/>
  <c r="R931" i="11"/>
  <c r="B932" i="11"/>
  <c r="D932" i="11"/>
  <c r="R932" i="11"/>
  <c r="B933" i="11"/>
  <c r="D933" i="11"/>
  <c r="R933" i="11"/>
  <c r="B934" i="11"/>
  <c r="D934" i="11"/>
  <c r="R934" i="11"/>
  <c r="B935" i="11"/>
  <c r="D935" i="11"/>
  <c r="R935" i="11"/>
  <c r="B936" i="11"/>
  <c r="D936" i="11"/>
  <c r="R936" i="11"/>
  <c r="B937" i="11"/>
  <c r="D937" i="11"/>
  <c r="R937" i="11"/>
  <c r="B938" i="11"/>
  <c r="D938" i="11"/>
  <c r="R938" i="11"/>
  <c r="B939" i="11"/>
  <c r="D939" i="11"/>
  <c r="R939" i="11"/>
  <c r="B940" i="11"/>
  <c r="D940" i="11"/>
  <c r="R940" i="11"/>
  <c r="B941" i="11"/>
  <c r="D941" i="11"/>
  <c r="R941" i="11"/>
  <c r="B942" i="11"/>
  <c r="D942" i="11"/>
  <c r="R942" i="11"/>
  <c r="B943" i="11"/>
  <c r="D943" i="11"/>
  <c r="R943" i="11"/>
  <c r="B944" i="11"/>
  <c r="D944" i="11"/>
  <c r="R944" i="11"/>
  <c r="B945" i="11"/>
  <c r="D945" i="11"/>
  <c r="R945" i="11"/>
  <c r="B946" i="11"/>
  <c r="D946" i="11"/>
  <c r="R946" i="11"/>
  <c r="B947" i="11"/>
  <c r="D947" i="11"/>
  <c r="R947" i="11"/>
  <c r="B948" i="11"/>
  <c r="D948" i="11"/>
  <c r="R948" i="11"/>
  <c r="B949" i="11"/>
  <c r="D949" i="11"/>
  <c r="R949" i="11"/>
  <c r="B950" i="11"/>
  <c r="D950" i="11"/>
  <c r="R950" i="11"/>
  <c r="B951" i="11"/>
  <c r="D951" i="11"/>
  <c r="R951" i="11"/>
  <c r="B952" i="11"/>
  <c r="D952" i="11"/>
  <c r="R952" i="11"/>
  <c r="B953" i="11"/>
  <c r="D953" i="11"/>
  <c r="R953" i="11"/>
  <c r="B954" i="11"/>
  <c r="D954" i="11"/>
  <c r="R954" i="11"/>
  <c r="B955" i="11"/>
  <c r="D955" i="11"/>
  <c r="R955" i="11"/>
  <c r="B956" i="11"/>
  <c r="D956" i="11"/>
  <c r="R956" i="11"/>
  <c r="B957" i="11"/>
  <c r="D957" i="11"/>
  <c r="R957" i="11"/>
  <c r="B958" i="11"/>
  <c r="D958" i="11"/>
  <c r="R958" i="11"/>
  <c r="B959" i="11"/>
  <c r="D959" i="11"/>
  <c r="R959" i="11"/>
  <c r="B960" i="11"/>
  <c r="D960" i="11"/>
  <c r="R960" i="11"/>
  <c r="B961" i="11"/>
  <c r="D961" i="11"/>
  <c r="R961" i="11"/>
  <c r="B962" i="11"/>
  <c r="D962" i="11"/>
  <c r="R962" i="11"/>
  <c r="B963" i="11"/>
  <c r="D963" i="11"/>
  <c r="R963" i="11"/>
  <c r="B964" i="11"/>
  <c r="D964" i="11"/>
  <c r="R964" i="11"/>
  <c r="B965" i="11"/>
  <c r="D965" i="11"/>
  <c r="R965" i="11"/>
  <c r="B966" i="11"/>
  <c r="D966" i="11"/>
  <c r="R966" i="11"/>
  <c r="B967" i="11"/>
  <c r="D967" i="11"/>
  <c r="R967" i="11"/>
  <c r="B968" i="11"/>
  <c r="D968" i="11"/>
  <c r="R968" i="11"/>
  <c r="B969" i="11"/>
  <c r="D969" i="11"/>
  <c r="R969" i="11"/>
  <c r="B970" i="11"/>
  <c r="D970" i="11"/>
  <c r="R970" i="11"/>
  <c r="B971" i="11"/>
  <c r="D971" i="11"/>
  <c r="R971" i="11"/>
  <c r="B972" i="11"/>
  <c r="D972" i="11"/>
  <c r="R972" i="11"/>
  <c r="B973" i="11"/>
  <c r="D973" i="11"/>
  <c r="R973" i="11"/>
  <c r="B974" i="11"/>
  <c r="D974" i="11"/>
  <c r="R974" i="11"/>
  <c r="B975" i="11"/>
  <c r="D975" i="11"/>
  <c r="R975" i="11"/>
  <c r="B976" i="11"/>
  <c r="D976" i="11"/>
  <c r="R976" i="11"/>
  <c r="B977" i="11"/>
  <c r="D977" i="11"/>
  <c r="R977" i="11"/>
  <c r="B978" i="11"/>
  <c r="D978" i="11"/>
  <c r="R978" i="11"/>
  <c r="B979" i="11"/>
  <c r="D979" i="11"/>
  <c r="R979" i="11"/>
  <c r="B981" i="11"/>
  <c r="D981" i="11"/>
  <c r="R981" i="11"/>
  <c r="B982" i="11"/>
  <c r="D982" i="11"/>
  <c r="R982" i="11"/>
  <c r="B983" i="11"/>
  <c r="D983" i="11"/>
  <c r="R983" i="11"/>
  <c r="B984" i="11"/>
  <c r="D984" i="11"/>
  <c r="R984" i="11"/>
  <c r="B985" i="11"/>
  <c r="D985" i="11"/>
  <c r="R985" i="11"/>
  <c r="B986" i="11"/>
  <c r="D986" i="11"/>
  <c r="R986" i="11"/>
  <c r="B987" i="11"/>
  <c r="D987" i="11"/>
  <c r="R987" i="11"/>
  <c r="B988" i="11"/>
  <c r="D988" i="11"/>
  <c r="R988" i="11"/>
  <c r="B989" i="11"/>
  <c r="D989" i="11"/>
  <c r="R989" i="11"/>
  <c r="B990" i="11"/>
  <c r="D990" i="11"/>
  <c r="R990" i="11"/>
  <c r="B991" i="11"/>
  <c r="D991" i="11"/>
  <c r="R991" i="11"/>
  <c r="B992" i="11"/>
  <c r="D992" i="11"/>
  <c r="R992" i="11"/>
  <c r="B993" i="11"/>
  <c r="D993" i="11"/>
  <c r="R993" i="11"/>
  <c r="B994" i="11"/>
  <c r="D994" i="11"/>
  <c r="R994" i="11"/>
  <c r="B995" i="11"/>
  <c r="D995" i="11"/>
  <c r="R995" i="11"/>
  <c r="B996" i="11"/>
  <c r="D996" i="11"/>
  <c r="R996" i="11"/>
  <c r="B997" i="11"/>
  <c r="D997" i="11"/>
  <c r="R997" i="11"/>
  <c r="B998" i="11"/>
  <c r="D998" i="11"/>
  <c r="R998" i="11"/>
  <c r="B999" i="11"/>
  <c r="D999" i="11"/>
  <c r="R999" i="11"/>
  <c r="B1000" i="11"/>
  <c r="D1000" i="11"/>
  <c r="R1000" i="11"/>
  <c r="B1001" i="11"/>
  <c r="D1001" i="11"/>
  <c r="R1001" i="11"/>
  <c r="B1002" i="11"/>
  <c r="D1002" i="11"/>
  <c r="R1002" i="11"/>
  <c r="B1003" i="11"/>
  <c r="D1003" i="11"/>
  <c r="R1003" i="11"/>
  <c r="B1004" i="11"/>
  <c r="D1004" i="11"/>
  <c r="R1004" i="11"/>
  <c r="B1005" i="11"/>
  <c r="D1005" i="11"/>
  <c r="R1005" i="11"/>
  <c r="B1006" i="11"/>
  <c r="D1006" i="11"/>
  <c r="R1006" i="11"/>
  <c r="B1007" i="11"/>
  <c r="D1007" i="11"/>
  <c r="R1007" i="11"/>
  <c r="B1008" i="11"/>
  <c r="D1008" i="11"/>
  <c r="R1008" i="11"/>
  <c r="B1009" i="11"/>
  <c r="D1009" i="11"/>
  <c r="R1009" i="11"/>
  <c r="B1010" i="11"/>
  <c r="D1010" i="11"/>
  <c r="R1010" i="11"/>
  <c r="B1011" i="11"/>
  <c r="D1011" i="11"/>
  <c r="R1011" i="11"/>
  <c r="B1012" i="11"/>
  <c r="D1012" i="11"/>
  <c r="R1012" i="11"/>
  <c r="B1013" i="11"/>
  <c r="D1013" i="11"/>
  <c r="R1013" i="11"/>
  <c r="B1014" i="11"/>
  <c r="D1014" i="11"/>
  <c r="R1014" i="11"/>
  <c r="B1015" i="11"/>
  <c r="D1015" i="11"/>
  <c r="R1015" i="11"/>
  <c r="B1016" i="11"/>
  <c r="D1016" i="11"/>
  <c r="R1016" i="11"/>
  <c r="B1017" i="11"/>
  <c r="D1017" i="11"/>
  <c r="R1017" i="11"/>
  <c r="B1018" i="11"/>
  <c r="D1018" i="11"/>
  <c r="R1018" i="11"/>
  <c r="B1019" i="11"/>
  <c r="D1019" i="11"/>
  <c r="R1019" i="11"/>
  <c r="B1020" i="11"/>
  <c r="D1020" i="11"/>
  <c r="R1020" i="11"/>
  <c r="B1021" i="11"/>
  <c r="D1021" i="11"/>
  <c r="R1021" i="11"/>
  <c r="B1022" i="11"/>
  <c r="D1022" i="11"/>
  <c r="R1022" i="11"/>
  <c r="B1023" i="11"/>
  <c r="D1023" i="11"/>
  <c r="R1023" i="11"/>
  <c r="B1024" i="11"/>
  <c r="D1024" i="11"/>
  <c r="R1024" i="11"/>
  <c r="B1025" i="11"/>
  <c r="D1025" i="11"/>
  <c r="R1025" i="11"/>
  <c r="B1026" i="11"/>
  <c r="D1026" i="11"/>
  <c r="R1026" i="11"/>
  <c r="B1027" i="11"/>
  <c r="D1027" i="11"/>
  <c r="R1027" i="11"/>
  <c r="B1028" i="11"/>
  <c r="D1028" i="11"/>
  <c r="R1028" i="11"/>
  <c r="B1029" i="11"/>
  <c r="D1029" i="11"/>
  <c r="R1029" i="11"/>
  <c r="B1030" i="11"/>
  <c r="D1030" i="11"/>
  <c r="R1030" i="11"/>
  <c r="B1031" i="11"/>
  <c r="D1031" i="11"/>
  <c r="R1031" i="11"/>
  <c r="B1032" i="11"/>
  <c r="D1032" i="11"/>
  <c r="R1032" i="11"/>
  <c r="B1033" i="11"/>
  <c r="D1033" i="11"/>
  <c r="R1033" i="11"/>
  <c r="B1034" i="11"/>
  <c r="D1034" i="11"/>
  <c r="R1034" i="11"/>
  <c r="B1035" i="11"/>
  <c r="D1035" i="11"/>
  <c r="R1035" i="11"/>
  <c r="B1036" i="11"/>
  <c r="D1036" i="11"/>
  <c r="R1036" i="11"/>
  <c r="B1037" i="11"/>
  <c r="D1037" i="11"/>
  <c r="R1037" i="11"/>
  <c r="B1038" i="11"/>
  <c r="D1038" i="11"/>
  <c r="R1038" i="11"/>
  <c r="B1039" i="11"/>
  <c r="D1039" i="11"/>
  <c r="R1039" i="11"/>
  <c r="B1040" i="11"/>
  <c r="D1040" i="11"/>
  <c r="R1040" i="11"/>
  <c r="B1041" i="11"/>
  <c r="D1041" i="11"/>
  <c r="R1041" i="11"/>
  <c r="B1042" i="11"/>
  <c r="D1042" i="11"/>
  <c r="R1042" i="11"/>
  <c r="B1043" i="11"/>
  <c r="D1043" i="11"/>
  <c r="R1043" i="11"/>
  <c r="B1044" i="11"/>
  <c r="D1044" i="11"/>
  <c r="R1044" i="11"/>
  <c r="B1045" i="11"/>
  <c r="D1045" i="11"/>
  <c r="R1045" i="11"/>
  <c r="B1046" i="11"/>
  <c r="D1046" i="11"/>
  <c r="R1046" i="11"/>
  <c r="B1047" i="11"/>
  <c r="D1047" i="11"/>
  <c r="R1047" i="11"/>
  <c r="B1048" i="11"/>
  <c r="D1048" i="11"/>
  <c r="R1048" i="11"/>
  <c r="B1049" i="11"/>
  <c r="D1049" i="11"/>
  <c r="R1049" i="11"/>
  <c r="B1050" i="11"/>
  <c r="D1050" i="11"/>
  <c r="R1050" i="11"/>
  <c r="B1051" i="11"/>
  <c r="D1051" i="11"/>
  <c r="R1051" i="11"/>
  <c r="B1052" i="11"/>
  <c r="D1052" i="11"/>
  <c r="R1052" i="11"/>
  <c r="B1053" i="11"/>
  <c r="D1053" i="11"/>
  <c r="R1053" i="11"/>
  <c r="B1054" i="11"/>
  <c r="D1054" i="11"/>
  <c r="R1054" i="11"/>
  <c r="B1055" i="11"/>
  <c r="D1055" i="11"/>
  <c r="R1055" i="11"/>
  <c r="B1056" i="11"/>
  <c r="D1056" i="11"/>
  <c r="R1056" i="11"/>
  <c r="B1057" i="11"/>
  <c r="D1057" i="11"/>
  <c r="R1057" i="11"/>
  <c r="B1058" i="11"/>
  <c r="D1058" i="11"/>
  <c r="R1058" i="11"/>
  <c r="B1059" i="11"/>
  <c r="D1059" i="11"/>
  <c r="R1059" i="11"/>
  <c r="B1060" i="11"/>
  <c r="D1060" i="11"/>
  <c r="R1060" i="11"/>
  <c r="B1061" i="11"/>
  <c r="D1061" i="11"/>
  <c r="R1061" i="11"/>
  <c r="B1062" i="11"/>
  <c r="D1062" i="11"/>
  <c r="R1062" i="11"/>
  <c r="B1063" i="11"/>
  <c r="D1063" i="11"/>
  <c r="R1063" i="11"/>
  <c r="B1064" i="11"/>
  <c r="D1064" i="11"/>
  <c r="R1064" i="11"/>
  <c r="B1065" i="11"/>
  <c r="D1065" i="11"/>
  <c r="R1065" i="11"/>
  <c r="B1066" i="11"/>
  <c r="D1066" i="11"/>
  <c r="R1066" i="11"/>
  <c r="B1067" i="11"/>
  <c r="D1067" i="11"/>
  <c r="R1067" i="11"/>
  <c r="B1068" i="11"/>
  <c r="D1068" i="11"/>
  <c r="R1068" i="11"/>
  <c r="B1069" i="11"/>
  <c r="D1069" i="11"/>
  <c r="R1069" i="11"/>
  <c r="B1070" i="11"/>
  <c r="D1070" i="11"/>
  <c r="R1070" i="11"/>
  <c r="B1071" i="11"/>
  <c r="D1071" i="11"/>
  <c r="R1071" i="11"/>
  <c r="B1072" i="11"/>
  <c r="D1072" i="11"/>
  <c r="R1072" i="11"/>
  <c r="B1073" i="11"/>
  <c r="D1073" i="11"/>
  <c r="R1073" i="11"/>
  <c r="B1074" i="11"/>
  <c r="D1074" i="11"/>
  <c r="R1074" i="11"/>
  <c r="B1075" i="11"/>
  <c r="D1075" i="11"/>
  <c r="R1075" i="11"/>
  <c r="B1076" i="11"/>
  <c r="D1076" i="11"/>
  <c r="R1076" i="11"/>
  <c r="B1077" i="11"/>
  <c r="D1077" i="11"/>
  <c r="R1077" i="11"/>
  <c r="B1078" i="11"/>
  <c r="D1078" i="11"/>
  <c r="R1078" i="11"/>
  <c r="B1079" i="11"/>
  <c r="D1079" i="11"/>
  <c r="R1079" i="11"/>
  <c r="B1080" i="11"/>
  <c r="D1080" i="11"/>
  <c r="R1080" i="11"/>
  <c r="B1081" i="11"/>
  <c r="D1081" i="11"/>
  <c r="R1081" i="11"/>
  <c r="B1082" i="11"/>
  <c r="D1082" i="11"/>
  <c r="R1082" i="11"/>
  <c r="B1083" i="11"/>
  <c r="D1083" i="11"/>
  <c r="R1083" i="11"/>
  <c r="B1084" i="11"/>
  <c r="D1084" i="11"/>
  <c r="R1084" i="11"/>
  <c r="B1085" i="11"/>
  <c r="D1085" i="11"/>
  <c r="R1085" i="11"/>
  <c r="B1086" i="11"/>
  <c r="D1086" i="11"/>
  <c r="R1086" i="11"/>
  <c r="B1087" i="11"/>
  <c r="D1087" i="11"/>
  <c r="R1087" i="11"/>
  <c r="B1088" i="11"/>
  <c r="D1088" i="11"/>
  <c r="R1088" i="11"/>
  <c r="B1089" i="11"/>
  <c r="D1089" i="11"/>
  <c r="R1089" i="11"/>
  <c r="B1090" i="11"/>
  <c r="D1090" i="11"/>
  <c r="R1090" i="11"/>
  <c r="B1091" i="11"/>
  <c r="D1091" i="11"/>
  <c r="R1091" i="11"/>
  <c r="B1092" i="11"/>
  <c r="D1092" i="11"/>
  <c r="R1092" i="11"/>
  <c r="B1093" i="11"/>
  <c r="D1093" i="11"/>
  <c r="R1093" i="11"/>
  <c r="B1094" i="11"/>
  <c r="D1094" i="11"/>
  <c r="R1094" i="11"/>
  <c r="B1095" i="11"/>
  <c r="D1095" i="11"/>
  <c r="R1095" i="11"/>
  <c r="B1096" i="11"/>
  <c r="D1096" i="11"/>
  <c r="R1096" i="11"/>
  <c r="B1097" i="11"/>
  <c r="D1097" i="11"/>
  <c r="R1097" i="11"/>
  <c r="B1098" i="11"/>
  <c r="D1098" i="11"/>
  <c r="R1098" i="11"/>
  <c r="B1099" i="11"/>
  <c r="D1099" i="11"/>
  <c r="R1099" i="11"/>
  <c r="B1100" i="11"/>
  <c r="D1100" i="11"/>
  <c r="R1100" i="11"/>
  <c r="B1101" i="11"/>
  <c r="D1101" i="11"/>
  <c r="R1101" i="11"/>
  <c r="B1102" i="11"/>
  <c r="D1102" i="11"/>
  <c r="R1102" i="11"/>
  <c r="B1103" i="11"/>
  <c r="D1103" i="11"/>
  <c r="R1103" i="11"/>
  <c r="B1104" i="11"/>
  <c r="D1104" i="11"/>
  <c r="R1104" i="11"/>
  <c r="B1105" i="11"/>
  <c r="D1105" i="11"/>
  <c r="R1105" i="11"/>
  <c r="B1106" i="11"/>
  <c r="D1106" i="11"/>
  <c r="R1106" i="11"/>
  <c r="B1107" i="11"/>
  <c r="D1107" i="11"/>
  <c r="R1107" i="11"/>
  <c r="B1108" i="11"/>
  <c r="D1108" i="11"/>
  <c r="R1108" i="11"/>
  <c r="B1109" i="11"/>
  <c r="D1109" i="11"/>
  <c r="R1109" i="11"/>
  <c r="B1110" i="11"/>
  <c r="D1110" i="11"/>
  <c r="R1110" i="11"/>
  <c r="B1111" i="11"/>
  <c r="D1111" i="11"/>
  <c r="R1111" i="11"/>
  <c r="B1112" i="11"/>
  <c r="D1112" i="11"/>
  <c r="R1112" i="11"/>
  <c r="B1113" i="11"/>
  <c r="D1113" i="11"/>
  <c r="R1113" i="11"/>
  <c r="B1114" i="11"/>
  <c r="D1114" i="11"/>
  <c r="R1114" i="11"/>
  <c r="B1115" i="11"/>
  <c r="D1115" i="11"/>
  <c r="R1115" i="11"/>
  <c r="B1116" i="11"/>
  <c r="D1116" i="11"/>
  <c r="R1116" i="11"/>
  <c r="B1117" i="11"/>
  <c r="D1117" i="11"/>
  <c r="R1117" i="11"/>
  <c r="B1118" i="11"/>
  <c r="D1118" i="11"/>
  <c r="R1118" i="11"/>
  <c r="B1119" i="11"/>
  <c r="D1119" i="11"/>
  <c r="R1119" i="11"/>
  <c r="B1120" i="11"/>
  <c r="D1120" i="11"/>
  <c r="R1120" i="11"/>
  <c r="B1121" i="11"/>
  <c r="D1121" i="11"/>
  <c r="R1121" i="11"/>
  <c r="B1122" i="11"/>
  <c r="D1122" i="11"/>
  <c r="R1122" i="11"/>
  <c r="B1123" i="11"/>
  <c r="D1123" i="11"/>
  <c r="R1123" i="11"/>
  <c r="B1124" i="11"/>
  <c r="D1124" i="11"/>
  <c r="R1124" i="11"/>
  <c r="B1125" i="11"/>
  <c r="D1125" i="11"/>
  <c r="R1125" i="11"/>
  <c r="B1126" i="11"/>
  <c r="D1126" i="11"/>
  <c r="R1126" i="11"/>
  <c r="B1127" i="11"/>
  <c r="D1127" i="11"/>
  <c r="R1127" i="11"/>
  <c r="B1128" i="11"/>
  <c r="D1128" i="11"/>
  <c r="R1128" i="11"/>
  <c r="B1129" i="11"/>
  <c r="D1129" i="11"/>
  <c r="R1129" i="11"/>
  <c r="B1130" i="11"/>
  <c r="D1130" i="11"/>
  <c r="R1130" i="11"/>
  <c r="B1131" i="11"/>
  <c r="D1131" i="11"/>
  <c r="R1131" i="11"/>
  <c r="B1132" i="11"/>
  <c r="D1132" i="11"/>
  <c r="R1132" i="11"/>
  <c r="B1133" i="11"/>
  <c r="D1133" i="11"/>
  <c r="R1133" i="11"/>
  <c r="B1134" i="11"/>
  <c r="D1134" i="11"/>
  <c r="R1134" i="11"/>
  <c r="B1135" i="11"/>
  <c r="D1135" i="11"/>
  <c r="R1135" i="11"/>
  <c r="B1136" i="11"/>
  <c r="D1136" i="11"/>
  <c r="R1136" i="11"/>
  <c r="B1137" i="11"/>
  <c r="D1137" i="11"/>
  <c r="R1137" i="11"/>
  <c r="B1138" i="11"/>
  <c r="D1138" i="11"/>
  <c r="R1138" i="11"/>
  <c r="B1139" i="11"/>
  <c r="D1139" i="11"/>
  <c r="R1139" i="11"/>
  <c r="B1140" i="11"/>
  <c r="D1140" i="11"/>
  <c r="R1140" i="11"/>
  <c r="B1141" i="11"/>
  <c r="D1141" i="11"/>
  <c r="R1141" i="11"/>
  <c r="B1142" i="11"/>
  <c r="D1142" i="11"/>
  <c r="R1142" i="11"/>
  <c r="B1143" i="11"/>
  <c r="D1143" i="11"/>
  <c r="R1143" i="11"/>
  <c r="B1144" i="11"/>
  <c r="D1144" i="11"/>
  <c r="R1144" i="11"/>
  <c r="B1145" i="11"/>
  <c r="D1145" i="11"/>
  <c r="R1145" i="11"/>
  <c r="B1146" i="11"/>
  <c r="D1146" i="11"/>
  <c r="R1146" i="11"/>
  <c r="B1147" i="11"/>
  <c r="D1147" i="11"/>
  <c r="R1147" i="11"/>
  <c r="B1148" i="11"/>
  <c r="D1148" i="11"/>
  <c r="R1148" i="11"/>
  <c r="B1149" i="11"/>
  <c r="D1149" i="11"/>
  <c r="R1149" i="11"/>
  <c r="B1150" i="11"/>
  <c r="D1150" i="11"/>
  <c r="R1150" i="11"/>
  <c r="B1151" i="11"/>
  <c r="D1151" i="11"/>
  <c r="R1151" i="11"/>
  <c r="B1152" i="11"/>
  <c r="D1152" i="11"/>
  <c r="R1152" i="11"/>
  <c r="B1153" i="11"/>
  <c r="D1153" i="11"/>
  <c r="R1153" i="11"/>
  <c r="B1154" i="11"/>
  <c r="D1154" i="11"/>
  <c r="R1154" i="11"/>
  <c r="B1155" i="11"/>
  <c r="D1155" i="11"/>
  <c r="R1155" i="11"/>
  <c r="B1156" i="11"/>
  <c r="D1156" i="11"/>
  <c r="R1156" i="11"/>
  <c r="B1157" i="11"/>
  <c r="D1157" i="11"/>
  <c r="R1157" i="11"/>
  <c r="B1158" i="11"/>
  <c r="D1158" i="11"/>
  <c r="R1158" i="11"/>
  <c r="B1159" i="11"/>
  <c r="D1159" i="11"/>
  <c r="R1159" i="11"/>
  <c r="B1160" i="11"/>
  <c r="D1160" i="11"/>
  <c r="R1160" i="11"/>
  <c r="B1161" i="11"/>
  <c r="D1161" i="11"/>
  <c r="R1161" i="11"/>
  <c r="B1162" i="11"/>
  <c r="D1162" i="11"/>
  <c r="R1162" i="11"/>
  <c r="B1163" i="11"/>
  <c r="D1163" i="11"/>
  <c r="R1163" i="11"/>
  <c r="B1164" i="11"/>
  <c r="D1164" i="11"/>
  <c r="R1164" i="11"/>
  <c r="B1165" i="11"/>
  <c r="D1165" i="11"/>
  <c r="R1165" i="11"/>
  <c r="B1166" i="11"/>
  <c r="D1166" i="11"/>
  <c r="R1166" i="11"/>
  <c r="B1167" i="11"/>
  <c r="D1167" i="11"/>
  <c r="R1167" i="11"/>
  <c r="B1168" i="11"/>
  <c r="D1168" i="11"/>
  <c r="R1168" i="11"/>
  <c r="B1169" i="11"/>
  <c r="D1169" i="11"/>
  <c r="R1169" i="11"/>
  <c r="B1170" i="11"/>
  <c r="D1170" i="11"/>
  <c r="R1170" i="11"/>
  <c r="B1171" i="11"/>
  <c r="D1171" i="11"/>
  <c r="R1171" i="11"/>
  <c r="B1172" i="11"/>
  <c r="D1172" i="11"/>
  <c r="R1172" i="11"/>
  <c r="B1173" i="11"/>
  <c r="D1173" i="11"/>
  <c r="R1173" i="11"/>
  <c r="B1174" i="11"/>
  <c r="D1174" i="11"/>
  <c r="R1174" i="11"/>
  <c r="B1175" i="11"/>
  <c r="D1175" i="11"/>
  <c r="R1175" i="11"/>
  <c r="B1176" i="11"/>
  <c r="D1176" i="11"/>
  <c r="R1176" i="11"/>
  <c r="B1177" i="11"/>
  <c r="D1177" i="11"/>
  <c r="R1177" i="11"/>
  <c r="B1178" i="11"/>
  <c r="D1178" i="11"/>
  <c r="R1178" i="11"/>
  <c r="B1179" i="11"/>
  <c r="D1179" i="11"/>
  <c r="R1179" i="11"/>
  <c r="B1180" i="11"/>
  <c r="D1180" i="11"/>
  <c r="R1180" i="11"/>
  <c r="B1181" i="11"/>
  <c r="D1181" i="11"/>
  <c r="R1181" i="11"/>
  <c r="B1182" i="11"/>
  <c r="D1182" i="11"/>
  <c r="R1182" i="11"/>
  <c r="B1183" i="11"/>
  <c r="D1183" i="11"/>
  <c r="R1183" i="11"/>
  <c r="B1184" i="11"/>
  <c r="D1184" i="11"/>
  <c r="R1184" i="11"/>
  <c r="B1185" i="11"/>
  <c r="D1185" i="11"/>
  <c r="R1185" i="11"/>
  <c r="B1186" i="11"/>
  <c r="D1186" i="11"/>
  <c r="R1186" i="11"/>
  <c r="B1187" i="11"/>
  <c r="D1187" i="11"/>
  <c r="R1187" i="11"/>
  <c r="B1188" i="11"/>
  <c r="D1188" i="11"/>
  <c r="R1188" i="11"/>
  <c r="B1189" i="11"/>
  <c r="D1189" i="11"/>
  <c r="R1189" i="11"/>
  <c r="B1190" i="11"/>
  <c r="D1190" i="11"/>
  <c r="R1190" i="11"/>
  <c r="B1191" i="11"/>
  <c r="R1191" i="11"/>
  <c r="B1192" i="11"/>
  <c r="R1192" i="1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4" i="7"/>
  <c r="G40" i="8" l="1"/>
  <c r="L27" i="8"/>
  <c r="M44" i="8"/>
  <c r="I39" i="10"/>
  <c r="I41" i="10"/>
  <c r="E44" i="10"/>
  <c r="J43" i="10"/>
  <c r="K35" i="10"/>
  <c r="I37" i="10"/>
  <c r="F27" i="8"/>
  <c r="E38" i="8"/>
  <c r="E44" i="8"/>
  <c r="F44" i="8"/>
  <c r="E43" i="8"/>
  <c r="G44" i="8"/>
  <c r="L18" i="8"/>
  <c r="F5" i="8"/>
  <c r="L44" i="8"/>
  <c r="K43" i="10"/>
  <c r="J40" i="10"/>
  <c r="J32" i="10"/>
  <c r="K40" i="10"/>
  <c r="K32" i="10"/>
  <c r="I38" i="10"/>
  <c r="J39" i="10"/>
  <c r="J44" i="10"/>
  <c r="K39" i="10"/>
  <c r="I45" i="10"/>
  <c r="J38" i="10"/>
  <c r="J45" i="10"/>
  <c r="K38" i="10"/>
  <c r="I44" i="10"/>
  <c r="I36" i="10"/>
  <c r="J37" i="10"/>
  <c r="K45" i="10"/>
  <c r="K37" i="10"/>
  <c r="I43" i="10"/>
  <c r="I35" i="10"/>
  <c r="J36" i="10"/>
  <c r="K44" i="10"/>
  <c r="K36" i="10"/>
  <c r="I42" i="10"/>
  <c r="I34" i="10"/>
  <c r="I33" i="10"/>
  <c r="J35" i="10"/>
  <c r="F44" i="10"/>
  <c r="H44" i="10" s="1"/>
  <c r="J42" i="10"/>
  <c r="J34" i="10"/>
  <c r="K42" i="10"/>
  <c r="K34" i="10"/>
  <c r="I40" i="10"/>
  <c r="I32" i="10"/>
  <c r="G44" i="10"/>
  <c r="J41" i="10"/>
  <c r="J33" i="10"/>
  <c r="K41" i="10"/>
  <c r="K33" i="10"/>
  <c r="F35" i="8"/>
  <c r="F19" i="8"/>
  <c r="E6" i="8"/>
  <c r="K19" i="8"/>
  <c r="J6" i="8"/>
  <c r="L5" i="8"/>
  <c r="L34" i="8"/>
  <c r="G16" i="8"/>
  <c r="J30" i="8"/>
  <c r="K11" i="8"/>
  <c r="M21" i="8"/>
  <c r="L35" i="8"/>
  <c r="G37" i="8"/>
  <c r="G29" i="8"/>
  <c r="G21" i="8"/>
  <c r="G13" i="8"/>
  <c r="I5" i="8"/>
  <c r="K24" i="8"/>
  <c r="K16" i="8"/>
  <c r="K8" i="8"/>
  <c r="L10" i="8"/>
  <c r="G42" i="8"/>
  <c r="E40" i="8"/>
  <c r="F37" i="8"/>
  <c r="G34" i="8"/>
  <c r="E32" i="8"/>
  <c r="F29" i="8"/>
  <c r="G26" i="8"/>
  <c r="E24" i="8"/>
  <c r="F21" i="8"/>
  <c r="G18" i="8"/>
  <c r="E16" i="8"/>
  <c r="F13" i="8"/>
  <c r="G10" i="8"/>
  <c r="E8" i="8"/>
  <c r="J5" i="8"/>
  <c r="K29" i="8"/>
  <c r="I27" i="8"/>
  <c r="J24" i="8"/>
  <c r="K21" i="8"/>
  <c r="I19" i="8"/>
  <c r="J16" i="8"/>
  <c r="K13" i="8"/>
  <c r="I11" i="8"/>
  <c r="J8" i="8"/>
  <c r="M5" i="8"/>
  <c r="M35" i="8"/>
  <c r="M27" i="8"/>
  <c r="M19" i="8"/>
  <c r="M11" i="8"/>
  <c r="L41" i="8"/>
  <c r="L33" i="8"/>
  <c r="L25" i="8"/>
  <c r="L17" i="8"/>
  <c r="L9" i="8"/>
  <c r="G24" i="8"/>
  <c r="G8" i="8"/>
  <c r="J22" i="8"/>
  <c r="I9" i="8"/>
  <c r="M29" i="8"/>
  <c r="L11" i="8"/>
  <c r="F40" i="8"/>
  <c r="F32" i="8"/>
  <c r="F24" i="8"/>
  <c r="J19" i="8"/>
  <c r="I14" i="8"/>
  <c r="I6" i="8"/>
  <c r="L42" i="8"/>
  <c r="L26" i="8"/>
  <c r="F42" i="8"/>
  <c r="G39" i="8"/>
  <c r="E37" i="8"/>
  <c r="F34" i="8"/>
  <c r="G31" i="8"/>
  <c r="E29" i="8"/>
  <c r="F26" i="8"/>
  <c r="G23" i="8"/>
  <c r="E21" i="8"/>
  <c r="F18" i="8"/>
  <c r="G15" i="8"/>
  <c r="E13" i="8"/>
  <c r="F10" i="8"/>
  <c r="G7" i="8"/>
  <c r="K5" i="8"/>
  <c r="J29" i="8"/>
  <c r="K26" i="8"/>
  <c r="I24" i="8"/>
  <c r="J21" i="8"/>
  <c r="K18" i="8"/>
  <c r="I16" i="8"/>
  <c r="J13" i="8"/>
  <c r="K10" i="8"/>
  <c r="I8" i="8"/>
  <c r="M42" i="8"/>
  <c r="M34" i="8"/>
  <c r="M26" i="8"/>
  <c r="M18" i="8"/>
  <c r="M10" i="8"/>
  <c r="L40" i="8"/>
  <c r="L32" i="8"/>
  <c r="L24" i="8"/>
  <c r="L16" i="8"/>
  <c r="L8" i="8"/>
  <c r="M43" i="8"/>
  <c r="E22" i="8"/>
  <c r="E14" i="8"/>
  <c r="I25" i="8"/>
  <c r="L19" i="8"/>
  <c r="F16" i="8"/>
  <c r="F8" i="8"/>
  <c r="J27" i="8"/>
  <c r="I22" i="8"/>
  <c r="J11" i="8"/>
  <c r="M36" i="8"/>
  <c r="M12" i="8"/>
  <c r="E42" i="8"/>
  <c r="F39" i="8"/>
  <c r="G36" i="8"/>
  <c r="E34" i="8"/>
  <c r="F31" i="8"/>
  <c r="G28" i="8"/>
  <c r="E26" i="8"/>
  <c r="F23" i="8"/>
  <c r="G20" i="8"/>
  <c r="E18" i="8"/>
  <c r="F15" i="8"/>
  <c r="G12" i="8"/>
  <c r="E10" i="8"/>
  <c r="F7" i="8"/>
  <c r="K31" i="8"/>
  <c r="I29" i="8"/>
  <c r="J26" i="8"/>
  <c r="K23" i="8"/>
  <c r="I21" i="8"/>
  <c r="J18" i="8"/>
  <c r="K15" i="8"/>
  <c r="I13" i="8"/>
  <c r="J10" i="8"/>
  <c r="K7" i="8"/>
  <c r="M41" i="8"/>
  <c r="M33" i="8"/>
  <c r="M25" i="8"/>
  <c r="M17" i="8"/>
  <c r="M9" i="8"/>
  <c r="L39" i="8"/>
  <c r="L31" i="8"/>
  <c r="L23" i="8"/>
  <c r="L15" i="8"/>
  <c r="L7" i="8"/>
  <c r="L43" i="8"/>
  <c r="G41" i="8"/>
  <c r="E39" i="8"/>
  <c r="F36" i="8"/>
  <c r="G33" i="8"/>
  <c r="E31" i="8"/>
  <c r="F28" i="8"/>
  <c r="G25" i="8"/>
  <c r="E23" i="8"/>
  <c r="F20" i="8"/>
  <c r="G17" i="8"/>
  <c r="E15" i="8"/>
  <c r="F12" i="8"/>
  <c r="G9" i="8"/>
  <c r="E7" i="8"/>
  <c r="J31" i="8"/>
  <c r="K28" i="8"/>
  <c r="I26" i="8"/>
  <c r="J23" i="8"/>
  <c r="K20" i="8"/>
  <c r="I18" i="8"/>
  <c r="J15" i="8"/>
  <c r="K12" i="8"/>
  <c r="I10" i="8"/>
  <c r="J7" i="8"/>
  <c r="M40" i="8"/>
  <c r="M32" i="8"/>
  <c r="M24" i="8"/>
  <c r="M16" i="8"/>
  <c r="M8" i="8"/>
  <c r="L38" i="8"/>
  <c r="L30" i="8"/>
  <c r="L22" i="8"/>
  <c r="L14" i="8"/>
  <c r="L6" i="8"/>
  <c r="G43" i="8"/>
  <c r="E30" i="8"/>
  <c r="F11" i="8"/>
  <c r="K27" i="8"/>
  <c r="J14" i="8"/>
  <c r="M13" i="8"/>
  <c r="G5" i="8"/>
  <c r="E35" i="8"/>
  <c r="E27" i="8"/>
  <c r="E19" i="8"/>
  <c r="E11" i="8"/>
  <c r="I30" i="8"/>
  <c r="M28" i="8"/>
  <c r="M20" i="8"/>
  <c r="F41" i="8"/>
  <c r="G38" i="8"/>
  <c r="E36" i="8"/>
  <c r="F33" i="8"/>
  <c r="G30" i="8"/>
  <c r="E28" i="8"/>
  <c r="F25" i="8"/>
  <c r="G22" i="8"/>
  <c r="E20" i="8"/>
  <c r="F17" i="8"/>
  <c r="G14" i="8"/>
  <c r="E12" i="8"/>
  <c r="F9" i="8"/>
  <c r="G6" i="8"/>
  <c r="I31" i="8"/>
  <c r="J28" i="8"/>
  <c r="K25" i="8"/>
  <c r="I23" i="8"/>
  <c r="J20" i="8"/>
  <c r="K17" i="8"/>
  <c r="I15" i="8"/>
  <c r="J12" i="8"/>
  <c r="K9" i="8"/>
  <c r="I7" i="8"/>
  <c r="M39" i="8"/>
  <c r="M31" i="8"/>
  <c r="M23" i="8"/>
  <c r="M15" i="8"/>
  <c r="M7" i="8"/>
  <c r="L37" i="8"/>
  <c r="L29" i="8"/>
  <c r="L21" i="8"/>
  <c r="L13" i="8"/>
  <c r="F43" i="8"/>
  <c r="D43" i="8" s="1"/>
  <c r="G32" i="8"/>
  <c r="I17" i="8"/>
  <c r="M37" i="8"/>
  <c r="E5" i="8"/>
  <c r="E41" i="8"/>
  <c r="F38" i="8"/>
  <c r="G35" i="8"/>
  <c r="E33" i="8"/>
  <c r="F30" i="8"/>
  <c r="G27" i="8"/>
  <c r="E25" i="8"/>
  <c r="F22" i="8"/>
  <c r="G19" i="8"/>
  <c r="E17" i="8"/>
  <c r="F14" i="8"/>
  <c r="G11" i="8"/>
  <c r="E9" i="8"/>
  <c r="F6" i="8"/>
  <c r="K30" i="8"/>
  <c r="I28" i="8"/>
  <c r="J25" i="8"/>
  <c r="K22" i="8"/>
  <c r="I20" i="8"/>
  <c r="J17" i="8"/>
  <c r="K14" i="8"/>
  <c r="I12" i="8"/>
  <c r="J9" i="8"/>
  <c r="K6" i="8"/>
  <c r="M38" i="8"/>
  <c r="M30" i="8"/>
  <c r="M22" i="8"/>
  <c r="M14" i="8"/>
  <c r="M6" i="8"/>
  <c r="L36" i="8"/>
  <c r="L28" i="8"/>
  <c r="L20" i="8"/>
  <c r="L12" i="8"/>
  <c r="F5" i="10"/>
  <c r="D5" i="10" s="1"/>
  <c r="K5" i="10"/>
  <c r="E40" i="10"/>
  <c r="E37" i="10"/>
  <c r="I30" i="10"/>
  <c r="J26" i="10"/>
  <c r="K21" i="10"/>
  <c r="E11" i="10"/>
  <c r="F8" i="10"/>
  <c r="D8" i="10" s="1"/>
  <c r="E41" i="10"/>
  <c r="E30" i="10"/>
  <c r="F27" i="10"/>
  <c r="D27" i="10" s="1"/>
  <c r="F24" i="10"/>
  <c r="D24" i="10" s="1"/>
  <c r="G22" i="10"/>
  <c r="I19" i="10"/>
  <c r="K9" i="10"/>
  <c r="G42" i="10"/>
  <c r="F39" i="10"/>
  <c r="D39" i="10" s="1"/>
  <c r="G36" i="10"/>
  <c r="F42" i="10"/>
  <c r="D42" i="10" s="1"/>
  <c r="E39" i="10"/>
  <c r="F36" i="10"/>
  <c r="F33" i="10"/>
  <c r="D33" i="10" s="1"/>
  <c r="E22" i="10"/>
  <c r="E21" i="10"/>
  <c r="F20" i="10"/>
  <c r="D20" i="10" s="1"/>
  <c r="F19" i="10"/>
  <c r="D19" i="10" s="1"/>
  <c r="F18" i="10"/>
  <c r="D18" i="10" s="1"/>
  <c r="F17" i="10"/>
  <c r="D17" i="10" s="1"/>
  <c r="G16" i="10"/>
  <c r="G15" i="10"/>
  <c r="G14" i="10"/>
  <c r="G13" i="10"/>
  <c r="I12" i="10"/>
  <c r="I11" i="10"/>
  <c r="I10" i="10"/>
  <c r="I9" i="10"/>
  <c r="J8" i="10"/>
  <c r="J7" i="10"/>
  <c r="J6" i="10"/>
  <c r="J5" i="10"/>
  <c r="F34" i="10"/>
  <c r="J28" i="10"/>
  <c r="J22" i="10"/>
  <c r="F7" i="10"/>
  <c r="D7" i="10" s="1"/>
  <c r="G39" i="10"/>
  <c r="E32" i="10"/>
  <c r="F23" i="10"/>
  <c r="D23" i="10" s="1"/>
  <c r="I20" i="10"/>
  <c r="I17" i="10"/>
  <c r="J13" i="10"/>
  <c r="K11" i="10"/>
  <c r="E42" i="10"/>
  <c r="G40" i="10"/>
  <c r="G37" i="10"/>
  <c r="E36" i="10"/>
  <c r="E33" i="10"/>
  <c r="K31" i="10"/>
  <c r="K30" i="10"/>
  <c r="K29" i="10"/>
  <c r="E20" i="10"/>
  <c r="E19" i="10"/>
  <c r="E18" i="10"/>
  <c r="E17" i="10"/>
  <c r="F16" i="10"/>
  <c r="D16" i="10" s="1"/>
  <c r="F15" i="10"/>
  <c r="D15" i="10" s="1"/>
  <c r="F14" i="10"/>
  <c r="D14" i="10" s="1"/>
  <c r="F13" i="10"/>
  <c r="D13" i="10" s="1"/>
  <c r="G12" i="10"/>
  <c r="G11" i="10"/>
  <c r="G10" i="10"/>
  <c r="G9" i="10"/>
  <c r="I8" i="10"/>
  <c r="I7" i="10"/>
  <c r="I6" i="10"/>
  <c r="I5" i="10"/>
  <c r="G38" i="10"/>
  <c r="I31" i="10"/>
  <c r="J25" i="10"/>
  <c r="E10" i="10"/>
  <c r="E35" i="10"/>
  <c r="E31" i="10"/>
  <c r="F28" i="10"/>
  <c r="D28" i="10" s="1"/>
  <c r="F25" i="10"/>
  <c r="D25" i="10" s="1"/>
  <c r="G21" i="10"/>
  <c r="I18" i="10"/>
  <c r="J15" i="10"/>
  <c r="K12" i="10"/>
  <c r="G43" i="10"/>
  <c r="F40" i="10"/>
  <c r="D40" i="10" s="1"/>
  <c r="F37" i="10"/>
  <c r="D37" i="10" s="1"/>
  <c r="G34" i="10"/>
  <c r="J31" i="10"/>
  <c r="J30" i="10"/>
  <c r="J29" i="10"/>
  <c r="K28" i="10"/>
  <c r="K27" i="10"/>
  <c r="K26" i="10"/>
  <c r="K25" i="10"/>
  <c r="K24" i="10"/>
  <c r="K23" i="10"/>
  <c r="K22" i="10"/>
  <c r="E16" i="10"/>
  <c r="E15" i="10"/>
  <c r="E14" i="10"/>
  <c r="E13" i="10"/>
  <c r="F12" i="10"/>
  <c r="D12" i="10" s="1"/>
  <c r="F11" i="10"/>
  <c r="D11" i="10" s="1"/>
  <c r="F10" i="10"/>
  <c r="D10" i="10" s="1"/>
  <c r="F9" i="10"/>
  <c r="D9" i="10" s="1"/>
  <c r="G8" i="10"/>
  <c r="G7" i="10"/>
  <c r="G6" i="10"/>
  <c r="G5" i="10"/>
  <c r="G41" i="10"/>
  <c r="F38" i="10"/>
  <c r="G35" i="10"/>
  <c r="G32" i="10"/>
  <c r="G30" i="10"/>
  <c r="I28" i="10"/>
  <c r="I26" i="10"/>
  <c r="I22" i="10"/>
  <c r="K20" i="10"/>
  <c r="K19" i="10"/>
  <c r="K17" i="10"/>
  <c r="E8" i="10"/>
  <c r="E7" i="10"/>
  <c r="E6" i="10"/>
  <c r="E5" i="10"/>
  <c r="I29" i="10"/>
  <c r="J24" i="10"/>
  <c r="E9" i="10"/>
  <c r="E43" i="10"/>
  <c r="E34" i="10"/>
  <c r="G31" i="10"/>
  <c r="G29" i="10"/>
  <c r="I27" i="10"/>
  <c r="I25" i="10"/>
  <c r="I24" i="10"/>
  <c r="I23" i="10"/>
  <c r="J21" i="10"/>
  <c r="K18" i="10"/>
  <c r="G45" i="10"/>
  <c r="F41" i="10"/>
  <c r="D41" i="10" s="1"/>
  <c r="E38" i="10"/>
  <c r="F35" i="10"/>
  <c r="D35" i="10" s="1"/>
  <c r="F32" i="10"/>
  <c r="H32" i="10" s="1"/>
  <c r="F31" i="10"/>
  <c r="D31" i="10" s="1"/>
  <c r="F30" i="10"/>
  <c r="D30" i="10" s="1"/>
  <c r="F29" i="10"/>
  <c r="D29" i="10" s="1"/>
  <c r="G28" i="10"/>
  <c r="G27" i="10"/>
  <c r="G26" i="10"/>
  <c r="G25" i="10"/>
  <c r="G24" i="10"/>
  <c r="G23" i="10"/>
  <c r="I21" i="10"/>
  <c r="J20" i="10"/>
  <c r="J19" i="10"/>
  <c r="J18" i="10"/>
  <c r="J17" i="10"/>
  <c r="K16" i="10"/>
  <c r="K15" i="10"/>
  <c r="K14" i="10"/>
  <c r="K13" i="10"/>
  <c r="F43" i="10"/>
  <c r="D43" i="10" s="1"/>
  <c r="J27" i="10"/>
  <c r="J23" i="10"/>
  <c r="E12" i="10"/>
  <c r="F6" i="10"/>
  <c r="D6" i="10" s="1"/>
  <c r="F45" i="10"/>
  <c r="D45" i="10" s="1"/>
  <c r="E29" i="10"/>
  <c r="F26" i="10"/>
  <c r="D26" i="10" s="1"/>
  <c r="J16" i="10"/>
  <c r="J14" i="10"/>
  <c r="K10" i="10"/>
  <c r="E45" i="10"/>
  <c r="G33" i="10"/>
  <c r="E28" i="10"/>
  <c r="E27" i="10"/>
  <c r="E26" i="10"/>
  <c r="E25" i="10"/>
  <c r="E24" i="10"/>
  <c r="E23" i="10"/>
  <c r="F22" i="10"/>
  <c r="F21" i="10"/>
  <c r="D21" i="10" s="1"/>
  <c r="G20" i="10"/>
  <c r="G19" i="10"/>
  <c r="G18" i="10"/>
  <c r="G17" i="10"/>
  <c r="I16" i="10"/>
  <c r="I15" i="10"/>
  <c r="I14" i="10"/>
  <c r="I13" i="10"/>
  <c r="J12" i="10"/>
  <c r="J11" i="10"/>
  <c r="J10" i="10"/>
  <c r="J9" i="10"/>
  <c r="K8" i="10"/>
  <c r="K7" i="10"/>
  <c r="K6" i="10"/>
  <c r="H44" i="8" l="1"/>
  <c r="H5" i="10"/>
  <c r="H42" i="10"/>
  <c r="H19" i="10"/>
  <c r="H18" i="10"/>
  <c r="H20" i="10"/>
  <c r="H7" i="10"/>
  <c r="H30" i="10"/>
  <c r="H12" i="10"/>
  <c r="H23" i="10"/>
  <c r="H13" i="10"/>
  <c r="H39" i="10"/>
  <c r="H33" i="10"/>
  <c r="H8" i="10"/>
  <c r="H17" i="10"/>
  <c r="D44" i="8"/>
  <c r="H14" i="10"/>
  <c r="H16" i="10"/>
  <c r="H29" i="10"/>
  <c r="D44" i="10"/>
  <c r="J46" i="10"/>
  <c r="H6" i="10"/>
  <c r="H26" i="10"/>
  <c r="H40" i="10"/>
  <c r="H35" i="10"/>
  <c r="H43" i="8"/>
  <c r="F45" i="8"/>
  <c r="M45" i="8"/>
  <c r="L45" i="8"/>
  <c r="J45" i="8"/>
  <c r="I45" i="8"/>
  <c r="E45" i="8"/>
  <c r="D32" i="10"/>
  <c r="H15" i="10"/>
  <c r="H31" i="10"/>
  <c r="H41" i="10"/>
  <c r="L46" i="10"/>
  <c r="H10" i="10"/>
  <c r="H11" i="10"/>
  <c r="H37" i="10"/>
  <c r="I46" i="10"/>
  <c r="H9" i="10"/>
  <c r="E46" i="10"/>
  <c r="M46" i="10"/>
  <c r="F46" i="10"/>
  <c r="H21" i="10"/>
  <c r="D22" i="10"/>
  <c r="H22" i="10"/>
  <c r="H38" i="10"/>
  <c r="D38" i="10"/>
  <c r="H27" i="10"/>
  <c r="H45" i="10"/>
  <c r="H43" i="10"/>
  <c r="H25" i="10"/>
  <c r="H28" i="10"/>
  <c r="D34" i="10"/>
  <c r="H34" i="10"/>
  <c r="D36" i="10"/>
  <c r="H36" i="10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D1087" i="7"/>
  <c r="H45" i="8" l="1"/>
  <c r="H46" i="10"/>
  <c r="D46" i="10"/>
  <c r="D1094" i="7"/>
  <c r="D1086" i="7"/>
  <c r="D1093" i="7"/>
  <c r="D1085" i="7"/>
  <c r="D1092" i="7"/>
  <c r="D1084" i="7"/>
  <c r="D1091" i="7"/>
  <c r="D1083" i="7"/>
  <c r="D1090" i="7"/>
  <c r="D1082" i="7"/>
  <c r="D1089" i="7"/>
  <c r="D1081" i="7"/>
  <c r="D1088" i="7"/>
  <c r="D1080" i="7"/>
  <c r="D1096" i="7"/>
  <c r="D1095" i="7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R1079" i="7"/>
  <c r="D1079" i="7"/>
  <c r="R1078" i="7"/>
  <c r="D1078" i="7"/>
  <c r="R1077" i="7"/>
  <c r="D1077" i="7"/>
  <c r="R1076" i="7"/>
  <c r="D1076" i="7"/>
  <c r="R1075" i="7"/>
  <c r="D1075" i="7"/>
  <c r="R1074" i="7"/>
  <c r="D1074" i="7"/>
  <c r="R1073" i="7"/>
  <c r="D1073" i="7"/>
  <c r="R1072" i="7"/>
  <c r="D1072" i="7"/>
  <c r="R1071" i="7"/>
  <c r="D1071" i="7"/>
  <c r="R1070" i="7"/>
  <c r="D1070" i="7"/>
  <c r="R1069" i="7"/>
  <c r="D1069" i="7"/>
  <c r="R1068" i="7"/>
  <c r="D1068" i="7"/>
  <c r="R1067" i="7"/>
  <c r="D1067" i="7"/>
  <c r="R1066" i="7"/>
  <c r="D1066" i="7"/>
  <c r="R1065" i="7"/>
  <c r="D1065" i="7"/>
  <c r="R1064" i="7"/>
  <c r="D1064" i="7"/>
  <c r="R1063" i="7"/>
  <c r="D1063" i="7"/>
  <c r="R1062" i="7"/>
  <c r="D1062" i="7"/>
  <c r="R1061" i="7"/>
  <c r="D1061" i="7"/>
  <c r="R1060" i="7"/>
  <c r="D1060" i="7"/>
  <c r="R1059" i="7"/>
  <c r="D1059" i="7"/>
  <c r="R1058" i="7"/>
  <c r="D1058" i="7"/>
  <c r="R1057" i="7"/>
  <c r="D1057" i="7"/>
  <c r="R1056" i="7"/>
  <c r="D1056" i="7"/>
  <c r="R1055" i="7"/>
  <c r="D1055" i="7"/>
  <c r="R1054" i="7"/>
  <c r="D1054" i="7"/>
  <c r="R1053" i="7"/>
  <c r="D1053" i="7"/>
  <c r="R1052" i="7"/>
  <c r="D1052" i="7"/>
  <c r="R1051" i="7"/>
  <c r="D1051" i="7"/>
  <c r="R1050" i="7"/>
  <c r="D1050" i="7"/>
  <c r="R1049" i="7"/>
  <c r="D1049" i="7"/>
  <c r="R1048" i="7"/>
  <c r="D1048" i="7"/>
  <c r="R1047" i="7"/>
  <c r="D1047" i="7"/>
  <c r="R1046" i="7"/>
  <c r="D1046" i="7"/>
  <c r="R1045" i="7"/>
  <c r="D1045" i="7"/>
  <c r="R1044" i="7"/>
  <c r="D1044" i="7"/>
  <c r="R1043" i="7"/>
  <c r="D1043" i="7"/>
  <c r="R1042" i="7"/>
  <c r="D1042" i="7"/>
  <c r="R1041" i="7"/>
  <c r="D1041" i="7"/>
  <c r="R1040" i="7"/>
  <c r="D1040" i="7"/>
  <c r="R1039" i="7"/>
  <c r="D1039" i="7"/>
  <c r="R1038" i="7"/>
  <c r="D1038" i="7"/>
  <c r="R1037" i="7"/>
  <c r="D1037" i="7"/>
  <c r="R1036" i="7"/>
  <c r="D1036" i="7"/>
  <c r="R1035" i="7"/>
  <c r="D1035" i="7"/>
  <c r="R1034" i="7"/>
  <c r="D1034" i="7"/>
  <c r="R1033" i="7"/>
  <c r="D1033" i="7"/>
  <c r="R1032" i="7"/>
  <c r="D1032" i="7"/>
  <c r="R1031" i="7"/>
  <c r="D1031" i="7"/>
  <c r="R1030" i="7"/>
  <c r="D1030" i="7"/>
  <c r="R1029" i="7"/>
  <c r="D1029" i="7"/>
  <c r="R1028" i="7"/>
  <c r="D1028" i="7"/>
  <c r="R1027" i="7"/>
  <c r="D1027" i="7"/>
  <c r="R1026" i="7"/>
  <c r="D1026" i="7"/>
  <c r="R1025" i="7"/>
  <c r="D1025" i="7"/>
  <c r="R1024" i="7"/>
  <c r="D1024" i="7"/>
  <c r="R1023" i="7"/>
  <c r="D1023" i="7"/>
  <c r="R1022" i="7"/>
  <c r="D1022" i="7"/>
  <c r="R1021" i="7"/>
  <c r="D1021" i="7"/>
  <c r="R1020" i="7"/>
  <c r="D1020" i="7"/>
  <c r="R1019" i="7"/>
  <c r="D1019" i="7"/>
  <c r="R1018" i="7"/>
  <c r="D1018" i="7"/>
  <c r="R1017" i="7"/>
  <c r="D1017" i="7"/>
  <c r="R1016" i="7"/>
  <c r="D1016" i="7"/>
  <c r="R1015" i="7"/>
  <c r="D1015" i="7"/>
  <c r="R1014" i="7"/>
  <c r="D1014" i="7"/>
  <c r="R1013" i="7"/>
  <c r="D1013" i="7"/>
  <c r="R1012" i="7"/>
  <c r="D1012" i="7"/>
  <c r="R1011" i="7"/>
  <c r="D1011" i="7"/>
  <c r="R1010" i="7"/>
  <c r="D1010" i="7"/>
  <c r="R1009" i="7"/>
  <c r="D1009" i="7"/>
  <c r="R1008" i="7"/>
  <c r="D1008" i="7"/>
  <c r="R1007" i="7"/>
  <c r="D1007" i="7"/>
  <c r="R1006" i="7"/>
  <c r="D1006" i="7"/>
  <c r="R1005" i="7"/>
  <c r="D1005" i="7"/>
  <c r="R1004" i="7"/>
  <c r="D1004" i="7"/>
  <c r="R1003" i="7"/>
  <c r="D1003" i="7"/>
  <c r="R1002" i="7"/>
  <c r="D1002" i="7"/>
  <c r="R1001" i="7"/>
  <c r="D1001" i="7"/>
  <c r="R1000" i="7"/>
  <c r="D1000" i="7"/>
  <c r="R999" i="7"/>
  <c r="D999" i="7"/>
  <c r="R998" i="7"/>
  <c r="D998" i="7"/>
  <c r="R997" i="7"/>
  <c r="D997" i="7"/>
  <c r="R996" i="7"/>
  <c r="D996" i="7"/>
  <c r="R995" i="7"/>
  <c r="D995" i="7"/>
  <c r="R994" i="7"/>
  <c r="D994" i="7"/>
  <c r="R993" i="7"/>
  <c r="D993" i="7"/>
  <c r="R992" i="7"/>
  <c r="D992" i="7"/>
  <c r="R991" i="7"/>
  <c r="D991" i="7"/>
  <c r="R990" i="7"/>
  <c r="D990" i="7"/>
  <c r="R989" i="7"/>
  <c r="D989" i="7"/>
  <c r="R988" i="7"/>
  <c r="D988" i="7"/>
  <c r="R987" i="7"/>
  <c r="D987" i="7"/>
  <c r="R986" i="7"/>
  <c r="D986" i="7"/>
  <c r="R985" i="7"/>
  <c r="D985" i="7"/>
  <c r="R984" i="7"/>
  <c r="D984" i="7"/>
  <c r="R983" i="7"/>
  <c r="D983" i="7"/>
  <c r="R982" i="7"/>
  <c r="D982" i="7"/>
  <c r="R981" i="7"/>
  <c r="D981" i="7"/>
  <c r="R980" i="7"/>
  <c r="D980" i="7"/>
  <c r="R979" i="7"/>
  <c r="D979" i="7"/>
  <c r="R978" i="7"/>
  <c r="D978" i="7"/>
  <c r="R977" i="7"/>
  <c r="D977" i="7"/>
  <c r="R976" i="7"/>
  <c r="D976" i="7"/>
  <c r="R975" i="7"/>
  <c r="D975" i="7"/>
  <c r="R974" i="7"/>
  <c r="D974" i="7"/>
  <c r="R973" i="7"/>
  <c r="D973" i="7"/>
  <c r="R972" i="7"/>
  <c r="D972" i="7"/>
  <c r="R971" i="7"/>
  <c r="D971" i="7"/>
  <c r="R970" i="7"/>
  <c r="D970" i="7"/>
  <c r="R969" i="7"/>
  <c r="D969" i="7"/>
  <c r="R968" i="7"/>
  <c r="D968" i="7"/>
  <c r="R967" i="7"/>
  <c r="D967" i="7"/>
  <c r="R966" i="7"/>
  <c r="D966" i="7"/>
  <c r="R965" i="7"/>
  <c r="D965" i="7"/>
  <c r="R964" i="7"/>
  <c r="D964" i="7"/>
  <c r="R963" i="7"/>
  <c r="D963" i="7"/>
  <c r="R962" i="7"/>
  <c r="D962" i="7"/>
  <c r="R961" i="7"/>
  <c r="D961" i="7"/>
  <c r="R960" i="7"/>
  <c r="D960" i="7"/>
  <c r="R959" i="7"/>
  <c r="D959" i="7"/>
  <c r="R958" i="7"/>
  <c r="D958" i="7"/>
  <c r="R957" i="7"/>
  <c r="D957" i="7"/>
  <c r="R956" i="7"/>
  <c r="D956" i="7"/>
  <c r="R955" i="7"/>
  <c r="D955" i="7"/>
  <c r="R954" i="7"/>
  <c r="D954" i="7"/>
  <c r="R953" i="7"/>
  <c r="D953" i="7"/>
  <c r="R952" i="7"/>
  <c r="D952" i="7"/>
  <c r="R951" i="7"/>
  <c r="D951" i="7"/>
  <c r="R950" i="7"/>
  <c r="D950" i="7"/>
  <c r="R949" i="7"/>
  <c r="D949" i="7"/>
  <c r="R948" i="7"/>
  <c r="D948" i="7"/>
  <c r="R947" i="7"/>
  <c r="D947" i="7"/>
  <c r="R946" i="7"/>
  <c r="D946" i="7"/>
  <c r="R945" i="7"/>
  <c r="D945" i="7"/>
  <c r="R944" i="7"/>
  <c r="D944" i="7"/>
  <c r="R943" i="7"/>
  <c r="D943" i="7"/>
  <c r="R942" i="7"/>
  <c r="D942" i="7"/>
  <c r="R941" i="7"/>
  <c r="D941" i="7"/>
  <c r="R940" i="7"/>
  <c r="D940" i="7"/>
  <c r="R939" i="7"/>
  <c r="D939" i="7"/>
  <c r="R938" i="7"/>
  <c r="D938" i="7"/>
  <c r="R937" i="7"/>
  <c r="D937" i="7"/>
  <c r="R936" i="7"/>
  <c r="D936" i="7"/>
  <c r="R935" i="7"/>
  <c r="D935" i="7"/>
  <c r="R934" i="7"/>
  <c r="D934" i="7"/>
  <c r="R933" i="7"/>
  <c r="D933" i="7"/>
  <c r="R932" i="7"/>
  <c r="D932" i="7"/>
  <c r="R931" i="7"/>
  <c r="D931" i="7"/>
  <c r="R930" i="7"/>
  <c r="D930" i="7"/>
  <c r="R929" i="7"/>
  <c r="D929" i="7"/>
  <c r="R928" i="7"/>
  <c r="D928" i="7"/>
  <c r="R927" i="7"/>
  <c r="D927" i="7"/>
  <c r="R926" i="7"/>
  <c r="D926" i="7"/>
  <c r="R925" i="7"/>
  <c r="D925" i="7"/>
  <c r="R924" i="7"/>
  <c r="D924" i="7"/>
  <c r="R923" i="7"/>
  <c r="D923" i="7"/>
  <c r="R922" i="7"/>
  <c r="D922" i="7"/>
  <c r="R921" i="7"/>
  <c r="D921" i="7"/>
  <c r="R920" i="7"/>
  <c r="D920" i="7"/>
  <c r="R919" i="7"/>
  <c r="D919" i="7"/>
  <c r="R918" i="7"/>
  <c r="D918" i="7"/>
  <c r="R917" i="7"/>
  <c r="D917" i="7"/>
  <c r="R916" i="7"/>
  <c r="D916" i="7"/>
  <c r="R915" i="7"/>
  <c r="D915" i="7"/>
  <c r="R914" i="7"/>
  <c r="D914" i="7"/>
  <c r="R913" i="7"/>
  <c r="D913" i="7"/>
  <c r="R912" i="7"/>
  <c r="D912" i="7"/>
  <c r="R911" i="7"/>
  <c r="D911" i="7"/>
  <c r="R910" i="7"/>
  <c r="D910" i="7"/>
  <c r="R909" i="7"/>
  <c r="D909" i="7"/>
  <c r="R908" i="7"/>
  <c r="D908" i="7"/>
  <c r="R907" i="7"/>
  <c r="D907" i="7"/>
  <c r="R906" i="7"/>
  <c r="D906" i="7"/>
  <c r="R905" i="7"/>
  <c r="D905" i="7"/>
  <c r="R904" i="7"/>
  <c r="D904" i="7"/>
  <c r="R903" i="7"/>
  <c r="D903" i="7"/>
  <c r="R902" i="7"/>
  <c r="D902" i="7"/>
  <c r="R901" i="7"/>
  <c r="D901" i="7"/>
  <c r="R900" i="7"/>
  <c r="D900" i="7"/>
  <c r="R899" i="7"/>
  <c r="D899" i="7"/>
  <c r="R898" i="7"/>
  <c r="D898" i="7"/>
  <c r="R897" i="7"/>
  <c r="D897" i="7"/>
  <c r="R896" i="7"/>
  <c r="D896" i="7"/>
  <c r="R895" i="7"/>
  <c r="D895" i="7"/>
  <c r="R894" i="7"/>
  <c r="D894" i="7"/>
  <c r="R893" i="7"/>
  <c r="D893" i="7"/>
  <c r="R892" i="7"/>
  <c r="D892" i="7"/>
  <c r="R891" i="7"/>
  <c r="D891" i="7"/>
  <c r="R890" i="7"/>
  <c r="D890" i="7"/>
  <c r="R889" i="7"/>
  <c r="D889" i="7"/>
  <c r="R888" i="7"/>
  <c r="D888" i="7"/>
  <c r="R887" i="7"/>
  <c r="D887" i="7"/>
  <c r="R886" i="7"/>
  <c r="D886" i="7"/>
  <c r="R885" i="7"/>
  <c r="D885" i="7"/>
  <c r="R884" i="7"/>
  <c r="D884" i="7"/>
  <c r="R883" i="7"/>
  <c r="D883" i="7"/>
  <c r="R882" i="7"/>
  <c r="D882" i="7"/>
  <c r="R881" i="7"/>
  <c r="D881" i="7"/>
  <c r="R880" i="7"/>
  <c r="D880" i="7"/>
  <c r="R879" i="7"/>
  <c r="D879" i="7"/>
  <c r="R878" i="7"/>
  <c r="D878" i="7"/>
  <c r="R877" i="7"/>
  <c r="D877" i="7"/>
  <c r="R876" i="7"/>
  <c r="D876" i="7"/>
  <c r="R875" i="7"/>
  <c r="D875" i="7"/>
  <c r="R874" i="7"/>
  <c r="D874" i="7"/>
  <c r="R873" i="7"/>
  <c r="D873" i="7"/>
  <c r="R872" i="7"/>
  <c r="D872" i="7"/>
  <c r="R871" i="7"/>
  <c r="D871" i="7"/>
  <c r="R870" i="7"/>
  <c r="D870" i="7"/>
  <c r="R869" i="7"/>
  <c r="D869" i="7"/>
  <c r="R868" i="7"/>
  <c r="D868" i="7"/>
  <c r="R867" i="7"/>
  <c r="D867" i="7"/>
  <c r="R866" i="7"/>
  <c r="D866" i="7"/>
  <c r="R865" i="7"/>
  <c r="D865" i="7"/>
  <c r="R864" i="7"/>
  <c r="D864" i="7"/>
  <c r="R863" i="7"/>
  <c r="D863" i="7"/>
  <c r="R862" i="7"/>
  <c r="D862" i="7"/>
  <c r="R861" i="7"/>
  <c r="D861" i="7"/>
  <c r="R860" i="7"/>
  <c r="D860" i="7"/>
  <c r="R859" i="7"/>
  <c r="D859" i="7"/>
  <c r="R857" i="7"/>
  <c r="D857" i="7"/>
  <c r="R856" i="7"/>
  <c r="D856" i="7"/>
  <c r="R855" i="7"/>
  <c r="D855" i="7"/>
  <c r="R854" i="7"/>
  <c r="D854" i="7"/>
  <c r="R853" i="7"/>
  <c r="D853" i="7"/>
  <c r="R852" i="7"/>
  <c r="D852" i="7"/>
  <c r="R851" i="7"/>
  <c r="D851" i="7"/>
  <c r="R850" i="7"/>
  <c r="D850" i="7"/>
  <c r="R849" i="7"/>
  <c r="D849" i="7"/>
  <c r="R848" i="7"/>
  <c r="D848" i="7"/>
  <c r="R847" i="7"/>
  <c r="D847" i="7"/>
  <c r="R846" i="7"/>
  <c r="D846" i="7"/>
  <c r="R845" i="7"/>
  <c r="D845" i="7"/>
  <c r="R844" i="7"/>
  <c r="D844" i="7"/>
  <c r="R843" i="7"/>
  <c r="D843" i="7"/>
  <c r="R842" i="7"/>
  <c r="D842" i="7"/>
  <c r="R841" i="7"/>
  <c r="D841" i="7"/>
  <c r="R840" i="7"/>
  <c r="D840" i="7"/>
  <c r="R839" i="7"/>
  <c r="D839" i="7"/>
  <c r="R838" i="7"/>
  <c r="D838" i="7"/>
  <c r="R837" i="7"/>
  <c r="D837" i="7"/>
  <c r="R836" i="7"/>
  <c r="D836" i="7"/>
  <c r="R835" i="7"/>
  <c r="D835" i="7"/>
  <c r="R834" i="7"/>
  <c r="D834" i="7"/>
  <c r="R833" i="7"/>
  <c r="D833" i="7"/>
  <c r="R832" i="7"/>
  <c r="D832" i="7"/>
  <c r="R831" i="7"/>
  <c r="D831" i="7"/>
  <c r="R830" i="7"/>
  <c r="D830" i="7"/>
  <c r="R829" i="7"/>
  <c r="D829" i="7"/>
  <c r="R828" i="7"/>
  <c r="D828" i="7"/>
  <c r="R827" i="7"/>
  <c r="D827" i="7"/>
  <c r="R826" i="7"/>
  <c r="D826" i="7"/>
  <c r="R825" i="7"/>
  <c r="D825" i="7"/>
  <c r="R824" i="7"/>
  <c r="D824" i="7"/>
  <c r="R823" i="7"/>
  <c r="D823" i="7"/>
  <c r="R822" i="7"/>
  <c r="D822" i="7"/>
  <c r="R821" i="7"/>
  <c r="D821" i="7"/>
  <c r="R820" i="7"/>
  <c r="D820" i="7"/>
  <c r="R819" i="7"/>
  <c r="D819" i="7"/>
  <c r="R818" i="7"/>
  <c r="D818" i="7"/>
  <c r="R817" i="7"/>
  <c r="D817" i="7"/>
  <c r="R816" i="7"/>
  <c r="D816" i="7"/>
  <c r="R815" i="7"/>
  <c r="D815" i="7"/>
  <c r="R814" i="7"/>
  <c r="D814" i="7"/>
  <c r="R813" i="7"/>
  <c r="D813" i="7"/>
  <c r="R812" i="7"/>
  <c r="D812" i="7"/>
  <c r="R811" i="7"/>
  <c r="D811" i="7"/>
  <c r="R810" i="7"/>
  <c r="D810" i="7"/>
  <c r="R809" i="7"/>
  <c r="D809" i="7"/>
  <c r="R808" i="7"/>
  <c r="D808" i="7"/>
  <c r="R807" i="7"/>
  <c r="D807" i="7"/>
  <c r="R806" i="7"/>
  <c r="D806" i="7"/>
  <c r="R805" i="7"/>
  <c r="D805" i="7"/>
  <c r="R804" i="7"/>
  <c r="D804" i="7"/>
  <c r="R803" i="7"/>
  <c r="D803" i="7"/>
  <c r="R802" i="7"/>
  <c r="D802" i="7"/>
  <c r="R801" i="7"/>
  <c r="D801" i="7"/>
  <c r="R800" i="7"/>
  <c r="D800" i="7"/>
  <c r="R799" i="7"/>
  <c r="D799" i="7"/>
  <c r="R798" i="7"/>
  <c r="D798" i="7"/>
  <c r="R797" i="7"/>
  <c r="D797" i="7"/>
  <c r="R796" i="7"/>
  <c r="D796" i="7"/>
  <c r="R795" i="7"/>
  <c r="D795" i="7"/>
  <c r="R794" i="7"/>
  <c r="D794" i="7"/>
  <c r="R793" i="7"/>
  <c r="D793" i="7"/>
  <c r="R792" i="7"/>
  <c r="D792" i="7"/>
  <c r="R791" i="7"/>
  <c r="D791" i="7"/>
  <c r="R790" i="7"/>
  <c r="D790" i="7"/>
  <c r="R789" i="7"/>
  <c r="D789" i="7"/>
  <c r="R788" i="7"/>
  <c r="D788" i="7"/>
  <c r="R787" i="7"/>
  <c r="D787" i="7"/>
  <c r="R786" i="7"/>
  <c r="D786" i="7"/>
  <c r="R785" i="7"/>
  <c r="D785" i="7"/>
  <c r="R784" i="7"/>
  <c r="D784" i="7"/>
  <c r="R783" i="7"/>
  <c r="D783" i="7"/>
  <c r="R782" i="7"/>
  <c r="D782" i="7"/>
  <c r="R781" i="7"/>
  <c r="D781" i="7"/>
  <c r="R780" i="7"/>
  <c r="D780" i="7"/>
  <c r="R779" i="7"/>
  <c r="D779" i="7"/>
  <c r="R778" i="7"/>
  <c r="D778" i="7"/>
  <c r="R777" i="7"/>
  <c r="D777" i="7"/>
  <c r="R776" i="7"/>
  <c r="D776" i="7"/>
  <c r="R775" i="7"/>
  <c r="D775" i="7"/>
  <c r="R774" i="7"/>
  <c r="D774" i="7"/>
  <c r="R773" i="7"/>
  <c r="D773" i="7"/>
  <c r="R772" i="7"/>
  <c r="D772" i="7"/>
  <c r="R771" i="7"/>
  <c r="D771" i="7"/>
  <c r="R770" i="7"/>
  <c r="D770" i="7"/>
  <c r="R769" i="7"/>
  <c r="D769" i="7"/>
  <c r="R768" i="7"/>
  <c r="D768" i="7"/>
  <c r="R767" i="7"/>
  <c r="D767" i="7"/>
  <c r="R766" i="7"/>
  <c r="D766" i="7"/>
  <c r="R765" i="7"/>
  <c r="D765" i="7"/>
  <c r="R764" i="7"/>
  <c r="D764" i="7"/>
  <c r="R763" i="7"/>
  <c r="D763" i="7"/>
  <c r="R762" i="7"/>
  <c r="D762" i="7"/>
  <c r="R761" i="7"/>
  <c r="D761" i="7"/>
  <c r="R760" i="7"/>
  <c r="D760" i="7"/>
  <c r="R759" i="7"/>
  <c r="D759" i="7"/>
  <c r="R758" i="7"/>
  <c r="D758" i="7"/>
  <c r="R757" i="7"/>
  <c r="D757" i="7"/>
  <c r="R756" i="7"/>
  <c r="D756" i="7"/>
  <c r="R755" i="7"/>
  <c r="D755" i="7"/>
  <c r="R754" i="7"/>
  <c r="D754" i="7"/>
  <c r="R753" i="7"/>
  <c r="D753" i="7"/>
  <c r="R752" i="7"/>
  <c r="D752" i="7"/>
  <c r="R751" i="7"/>
  <c r="D751" i="7"/>
  <c r="R750" i="7"/>
  <c r="D750" i="7"/>
  <c r="R749" i="7"/>
  <c r="D749" i="7"/>
  <c r="R748" i="7"/>
  <c r="D748" i="7"/>
  <c r="R747" i="7"/>
  <c r="D747" i="7"/>
  <c r="R746" i="7"/>
  <c r="D746" i="7"/>
  <c r="R745" i="7"/>
  <c r="D745" i="7"/>
  <c r="R744" i="7"/>
  <c r="D744" i="7"/>
  <c r="R743" i="7"/>
  <c r="D743" i="7"/>
  <c r="R742" i="7"/>
  <c r="D742" i="7"/>
  <c r="R741" i="7"/>
  <c r="D741" i="7"/>
  <c r="R740" i="7"/>
  <c r="D740" i="7"/>
  <c r="R739" i="7"/>
  <c r="D739" i="7"/>
  <c r="R738" i="7"/>
  <c r="D738" i="7"/>
  <c r="R737" i="7"/>
  <c r="D737" i="7"/>
  <c r="R736" i="7"/>
  <c r="D736" i="7"/>
  <c r="R735" i="7"/>
  <c r="D735" i="7"/>
  <c r="R734" i="7"/>
  <c r="D734" i="7"/>
  <c r="R733" i="7"/>
  <c r="D733" i="7"/>
  <c r="R732" i="7"/>
  <c r="D732" i="7"/>
  <c r="R731" i="7"/>
  <c r="D731" i="7"/>
  <c r="R730" i="7"/>
  <c r="D730" i="7"/>
  <c r="R729" i="7"/>
  <c r="D729" i="7"/>
  <c r="R728" i="7"/>
  <c r="D728" i="7"/>
  <c r="R727" i="7"/>
  <c r="D727" i="7"/>
  <c r="R726" i="7"/>
  <c r="D726" i="7"/>
  <c r="R725" i="7"/>
  <c r="D725" i="7"/>
  <c r="R724" i="7"/>
  <c r="D724" i="7"/>
  <c r="R723" i="7"/>
  <c r="D723" i="7"/>
  <c r="R722" i="7"/>
  <c r="D722" i="7"/>
  <c r="R721" i="7"/>
  <c r="D721" i="7"/>
  <c r="R720" i="7"/>
  <c r="D720" i="7"/>
  <c r="R719" i="7"/>
  <c r="D719" i="7"/>
  <c r="R718" i="7"/>
  <c r="D718" i="7"/>
  <c r="R717" i="7"/>
  <c r="D717" i="7"/>
  <c r="R716" i="7"/>
  <c r="D716" i="7"/>
  <c r="R715" i="7"/>
  <c r="D715" i="7"/>
  <c r="R714" i="7"/>
  <c r="D714" i="7"/>
  <c r="R713" i="7"/>
  <c r="D713" i="7"/>
  <c r="R712" i="7"/>
  <c r="D712" i="7"/>
  <c r="R711" i="7"/>
  <c r="D711" i="7"/>
  <c r="R710" i="7"/>
  <c r="D710" i="7"/>
  <c r="R709" i="7"/>
  <c r="D709" i="7"/>
  <c r="R708" i="7"/>
  <c r="D708" i="7"/>
  <c r="R707" i="7"/>
  <c r="D707" i="7"/>
  <c r="R706" i="7"/>
  <c r="D706" i="7"/>
  <c r="R705" i="7"/>
  <c r="D705" i="7"/>
  <c r="R704" i="7"/>
  <c r="D704" i="7"/>
  <c r="R703" i="7"/>
  <c r="D703" i="7"/>
  <c r="R702" i="7"/>
  <c r="D702" i="7"/>
  <c r="R701" i="7"/>
  <c r="D701" i="7"/>
  <c r="R700" i="7"/>
  <c r="D700" i="7"/>
  <c r="R699" i="7"/>
  <c r="D699" i="7"/>
  <c r="R698" i="7"/>
  <c r="D698" i="7"/>
  <c r="R697" i="7"/>
  <c r="D697" i="7"/>
  <c r="R696" i="7"/>
  <c r="D696" i="7"/>
  <c r="R695" i="7"/>
  <c r="D695" i="7"/>
  <c r="R694" i="7"/>
  <c r="D694" i="7"/>
  <c r="R693" i="7"/>
  <c r="D693" i="7"/>
  <c r="R692" i="7"/>
  <c r="D692" i="7"/>
  <c r="R691" i="7"/>
  <c r="D691" i="7"/>
  <c r="R690" i="7"/>
  <c r="D690" i="7"/>
  <c r="R689" i="7"/>
  <c r="D689" i="7"/>
  <c r="R688" i="7"/>
  <c r="D688" i="7"/>
  <c r="R687" i="7"/>
  <c r="D687" i="7"/>
  <c r="R686" i="7"/>
  <c r="D686" i="7"/>
  <c r="R685" i="7"/>
  <c r="D685" i="7"/>
  <c r="R684" i="7"/>
  <c r="D684" i="7"/>
  <c r="R683" i="7"/>
  <c r="D683" i="7"/>
  <c r="R682" i="7"/>
  <c r="D682" i="7"/>
  <c r="R681" i="7"/>
  <c r="D681" i="7"/>
  <c r="R680" i="7"/>
  <c r="D680" i="7"/>
  <c r="R679" i="7"/>
  <c r="D679" i="7"/>
  <c r="R678" i="7"/>
  <c r="D678" i="7"/>
  <c r="R677" i="7"/>
  <c r="D677" i="7"/>
  <c r="R676" i="7"/>
  <c r="D676" i="7"/>
  <c r="R675" i="7"/>
  <c r="D675" i="7"/>
  <c r="R674" i="7"/>
  <c r="D674" i="7"/>
  <c r="R673" i="7"/>
  <c r="D673" i="7"/>
  <c r="R672" i="7"/>
  <c r="D672" i="7"/>
  <c r="R671" i="7"/>
  <c r="D671" i="7"/>
  <c r="R670" i="7"/>
  <c r="D670" i="7"/>
  <c r="R669" i="7"/>
  <c r="D669" i="7"/>
  <c r="R668" i="7"/>
  <c r="D668" i="7"/>
  <c r="R667" i="7"/>
  <c r="D667" i="7"/>
  <c r="R666" i="7"/>
  <c r="D666" i="7"/>
  <c r="R665" i="7"/>
  <c r="D665" i="7"/>
  <c r="R664" i="7"/>
  <c r="D664" i="7"/>
  <c r="R663" i="7"/>
  <c r="D663" i="7"/>
  <c r="R662" i="7"/>
  <c r="D662" i="7"/>
  <c r="R661" i="7"/>
  <c r="D661" i="7"/>
  <c r="R660" i="7"/>
  <c r="D660" i="7"/>
  <c r="R659" i="7"/>
  <c r="D659" i="7"/>
  <c r="R658" i="7"/>
  <c r="D658" i="7"/>
  <c r="R657" i="7"/>
  <c r="D657" i="7"/>
  <c r="R656" i="7"/>
  <c r="D656" i="7"/>
  <c r="R655" i="7"/>
  <c r="D655" i="7"/>
  <c r="R654" i="7"/>
  <c r="D654" i="7"/>
  <c r="R653" i="7"/>
  <c r="D653" i="7"/>
  <c r="R652" i="7"/>
  <c r="D652" i="7"/>
  <c r="R651" i="7"/>
  <c r="D651" i="7"/>
  <c r="R650" i="7"/>
  <c r="D650" i="7"/>
  <c r="R649" i="7"/>
  <c r="D649" i="7"/>
  <c r="R648" i="7"/>
  <c r="D648" i="7"/>
  <c r="R647" i="7"/>
  <c r="D647" i="7"/>
  <c r="R646" i="7"/>
  <c r="D646" i="7"/>
  <c r="R645" i="7"/>
  <c r="D645" i="7"/>
  <c r="R644" i="7"/>
  <c r="D644" i="7"/>
  <c r="R643" i="7"/>
  <c r="D643" i="7"/>
  <c r="R642" i="7"/>
  <c r="D642" i="7"/>
  <c r="R641" i="7"/>
  <c r="D641" i="7"/>
  <c r="R640" i="7"/>
  <c r="D640" i="7"/>
  <c r="R639" i="7"/>
  <c r="D639" i="7"/>
  <c r="R638" i="7"/>
  <c r="D638" i="7"/>
  <c r="R637" i="7"/>
  <c r="D637" i="7"/>
  <c r="R636" i="7"/>
  <c r="D636" i="7"/>
  <c r="R635" i="7"/>
  <c r="D635" i="7"/>
  <c r="R634" i="7"/>
  <c r="D634" i="7"/>
  <c r="R633" i="7"/>
  <c r="D633" i="7"/>
  <c r="R632" i="7"/>
  <c r="D632" i="7"/>
  <c r="R631" i="7"/>
  <c r="D631" i="7"/>
  <c r="R630" i="7"/>
  <c r="D630" i="7"/>
  <c r="R629" i="7"/>
  <c r="D629" i="7"/>
  <c r="R628" i="7"/>
  <c r="D628" i="7"/>
  <c r="R627" i="7"/>
  <c r="D627" i="7"/>
  <c r="R626" i="7"/>
  <c r="D626" i="7"/>
  <c r="R625" i="7"/>
  <c r="D625" i="7"/>
  <c r="R624" i="7"/>
  <c r="D624" i="7"/>
  <c r="R623" i="7"/>
  <c r="D623" i="7"/>
  <c r="R622" i="7"/>
  <c r="D622" i="7"/>
  <c r="R621" i="7"/>
  <c r="D621" i="7"/>
  <c r="R620" i="7"/>
  <c r="D620" i="7"/>
  <c r="R619" i="7"/>
  <c r="D619" i="7"/>
  <c r="R618" i="7"/>
  <c r="D618" i="7"/>
  <c r="R617" i="7"/>
  <c r="D617" i="7"/>
  <c r="R616" i="7"/>
  <c r="D616" i="7"/>
  <c r="R615" i="7"/>
  <c r="D615" i="7"/>
  <c r="R614" i="7"/>
  <c r="D614" i="7"/>
  <c r="R613" i="7"/>
  <c r="D613" i="7"/>
  <c r="R612" i="7"/>
  <c r="D612" i="7"/>
  <c r="R611" i="7"/>
  <c r="D611" i="7"/>
  <c r="R610" i="7"/>
  <c r="D610" i="7"/>
  <c r="R609" i="7"/>
  <c r="D609" i="7"/>
  <c r="R608" i="7"/>
  <c r="D608" i="7"/>
  <c r="R607" i="7"/>
  <c r="D607" i="7"/>
  <c r="R606" i="7"/>
  <c r="D606" i="7"/>
  <c r="R605" i="7"/>
  <c r="D605" i="7"/>
  <c r="R604" i="7"/>
  <c r="D604" i="7"/>
  <c r="R603" i="7"/>
  <c r="D603" i="7"/>
  <c r="R602" i="7"/>
  <c r="D602" i="7"/>
  <c r="R601" i="7"/>
  <c r="D601" i="7"/>
  <c r="R600" i="7"/>
  <c r="D600" i="7"/>
  <c r="R599" i="7"/>
  <c r="D599" i="7"/>
  <c r="R598" i="7"/>
  <c r="D598" i="7"/>
  <c r="R597" i="7"/>
  <c r="D597" i="7"/>
  <c r="R596" i="7"/>
  <c r="D596" i="7"/>
  <c r="R595" i="7"/>
  <c r="D595" i="7"/>
  <c r="R594" i="7"/>
  <c r="D594" i="7"/>
  <c r="R593" i="7"/>
  <c r="D593" i="7"/>
  <c r="R592" i="7"/>
  <c r="D592" i="7"/>
  <c r="R591" i="7"/>
  <c r="D591" i="7"/>
  <c r="R590" i="7"/>
  <c r="D590" i="7"/>
  <c r="R589" i="7"/>
  <c r="D589" i="7"/>
  <c r="R588" i="7"/>
  <c r="D588" i="7"/>
  <c r="R587" i="7"/>
  <c r="D587" i="7"/>
  <c r="R586" i="7"/>
  <c r="D586" i="7"/>
  <c r="R585" i="7"/>
  <c r="D585" i="7"/>
  <c r="R583" i="7"/>
  <c r="D583" i="7"/>
  <c r="R582" i="7"/>
  <c r="D582" i="7"/>
  <c r="R581" i="7"/>
  <c r="D581" i="7"/>
  <c r="R580" i="7"/>
  <c r="D580" i="7"/>
  <c r="R579" i="7"/>
  <c r="D579" i="7"/>
  <c r="R578" i="7"/>
  <c r="D578" i="7"/>
  <c r="R577" i="7"/>
  <c r="D577" i="7"/>
  <c r="R576" i="7"/>
  <c r="D576" i="7"/>
  <c r="R575" i="7"/>
  <c r="D575" i="7"/>
  <c r="R574" i="7"/>
  <c r="D574" i="7"/>
  <c r="R573" i="7"/>
  <c r="D573" i="7"/>
  <c r="R572" i="7"/>
  <c r="D572" i="7"/>
  <c r="R571" i="7"/>
  <c r="D571" i="7"/>
  <c r="R570" i="7"/>
  <c r="D570" i="7"/>
  <c r="R569" i="7"/>
  <c r="D569" i="7"/>
  <c r="R568" i="7"/>
  <c r="D568" i="7"/>
  <c r="R567" i="7"/>
  <c r="D567" i="7"/>
  <c r="R566" i="7"/>
  <c r="D566" i="7"/>
  <c r="R565" i="7"/>
  <c r="D565" i="7"/>
  <c r="R564" i="7"/>
  <c r="D564" i="7"/>
  <c r="R563" i="7"/>
  <c r="D563" i="7"/>
  <c r="R562" i="7"/>
  <c r="D562" i="7"/>
  <c r="R561" i="7"/>
  <c r="D561" i="7"/>
  <c r="R560" i="7"/>
  <c r="D560" i="7"/>
  <c r="R559" i="7"/>
  <c r="D559" i="7"/>
  <c r="R558" i="7"/>
  <c r="D558" i="7"/>
  <c r="R557" i="7"/>
  <c r="D557" i="7"/>
  <c r="R556" i="7"/>
  <c r="D556" i="7"/>
  <c r="R555" i="7"/>
  <c r="D555" i="7"/>
  <c r="R554" i="7"/>
  <c r="D554" i="7"/>
  <c r="R553" i="7"/>
  <c r="D553" i="7"/>
  <c r="R552" i="7"/>
  <c r="D552" i="7"/>
  <c r="R551" i="7"/>
  <c r="D551" i="7"/>
  <c r="R550" i="7"/>
  <c r="D550" i="7"/>
  <c r="R549" i="7"/>
  <c r="D549" i="7"/>
  <c r="R548" i="7"/>
  <c r="D548" i="7"/>
  <c r="R547" i="7"/>
  <c r="D547" i="7"/>
  <c r="R546" i="7"/>
  <c r="D546" i="7"/>
  <c r="R545" i="7"/>
  <c r="D545" i="7"/>
  <c r="R544" i="7"/>
  <c r="D544" i="7"/>
  <c r="R543" i="7"/>
  <c r="D543" i="7"/>
  <c r="R542" i="7"/>
  <c r="D542" i="7"/>
  <c r="R541" i="7"/>
  <c r="D541" i="7"/>
  <c r="R540" i="7"/>
  <c r="D540" i="7"/>
  <c r="R539" i="7"/>
  <c r="D539" i="7"/>
  <c r="R538" i="7"/>
  <c r="D538" i="7"/>
  <c r="R537" i="7"/>
  <c r="D537" i="7"/>
  <c r="R536" i="7"/>
  <c r="D536" i="7"/>
  <c r="R535" i="7"/>
  <c r="D535" i="7"/>
  <c r="R534" i="7"/>
  <c r="D534" i="7"/>
  <c r="R533" i="7"/>
  <c r="D533" i="7"/>
  <c r="R532" i="7"/>
  <c r="D532" i="7"/>
  <c r="R531" i="7"/>
  <c r="D531" i="7"/>
  <c r="R530" i="7"/>
  <c r="D530" i="7"/>
  <c r="R529" i="7"/>
  <c r="D529" i="7"/>
  <c r="R528" i="7"/>
  <c r="D528" i="7"/>
  <c r="R527" i="7"/>
  <c r="D527" i="7"/>
  <c r="R526" i="7"/>
  <c r="D526" i="7"/>
  <c r="R525" i="7"/>
  <c r="D525" i="7"/>
  <c r="R524" i="7"/>
  <c r="D524" i="7"/>
  <c r="R523" i="7"/>
  <c r="D523" i="7"/>
  <c r="R522" i="7"/>
  <c r="D522" i="7"/>
  <c r="R521" i="7"/>
  <c r="D521" i="7"/>
  <c r="R520" i="7"/>
  <c r="D520" i="7"/>
  <c r="R519" i="7"/>
  <c r="D519" i="7"/>
  <c r="R518" i="7"/>
  <c r="D518" i="7"/>
  <c r="R517" i="7"/>
  <c r="D517" i="7"/>
  <c r="R516" i="7"/>
  <c r="D516" i="7"/>
  <c r="R515" i="7"/>
  <c r="D515" i="7"/>
  <c r="R514" i="7"/>
  <c r="D514" i="7"/>
  <c r="R513" i="7"/>
  <c r="D513" i="7"/>
  <c r="R512" i="7"/>
  <c r="D512" i="7"/>
  <c r="R511" i="7"/>
  <c r="D511" i="7"/>
  <c r="R510" i="7"/>
  <c r="D510" i="7"/>
  <c r="R509" i="7"/>
  <c r="D509" i="7"/>
  <c r="R508" i="7"/>
  <c r="D508" i="7"/>
  <c r="R507" i="7"/>
  <c r="D507" i="7"/>
  <c r="R506" i="7"/>
  <c r="D506" i="7"/>
  <c r="R505" i="7"/>
  <c r="D505" i="7"/>
  <c r="R504" i="7"/>
  <c r="D504" i="7"/>
  <c r="R503" i="7"/>
  <c r="D503" i="7"/>
  <c r="R502" i="7"/>
  <c r="D502" i="7"/>
  <c r="R501" i="7"/>
  <c r="D501" i="7"/>
  <c r="R500" i="7"/>
  <c r="D500" i="7"/>
  <c r="R499" i="7"/>
  <c r="D499" i="7"/>
  <c r="R498" i="7"/>
  <c r="D498" i="7"/>
  <c r="R497" i="7"/>
  <c r="D497" i="7"/>
  <c r="R496" i="7"/>
  <c r="D496" i="7"/>
  <c r="R495" i="7"/>
  <c r="D495" i="7"/>
  <c r="R494" i="7"/>
  <c r="D494" i="7"/>
  <c r="R493" i="7"/>
  <c r="D493" i="7"/>
  <c r="R492" i="7"/>
  <c r="D492" i="7"/>
  <c r="R491" i="7"/>
  <c r="D491" i="7"/>
  <c r="R490" i="7"/>
  <c r="D490" i="7"/>
  <c r="R489" i="7"/>
  <c r="D489" i="7"/>
  <c r="R488" i="7"/>
  <c r="D488" i="7"/>
  <c r="R487" i="7"/>
  <c r="D487" i="7"/>
  <c r="R486" i="7"/>
  <c r="D486" i="7"/>
  <c r="R485" i="7"/>
  <c r="D485" i="7"/>
  <c r="R484" i="7"/>
  <c r="D484" i="7"/>
  <c r="R483" i="7"/>
  <c r="D483" i="7"/>
  <c r="R482" i="7"/>
  <c r="D482" i="7"/>
  <c r="R481" i="7"/>
  <c r="D481" i="7"/>
  <c r="R480" i="7"/>
  <c r="D480" i="7"/>
  <c r="R479" i="7"/>
  <c r="D479" i="7"/>
  <c r="R478" i="7"/>
  <c r="D478" i="7"/>
  <c r="R477" i="7"/>
  <c r="D477" i="7"/>
  <c r="R476" i="7"/>
  <c r="D476" i="7"/>
  <c r="R475" i="7"/>
  <c r="D475" i="7"/>
  <c r="R474" i="7"/>
  <c r="D474" i="7"/>
  <c r="R473" i="7"/>
  <c r="D473" i="7"/>
  <c r="R472" i="7"/>
  <c r="D472" i="7"/>
  <c r="R471" i="7"/>
  <c r="D471" i="7"/>
  <c r="R470" i="7"/>
  <c r="D470" i="7"/>
  <c r="R469" i="7"/>
  <c r="D469" i="7"/>
  <c r="R468" i="7"/>
  <c r="D468" i="7"/>
  <c r="R467" i="7"/>
  <c r="D467" i="7"/>
  <c r="R466" i="7"/>
  <c r="D466" i="7"/>
  <c r="R465" i="7"/>
  <c r="D465" i="7"/>
  <c r="R464" i="7"/>
  <c r="D464" i="7"/>
  <c r="R463" i="7"/>
  <c r="D463" i="7"/>
  <c r="R462" i="7"/>
  <c r="D462" i="7"/>
  <c r="R461" i="7"/>
  <c r="D461" i="7"/>
  <c r="R460" i="7"/>
  <c r="D460" i="7"/>
  <c r="R459" i="7"/>
  <c r="D459" i="7"/>
  <c r="R458" i="7"/>
  <c r="D458" i="7"/>
  <c r="R457" i="7"/>
  <c r="D457" i="7"/>
  <c r="R456" i="7"/>
  <c r="D456" i="7"/>
  <c r="R455" i="7"/>
  <c r="D455" i="7"/>
  <c r="R454" i="7"/>
  <c r="D454" i="7"/>
  <c r="R453" i="7"/>
  <c r="D453" i="7"/>
  <c r="R452" i="7"/>
  <c r="D452" i="7"/>
  <c r="R451" i="7"/>
  <c r="D451" i="7"/>
  <c r="R450" i="7"/>
  <c r="D450" i="7"/>
  <c r="R449" i="7"/>
  <c r="D449" i="7"/>
  <c r="R448" i="7"/>
  <c r="D448" i="7"/>
  <c r="R447" i="7"/>
  <c r="D447" i="7"/>
  <c r="R446" i="7"/>
  <c r="D446" i="7"/>
  <c r="R445" i="7"/>
  <c r="D445" i="7"/>
  <c r="R444" i="7"/>
  <c r="D444" i="7"/>
  <c r="R443" i="7"/>
  <c r="D443" i="7"/>
  <c r="R442" i="7"/>
  <c r="D442" i="7"/>
  <c r="R441" i="7"/>
  <c r="D441" i="7"/>
  <c r="R440" i="7"/>
  <c r="D440" i="7"/>
  <c r="R439" i="7"/>
  <c r="D439" i="7"/>
  <c r="R438" i="7"/>
  <c r="D438" i="7"/>
  <c r="R437" i="7"/>
  <c r="D437" i="7"/>
  <c r="R436" i="7"/>
  <c r="D436" i="7"/>
  <c r="R435" i="7"/>
  <c r="D435" i="7"/>
  <c r="R434" i="7"/>
  <c r="D434" i="7"/>
  <c r="R433" i="7"/>
  <c r="D433" i="7"/>
  <c r="R432" i="7"/>
  <c r="D432" i="7"/>
  <c r="R431" i="7"/>
  <c r="D431" i="7"/>
  <c r="R430" i="7"/>
  <c r="D430" i="7"/>
  <c r="R429" i="7"/>
  <c r="D429" i="7"/>
  <c r="R428" i="7"/>
  <c r="D428" i="7"/>
  <c r="R427" i="7"/>
  <c r="D427" i="7"/>
  <c r="R426" i="7"/>
  <c r="D426" i="7"/>
  <c r="R425" i="7"/>
  <c r="D425" i="7"/>
  <c r="R424" i="7"/>
  <c r="D424" i="7"/>
  <c r="R423" i="7"/>
  <c r="D423" i="7"/>
  <c r="R422" i="7"/>
  <c r="D422" i="7"/>
  <c r="R421" i="7"/>
  <c r="D421" i="7"/>
  <c r="R420" i="7"/>
  <c r="D420" i="7"/>
  <c r="R419" i="7"/>
  <c r="D419" i="7"/>
  <c r="R418" i="7"/>
  <c r="D418" i="7"/>
  <c r="R417" i="7"/>
  <c r="D417" i="7"/>
  <c r="R416" i="7"/>
  <c r="D416" i="7"/>
  <c r="R415" i="7"/>
  <c r="D415" i="7"/>
  <c r="R414" i="7"/>
  <c r="D414" i="7"/>
  <c r="R413" i="7"/>
  <c r="D413" i="7"/>
  <c r="R412" i="7"/>
  <c r="D412" i="7"/>
  <c r="R411" i="7"/>
  <c r="D411" i="7"/>
  <c r="R410" i="7"/>
  <c r="D410" i="7"/>
  <c r="R409" i="7"/>
  <c r="D409" i="7"/>
  <c r="R408" i="7"/>
  <c r="D408" i="7"/>
  <c r="R407" i="7"/>
  <c r="D407" i="7"/>
  <c r="R406" i="7"/>
  <c r="D406" i="7"/>
  <c r="R405" i="7"/>
  <c r="D405" i="7"/>
  <c r="R404" i="7"/>
  <c r="D404" i="7"/>
  <c r="R402" i="7"/>
  <c r="D402" i="7"/>
  <c r="R401" i="7"/>
  <c r="D401" i="7"/>
  <c r="R400" i="7"/>
  <c r="D400" i="7"/>
  <c r="R399" i="7"/>
  <c r="D399" i="7"/>
  <c r="R398" i="7"/>
  <c r="D398" i="7"/>
  <c r="R397" i="7"/>
  <c r="D397" i="7"/>
  <c r="R396" i="7"/>
  <c r="D396" i="7"/>
  <c r="R395" i="7"/>
  <c r="D395" i="7"/>
  <c r="R394" i="7"/>
  <c r="D394" i="7"/>
  <c r="R393" i="7"/>
  <c r="D393" i="7"/>
  <c r="R392" i="7"/>
  <c r="D392" i="7"/>
  <c r="R391" i="7"/>
  <c r="D391" i="7"/>
  <c r="R390" i="7"/>
  <c r="D390" i="7"/>
  <c r="R389" i="7"/>
  <c r="D389" i="7"/>
  <c r="R388" i="7"/>
  <c r="D388" i="7"/>
  <c r="R387" i="7"/>
  <c r="D387" i="7"/>
  <c r="R386" i="7"/>
  <c r="D386" i="7"/>
  <c r="R385" i="7"/>
  <c r="D385" i="7"/>
  <c r="R384" i="7"/>
  <c r="D384" i="7"/>
  <c r="R383" i="7"/>
  <c r="D383" i="7"/>
  <c r="R382" i="7"/>
  <c r="D382" i="7"/>
  <c r="R381" i="7"/>
  <c r="D381" i="7"/>
  <c r="R380" i="7"/>
  <c r="D380" i="7"/>
  <c r="R379" i="7"/>
  <c r="D379" i="7"/>
  <c r="R378" i="7"/>
  <c r="D378" i="7"/>
  <c r="R377" i="7"/>
  <c r="D377" i="7"/>
  <c r="R376" i="7"/>
  <c r="D376" i="7"/>
  <c r="R375" i="7"/>
  <c r="D375" i="7"/>
  <c r="R374" i="7"/>
  <c r="D374" i="7"/>
  <c r="R373" i="7"/>
  <c r="D373" i="7"/>
  <c r="R372" i="7"/>
  <c r="D372" i="7"/>
  <c r="R371" i="7"/>
  <c r="D371" i="7"/>
  <c r="R370" i="7"/>
  <c r="D370" i="7"/>
  <c r="R369" i="7"/>
  <c r="D369" i="7"/>
  <c r="R368" i="7"/>
  <c r="D368" i="7"/>
  <c r="R367" i="7"/>
  <c r="D367" i="7"/>
  <c r="R366" i="7"/>
  <c r="D366" i="7"/>
  <c r="R365" i="7"/>
  <c r="D365" i="7"/>
  <c r="R364" i="7"/>
  <c r="D364" i="7"/>
  <c r="R363" i="7"/>
  <c r="D363" i="7"/>
  <c r="R362" i="7"/>
  <c r="D362" i="7"/>
  <c r="R361" i="7"/>
  <c r="D361" i="7"/>
  <c r="R360" i="7"/>
  <c r="D360" i="7"/>
  <c r="R359" i="7"/>
  <c r="D359" i="7"/>
  <c r="R358" i="7"/>
  <c r="D358" i="7"/>
  <c r="R357" i="7"/>
  <c r="D357" i="7"/>
  <c r="R356" i="7"/>
  <c r="D356" i="7"/>
  <c r="R355" i="7"/>
  <c r="D355" i="7"/>
  <c r="R354" i="7"/>
  <c r="D354" i="7"/>
  <c r="R353" i="7"/>
  <c r="D353" i="7"/>
  <c r="R352" i="7"/>
  <c r="D352" i="7"/>
  <c r="R351" i="7"/>
  <c r="D351" i="7"/>
  <c r="R350" i="7"/>
  <c r="D350" i="7"/>
  <c r="R349" i="7"/>
  <c r="D349" i="7"/>
  <c r="R348" i="7"/>
  <c r="D348" i="7"/>
  <c r="R347" i="7"/>
  <c r="D347" i="7"/>
  <c r="R346" i="7"/>
  <c r="D346" i="7"/>
  <c r="R345" i="7"/>
  <c r="D345" i="7"/>
  <c r="R344" i="7"/>
  <c r="D344" i="7"/>
  <c r="R343" i="7"/>
  <c r="D343" i="7"/>
  <c r="R342" i="7"/>
  <c r="D342" i="7"/>
  <c r="R341" i="7"/>
  <c r="D341" i="7"/>
  <c r="R340" i="7"/>
  <c r="D340" i="7"/>
  <c r="R339" i="7"/>
  <c r="D339" i="7"/>
  <c r="R338" i="7"/>
  <c r="D338" i="7"/>
  <c r="R337" i="7"/>
  <c r="D337" i="7"/>
  <c r="R336" i="7"/>
  <c r="D336" i="7"/>
  <c r="R335" i="7"/>
  <c r="D335" i="7"/>
  <c r="R334" i="7"/>
  <c r="D334" i="7"/>
  <c r="R333" i="7"/>
  <c r="D333" i="7"/>
  <c r="R332" i="7"/>
  <c r="D332" i="7"/>
  <c r="R331" i="7"/>
  <c r="D331" i="7"/>
  <c r="R330" i="7"/>
  <c r="D330" i="7"/>
  <c r="R329" i="7"/>
  <c r="D329" i="7"/>
  <c r="R328" i="7"/>
  <c r="D328" i="7"/>
  <c r="R327" i="7"/>
  <c r="D327" i="7"/>
  <c r="R326" i="7"/>
  <c r="D326" i="7"/>
  <c r="R325" i="7"/>
  <c r="D325" i="7"/>
  <c r="R324" i="7"/>
  <c r="D324" i="7"/>
  <c r="R323" i="7"/>
  <c r="D323" i="7"/>
  <c r="R322" i="7"/>
  <c r="D322" i="7"/>
  <c r="R321" i="7"/>
  <c r="D321" i="7"/>
  <c r="R320" i="7"/>
  <c r="D320" i="7"/>
  <c r="R319" i="7"/>
  <c r="D319" i="7"/>
  <c r="R318" i="7"/>
  <c r="D318" i="7"/>
  <c r="R317" i="7"/>
  <c r="D317" i="7"/>
  <c r="R316" i="7"/>
  <c r="D316" i="7"/>
  <c r="R315" i="7"/>
  <c r="D315" i="7"/>
  <c r="R314" i="7"/>
  <c r="D314" i="7"/>
  <c r="R313" i="7"/>
  <c r="D313" i="7"/>
  <c r="R312" i="7"/>
  <c r="D312" i="7"/>
  <c r="R311" i="7"/>
  <c r="D311" i="7"/>
  <c r="R310" i="7"/>
  <c r="D310" i="7"/>
  <c r="R309" i="7"/>
  <c r="D309" i="7"/>
  <c r="R308" i="7"/>
  <c r="D308" i="7"/>
  <c r="R307" i="7"/>
  <c r="D307" i="7"/>
  <c r="R306" i="7"/>
  <c r="D306" i="7"/>
  <c r="R305" i="7"/>
  <c r="D305" i="7"/>
  <c r="R304" i="7"/>
  <c r="D304" i="7"/>
  <c r="R303" i="7"/>
  <c r="D303" i="7"/>
  <c r="R302" i="7"/>
  <c r="D302" i="7"/>
  <c r="R301" i="7"/>
  <c r="D301" i="7"/>
  <c r="R300" i="7"/>
  <c r="D300" i="7"/>
  <c r="R299" i="7"/>
  <c r="D299" i="7"/>
  <c r="R298" i="7"/>
  <c r="D298" i="7"/>
  <c r="R297" i="7"/>
  <c r="D297" i="7"/>
  <c r="R296" i="7"/>
  <c r="D296" i="7"/>
  <c r="R295" i="7"/>
  <c r="D295" i="7"/>
  <c r="R294" i="7"/>
  <c r="D294" i="7"/>
  <c r="R293" i="7"/>
  <c r="D293" i="7"/>
  <c r="R292" i="7"/>
  <c r="D292" i="7"/>
  <c r="R291" i="7"/>
  <c r="D291" i="7"/>
  <c r="R290" i="7"/>
  <c r="D290" i="7"/>
  <c r="R289" i="7"/>
  <c r="D289" i="7"/>
  <c r="R288" i="7"/>
  <c r="D288" i="7"/>
  <c r="R287" i="7"/>
  <c r="D287" i="7"/>
  <c r="R286" i="7"/>
  <c r="D286" i="7"/>
  <c r="R285" i="7"/>
  <c r="D285" i="7"/>
  <c r="R284" i="7"/>
  <c r="D284" i="7"/>
  <c r="R283" i="7"/>
  <c r="D283" i="7"/>
  <c r="R282" i="7"/>
  <c r="D282" i="7"/>
  <c r="R281" i="7"/>
  <c r="D281" i="7"/>
  <c r="R280" i="7"/>
  <c r="D280" i="7"/>
  <c r="R279" i="7"/>
  <c r="D279" i="7"/>
  <c r="R278" i="7"/>
  <c r="D278" i="7"/>
  <c r="R277" i="7"/>
  <c r="D277" i="7"/>
  <c r="R276" i="7"/>
  <c r="D276" i="7"/>
  <c r="R275" i="7"/>
  <c r="D275" i="7"/>
  <c r="R274" i="7"/>
  <c r="D274" i="7"/>
  <c r="R273" i="7"/>
  <c r="D273" i="7"/>
  <c r="R272" i="7"/>
  <c r="D272" i="7"/>
  <c r="R271" i="7"/>
  <c r="D271" i="7"/>
  <c r="R270" i="7"/>
  <c r="D270" i="7"/>
  <c r="R269" i="7"/>
  <c r="D269" i="7"/>
  <c r="R268" i="7"/>
  <c r="D268" i="7"/>
  <c r="R267" i="7"/>
  <c r="D267" i="7"/>
  <c r="R266" i="7"/>
  <c r="D266" i="7"/>
  <c r="R265" i="7"/>
  <c r="D265" i="7"/>
  <c r="R264" i="7"/>
  <c r="D264" i="7"/>
  <c r="R263" i="7"/>
  <c r="D263" i="7"/>
  <c r="R262" i="7"/>
  <c r="D262" i="7"/>
  <c r="R261" i="7"/>
  <c r="D261" i="7"/>
  <c r="R260" i="7"/>
  <c r="D260" i="7"/>
  <c r="R259" i="7"/>
  <c r="D259" i="7"/>
  <c r="R258" i="7"/>
  <c r="D258" i="7"/>
  <c r="R257" i="7"/>
  <c r="D257" i="7"/>
  <c r="R256" i="7"/>
  <c r="D256" i="7"/>
  <c r="R255" i="7"/>
  <c r="D255" i="7"/>
  <c r="R254" i="7"/>
  <c r="D254" i="7"/>
  <c r="R253" i="7"/>
  <c r="D253" i="7"/>
  <c r="R252" i="7"/>
  <c r="D252" i="7"/>
  <c r="R251" i="7"/>
  <c r="D251" i="7"/>
  <c r="R250" i="7"/>
  <c r="D250" i="7"/>
  <c r="R249" i="7"/>
  <c r="D249" i="7"/>
  <c r="R248" i="7"/>
  <c r="D248" i="7"/>
  <c r="R247" i="7"/>
  <c r="D247" i="7"/>
  <c r="R246" i="7"/>
  <c r="D246" i="7"/>
  <c r="R245" i="7"/>
  <c r="D245" i="7"/>
  <c r="R244" i="7"/>
  <c r="D244" i="7"/>
  <c r="R243" i="7"/>
  <c r="D243" i="7"/>
  <c r="R242" i="7"/>
  <c r="D242" i="7"/>
  <c r="R241" i="7"/>
  <c r="D241" i="7"/>
  <c r="R240" i="7"/>
  <c r="D240" i="7"/>
  <c r="R239" i="7"/>
  <c r="D239" i="7"/>
  <c r="R238" i="7"/>
  <c r="D238" i="7"/>
  <c r="R237" i="7"/>
  <c r="D237" i="7"/>
  <c r="R236" i="7"/>
  <c r="D236" i="7"/>
  <c r="R235" i="7"/>
  <c r="D235" i="7"/>
  <c r="R234" i="7"/>
  <c r="D234" i="7"/>
  <c r="R233" i="7"/>
  <c r="D233" i="7"/>
  <c r="R232" i="7"/>
  <c r="D232" i="7"/>
  <c r="R231" i="7"/>
  <c r="D231" i="7"/>
  <c r="R230" i="7"/>
  <c r="D230" i="7"/>
  <c r="R229" i="7"/>
  <c r="D229" i="7"/>
  <c r="R228" i="7"/>
  <c r="D228" i="7"/>
  <c r="R227" i="7"/>
  <c r="D227" i="7"/>
  <c r="R226" i="7"/>
  <c r="D226" i="7"/>
  <c r="R225" i="7"/>
  <c r="D225" i="7"/>
  <c r="R224" i="7"/>
  <c r="D224" i="7"/>
  <c r="R223" i="7"/>
  <c r="D223" i="7"/>
  <c r="R222" i="7"/>
  <c r="D222" i="7"/>
  <c r="R221" i="7"/>
  <c r="D221" i="7"/>
  <c r="R220" i="7"/>
  <c r="D220" i="7"/>
  <c r="R219" i="7"/>
  <c r="D219" i="7"/>
  <c r="R218" i="7"/>
  <c r="D218" i="7"/>
  <c r="R217" i="7"/>
  <c r="D217" i="7"/>
  <c r="R216" i="7"/>
  <c r="D216" i="7"/>
  <c r="R215" i="7"/>
  <c r="D215" i="7"/>
  <c r="R214" i="7"/>
  <c r="D214" i="7"/>
  <c r="R213" i="7"/>
  <c r="D213" i="7"/>
  <c r="R212" i="7"/>
  <c r="D212" i="7"/>
  <c r="R211" i="7"/>
  <c r="D211" i="7"/>
  <c r="R210" i="7"/>
  <c r="D210" i="7"/>
  <c r="R209" i="7"/>
  <c r="D209" i="7"/>
  <c r="R208" i="7"/>
  <c r="D208" i="7"/>
  <c r="R207" i="7"/>
  <c r="D207" i="7"/>
  <c r="R206" i="7"/>
  <c r="D206" i="7"/>
  <c r="R205" i="7"/>
  <c r="D205" i="7"/>
  <c r="R204" i="7"/>
  <c r="D204" i="7"/>
  <c r="R203" i="7"/>
  <c r="D203" i="7"/>
  <c r="R202" i="7"/>
  <c r="D202" i="7"/>
  <c r="R201" i="7"/>
  <c r="D201" i="7"/>
  <c r="R200" i="7"/>
  <c r="D200" i="7"/>
  <c r="R199" i="7"/>
  <c r="D199" i="7"/>
  <c r="R198" i="7"/>
  <c r="D198" i="7"/>
  <c r="R197" i="7"/>
  <c r="D197" i="7"/>
  <c r="R196" i="7"/>
  <c r="D196" i="7"/>
  <c r="R195" i="7"/>
  <c r="D195" i="7"/>
  <c r="R194" i="7"/>
  <c r="D194" i="7"/>
  <c r="R193" i="7"/>
  <c r="D193" i="7"/>
  <c r="R192" i="7"/>
  <c r="D192" i="7"/>
  <c r="R191" i="7"/>
  <c r="D191" i="7"/>
  <c r="R190" i="7"/>
  <c r="D190" i="7"/>
  <c r="R189" i="7"/>
  <c r="D189" i="7"/>
  <c r="R188" i="7"/>
  <c r="D188" i="7"/>
  <c r="R187" i="7"/>
  <c r="D187" i="7"/>
  <c r="R186" i="7"/>
  <c r="D186" i="7"/>
  <c r="R185" i="7"/>
  <c r="D185" i="7"/>
  <c r="R184" i="7"/>
  <c r="D184" i="7"/>
  <c r="R183" i="7"/>
  <c r="D183" i="7"/>
  <c r="R182" i="7"/>
  <c r="D182" i="7"/>
  <c r="R181" i="7"/>
  <c r="D181" i="7"/>
  <c r="R180" i="7"/>
  <c r="D180" i="7"/>
  <c r="R179" i="7"/>
  <c r="D179" i="7"/>
  <c r="R178" i="7"/>
  <c r="D178" i="7"/>
  <c r="R177" i="7"/>
  <c r="D177" i="7"/>
  <c r="R176" i="7"/>
  <c r="D176" i="7"/>
  <c r="R175" i="7"/>
  <c r="D175" i="7"/>
  <c r="R174" i="7"/>
  <c r="D174" i="7"/>
  <c r="R173" i="7"/>
  <c r="D173" i="7"/>
  <c r="R172" i="7"/>
  <c r="D172" i="7"/>
  <c r="R171" i="7"/>
  <c r="D171" i="7"/>
  <c r="R170" i="7"/>
  <c r="D170" i="7"/>
  <c r="R169" i="7"/>
  <c r="D169" i="7"/>
  <c r="R168" i="7"/>
  <c r="D168" i="7"/>
  <c r="R167" i="7"/>
  <c r="D167" i="7"/>
  <c r="R166" i="7"/>
  <c r="D166" i="7"/>
  <c r="R165" i="7"/>
  <c r="D165" i="7"/>
  <c r="R164" i="7"/>
  <c r="D164" i="7"/>
  <c r="R163" i="7"/>
  <c r="D163" i="7"/>
  <c r="R162" i="7"/>
  <c r="D162" i="7"/>
  <c r="R161" i="7"/>
  <c r="D161" i="7"/>
  <c r="R160" i="7"/>
  <c r="D160" i="7"/>
  <c r="R159" i="7"/>
  <c r="D159" i="7"/>
  <c r="R158" i="7"/>
  <c r="D158" i="7"/>
  <c r="R157" i="7"/>
  <c r="D157" i="7"/>
  <c r="R156" i="7"/>
  <c r="D156" i="7"/>
  <c r="R155" i="7"/>
  <c r="D155" i="7"/>
  <c r="R154" i="7"/>
  <c r="D154" i="7"/>
  <c r="R153" i="7"/>
  <c r="D153" i="7"/>
  <c r="R152" i="7"/>
  <c r="D152" i="7"/>
  <c r="R151" i="7"/>
  <c r="D151" i="7"/>
  <c r="R150" i="7"/>
  <c r="D150" i="7"/>
  <c r="R149" i="7"/>
  <c r="D149" i="7"/>
  <c r="R148" i="7"/>
  <c r="D148" i="7"/>
  <c r="R147" i="7"/>
  <c r="D147" i="7"/>
  <c r="R146" i="7"/>
  <c r="D146" i="7"/>
  <c r="R145" i="7"/>
  <c r="D145" i="7"/>
  <c r="R144" i="7"/>
  <c r="D144" i="7"/>
  <c r="R143" i="7"/>
  <c r="D143" i="7"/>
  <c r="R142" i="7"/>
  <c r="D142" i="7"/>
  <c r="R141" i="7"/>
  <c r="D141" i="7"/>
  <c r="R140" i="7"/>
  <c r="D140" i="7"/>
  <c r="R139" i="7"/>
  <c r="D139" i="7"/>
  <c r="R138" i="7"/>
  <c r="D138" i="7"/>
  <c r="R137" i="7"/>
  <c r="D137" i="7"/>
  <c r="R136" i="7"/>
  <c r="D136" i="7"/>
  <c r="R135" i="7"/>
  <c r="D135" i="7"/>
  <c r="R134" i="7"/>
  <c r="D134" i="7"/>
  <c r="R133" i="7"/>
  <c r="D133" i="7"/>
  <c r="R132" i="7"/>
  <c r="D132" i="7"/>
  <c r="R131" i="7"/>
  <c r="D131" i="7"/>
  <c r="R130" i="7"/>
  <c r="D130" i="7"/>
  <c r="R129" i="7"/>
  <c r="D129" i="7"/>
  <c r="R128" i="7"/>
  <c r="D128" i="7"/>
  <c r="R127" i="7"/>
  <c r="D127" i="7"/>
  <c r="R126" i="7"/>
  <c r="D126" i="7"/>
  <c r="R125" i="7"/>
  <c r="D125" i="7"/>
  <c r="R124" i="7"/>
  <c r="D124" i="7"/>
  <c r="R123" i="7"/>
  <c r="D123" i="7"/>
  <c r="R122" i="7"/>
  <c r="D122" i="7"/>
  <c r="R121" i="7"/>
  <c r="D121" i="7"/>
  <c r="R120" i="7"/>
  <c r="D120" i="7"/>
  <c r="R119" i="7"/>
  <c r="D119" i="7"/>
  <c r="R118" i="7"/>
  <c r="D118" i="7"/>
  <c r="R117" i="7"/>
  <c r="D117" i="7"/>
  <c r="R116" i="7"/>
  <c r="D116" i="7"/>
  <c r="R115" i="7"/>
  <c r="D115" i="7"/>
  <c r="R114" i="7"/>
  <c r="D114" i="7"/>
  <c r="R113" i="7"/>
  <c r="D113" i="7"/>
  <c r="R112" i="7"/>
  <c r="D112" i="7"/>
  <c r="R111" i="7"/>
  <c r="D111" i="7"/>
  <c r="R110" i="7"/>
  <c r="D110" i="7"/>
  <c r="R109" i="7"/>
  <c r="D109" i="7"/>
  <c r="R108" i="7"/>
  <c r="D108" i="7"/>
  <c r="R107" i="7"/>
  <c r="D107" i="7"/>
  <c r="R106" i="7"/>
  <c r="D106" i="7"/>
  <c r="R105" i="7"/>
  <c r="D105" i="7"/>
  <c r="R104" i="7"/>
  <c r="D104" i="7"/>
  <c r="R103" i="7"/>
  <c r="D103" i="7"/>
  <c r="R102" i="7"/>
  <c r="D102" i="7"/>
  <c r="R101" i="7"/>
  <c r="D101" i="7"/>
  <c r="R100" i="7"/>
  <c r="D100" i="7"/>
  <c r="R99" i="7"/>
  <c r="D99" i="7"/>
  <c r="R98" i="7"/>
  <c r="D98" i="7"/>
  <c r="R97" i="7"/>
  <c r="D97" i="7"/>
  <c r="R96" i="7"/>
  <c r="D96" i="7"/>
  <c r="R95" i="7"/>
  <c r="D95" i="7"/>
  <c r="R94" i="7"/>
  <c r="D94" i="7"/>
  <c r="R93" i="7"/>
  <c r="D93" i="7"/>
  <c r="R92" i="7"/>
  <c r="D92" i="7"/>
  <c r="R91" i="7"/>
  <c r="D91" i="7"/>
  <c r="R90" i="7"/>
  <c r="D90" i="7"/>
  <c r="R89" i="7"/>
  <c r="D89" i="7"/>
  <c r="R88" i="7"/>
  <c r="D88" i="7"/>
  <c r="R87" i="7"/>
  <c r="D87" i="7"/>
  <c r="R86" i="7"/>
  <c r="D86" i="7"/>
  <c r="R85" i="7"/>
  <c r="D85" i="7"/>
  <c r="R84" i="7"/>
  <c r="D84" i="7"/>
  <c r="R83" i="7"/>
  <c r="D83" i="7"/>
  <c r="R82" i="7"/>
  <c r="D82" i="7"/>
  <c r="R81" i="7"/>
  <c r="D81" i="7"/>
  <c r="R80" i="7"/>
  <c r="D80" i="7"/>
  <c r="R79" i="7"/>
  <c r="D79" i="7"/>
  <c r="R78" i="7"/>
  <c r="D78" i="7"/>
  <c r="R77" i="7"/>
  <c r="D77" i="7"/>
  <c r="R76" i="7"/>
  <c r="D76" i="7"/>
  <c r="R75" i="7"/>
  <c r="D75" i="7"/>
  <c r="R74" i="7"/>
  <c r="D74" i="7"/>
  <c r="R73" i="7"/>
  <c r="D73" i="7"/>
  <c r="R72" i="7"/>
  <c r="D72" i="7"/>
  <c r="R71" i="7"/>
  <c r="D71" i="7"/>
  <c r="R70" i="7"/>
  <c r="D70" i="7"/>
  <c r="R69" i="7"/>
  <c r="D69" i="7"/>
  <c r="R68" i="7"/>
  <c r="D68" i="7"/>
  <c r="R67" i="7"/>
  <c r="D67" i="7"/>
  <c r="R66" i="7"/>
  <c r="D66" i="7"/>
  <c r="R65" i="7"/>
  <c r="D65" i="7"/>
  <c r="R64" i="7"/>
  <c r="D64" i="7"/>
  <c r="R63" i="7"/>
  <c r="D63" i="7"/>
  <c r="R62" i="7"/>
  <c r="D62" i="7"/>
  <c r="R61" i="7"/>
  <c r="D61" i="7"/>
  <c r="R60" i="7"/>
  <c r="D60" i="7"/>
  <c r="R59" i="7"/>
  <c r="D59" i="7"/>
  <c r="R58" i="7"/>
  <c r="D58" i="7"/>
  <c r="R57" i="7"/>
  <c r="D57" i="7"/>
  <c r="R56" i="7"/>
  <c r="D56" i="7"/>
  <c r="R55" i="7"/>
  <c r="D55" i="7"/>
  <c r="R54" i="7"/>
  <c r="D54" i="7"/>
  <c r="R53" i="7"/>
  <c r="D53" i="7"/>
  <c r="R52" i="7"/>
  <c r="D52" i="7"/>
  <c r="R51" i="7"/>
  <c r="D51" i="7"/>
  <c r="R50" i="7"/>
  <c r="D50" i="7"/>
  <c r="R49" i="7"/>
  <c r="D49" i="7"/>
  <c r="R48" i="7"/>
  <c r="D48" i="7"/>
  <c r="R47" i="7"/>
  <c r="D47" i="7"/>
  <c r="R46" i="7"/>
  <c r="D46" i="7"/>
  <c r="R45" i="7"/>
  <c r="D45" i="7"/>
  <c r="R44" i="7"/>
  <c r="D44" i="7"/>
  <c r="R43" i="7"/>
  <c r="D43" i="7"/>
  <c r="R42" i="7"/>
  <c r="D42" i="7"/>
  <c r="R41" i="7"/>
  <c r="D41" i="7"/>
  <c r="R40" i="7"/>
  <c r="D40" i="7"/>
  <c r="R39" i="7"/>
  <c r="D39" i="7"/>
  <c r="R38" i="7"/>
  <c r="D38" i="7"/>
  <c r="R37" i="7"/>
  <c r="D37" i="7"/>
  <c r="R36" i="7"/>
  <c r="D36" i="7"/>
  <c r="R35" i="7"/>
  <c r="D35" i="7"/>
  <c r="R34" i="7"/>
  <c r="D34" i="7"/>
  <c r="R33" i="7"/>
  <c r="D33" i="7"/>
  <c r="R32" i="7"/>
  <c r="D32" i="7"/>
  <c r="R31" i="7"/>
  <c r="D31" i="7"/>
  <c r="R30" i="7"/>
  <c r="D30" i="7"/>
  <c r="R29" i="7"/>
  <c r="D29" i="7"/>
  <c r="R28" i="7"/>
  <c r="D28" i="7"/>
  <c r="R27" i="7"/>
  <c r="D27" i="7"/>
  <c r="R26" i="7"/>
  <c r="D26" i="7"/>
  <c r="R25" i="7"/>
  <c r="D25" i="7"/>
  <c r="R24" i="7"/>
  <c r="D24" i="7"/>
  <c r="R23" i="7"/>
  <c r="D23" i="7"/>
  <c r="R22" i="7"/>
  <c r="D22" i="7"/>
  <c r="R21" i="7"/>
  <c r="D21" i="7"/>
  <c r="R20" i="7"/>
  <c r="D20" i="7"/>
  <c r="R19" i="7"/>
  <c r="D19" i="7"/>
  <c r="R18" i="7"/>
  <c r="D18" i="7"/>
  <c r="R17" i="7"/>
  <c r="D17" i="7"/>
  <c r="R16" i="7"/>
  <c r="D16" i="7"/>
  <c r="R15" i="7"/>
  <c r="D15" i="7"/>
  <c r="R14" i="7"/>
  <c r="D14" i="7"/>
  <c r="R13" i="7"/>
  <c r="D13" i="7"/>
  <c r="R12" i="7"/>
  <c r="D12" i="7"/>
  <c r="R11" i="7"/>
  <c r="D11" i="7"/>
  <c r="R10" i="7"/>
  <c r="D10" i="7"/>
  <c r="R9" i="7"/>
  <c r="D9" i="7"/>
  <c r="R8" i="7"/>
  <c r="D8" i="7"/>
  <c r="R7" i="7"/>
  <c r="D7" i="7"/>
  <c r="R6" i="7"/>
  <c r="D6" i="7"/>
  <c r="R5" i="7"/>
  <c r="D5" i="7"/>
  <c r="R4" i="7"/>
  <c r="D4" i="7"/>
  <c r="D45" i="8" l="1"/>
</calcChain>
</file>

<file path=xl/sharedStrings.xml><?xml version="1.0" encoding="utf-8"?>
<sst xmlns="http://schemas.openxmlformats.org/spreadsheetml/2006/main" count="173" uniqueCount="73">
  <si>
    <t>Individuals</t>
  </si>
  <si>
    <t>Mandatory Svgs</t>
  </si>
  <si>
    <t>ID_MNTH</t>
  </si>
  <si>
    <t>CUST_BASE</t>
  </si>
  <si>
    <t>TXN_VAL</t>
  </si>
  <si>
    <t>TXN_VOL</t>
  </si>
  <si>
    <t>CUST_COUNT</t>
  </si>
  <si>
    <t>AV_TICKET_SIZE</t>
  </si>
  <si>
    <t>DUE</t>
  </si>
  <si>
    <t>OUTSTANDING</t>
  </si>
  <si>
    <t>LOAN TENURE</t>
  </si>
  <si>
    <t xml:space="preserve">DISBURSEMENT </t>
  </si>
  <si>
    <t xml:space="preserve">REPAYMENTS </t>
  </si>
  <si>
    <t>INTEREST &amp; PENALTY</t>
  </si>
  <si>
    <t>DT_INTN_DATE</t>
  </si>
  <si>
    <t>TENURE</t>
  </si>
  <si>
    <t>VOLUME</t>
  </si>
  <si>
    <t>VALUE</t>
  </si>
  <si>
    <t>SUB_COUNT</t>
  </si>
  <si>
    <t>ACCRUED</t>
  </si>
  <si>
    <t>PAID</t>
  </si>
  <si>
    <t>OUTSTANDING LOANS</t>
  </si>
  <si>
    <t>Optins</t>
  </si>
  <si>
    <t># Cust</t>
  </si>
  <si>
    <t>REPAYMENT AT DAY LOAN DISBURSED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</si>
  <si>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</si>
  <si>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</si>
  <si>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</si>
  <si>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</si>
  <si>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</si>
  <si>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</si>
  <si>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</si>
  <si>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</si>
  <si>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</si>
  <si>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</si>
  <si>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</si>
  <si>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</si>
  <si>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</si>
  <si>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</si>
  <si>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</si>
  <si>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</si>
  <si>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</si>
  <si>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</si>
  <si>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</si>
  <si>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</si>
  <si>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</si>
  <si>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</si>
  <si>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</si>
  <si>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</si>
  <si>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</si>
  <si>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</si>
  <si>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</si>
  <si>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</si>
  <si>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</si>
  <si>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</si>
  <si>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</si>
  <si>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</si>
  <si>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Oct-2025</t>
  </si>
  <si>
    <t>Nov-2025</t>
  </si>
  <si>
    <t>Dec-2025</t>
  </si>
  <si>
    <t>Jan-2026</t>
  </si>
  <si>
    <t xml:space="preserve">OPT-Ins </t>
  </si>
  <si>
    <t xml:space="preserve">Mandatory Svgs </t>
  </si>
  <si>
    <t xml:space="preserve">DISBURSEMENTS </t>
  </si>
  <si>
    <t xml:space="preserve">REPAYMENTS  </t>
  </si>
  <si>
    <t xml:space="preserve">PERFORMANCE </t>
  </si>
  <si>
    <t>Sept-2023</t>
  </si>
  <si>
    <t>Sept-2024</t>
  </si>
  <si>
    <t>Sept-2025</t>
  </si>
  <si>
    <t>Feb-2026</t>
  </si>
  <si>
    <t>OVERDUE</t>
  </si>
  <si>
    <t>TOTAL</t>
  </si>
  <si>
    <t>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</si>
</sst>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ierstadt"/>
      <family val="2"/>
    </font>
    <font>
      <sz val="10"/>
      <color theme="1"/>
      <name val="Bierstadt"/>
      <family val="2"/>
    </font>
    <font>
      <b/>
      <sz val="10"/>
      <color theme="1"/>
      <name val="Bierstadt"/>
      <family val="2"/>
    </font>
    <font>
      <sz val="10"/>
      <color rgb="FF000000"/>
      <name val="Bierstadt"/>
      <family val="2"/>
    </font>
    <font>
      <b/>
      <sz val="10"/>
      <color rgb="FF000000"/>
      <name val="Bierstadt"/>
      <family val="2"/>
    </font>
    <font>
      <sz val="10"/>
      <color theme="1"/>
      <name val="Aptos Narrow"/>
      <family val="2"/>
      <scheme val="minor"/>
    </font>
    <font>
      <sz val="10"/>
      <color rgb="FFFF0000"/>
      <name val="Bierstadt"/>
      <family val="2"/>
    </font>
    <font>
      <sz val="10.5"/>
      <color theme="1"/>
      <name val="Bierstadt"/>
      <family val="2"/>
    </font>
    <font>
      <sz val="8"/>
      <name val="Aptos Narrow"/>
      <family val="2"/>
      <scheme val="minor"/>
    </font>
    <font>
      <sz val="10"/>
      <color theme="0"/>
      <name val="Bierstadt"/>
      <family val="2"/>
    </font>
    <font>
      <b/>
      <sz val="10"/>
      <color theme="0"/>
      <name val="Bierstadt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Bierstad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" fontId="6" fillId="3" borderId="7" xfId="0" applyNumberFormat="1" applyFont="1" applyFill="1" applyBorder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4" fontId="6" fillId="3" borderId="8" xfId="0" applyNumberFormat="1" applyFont="1" applyFill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/>
    <xf numFmtId="0" fontId="6" fillId="0" borderId="9" xfId="0" applyFont="1" applyBorder="1" applyAlignment="1">
      <alignment horizontal="left" vertical="center"/>
    </xf>
    <xf numFmtId="3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165" fontId="3" fillId="0" borderId="0" xfId="1" applyNumberFormat="1" applyFont="1"/>
    <xf numFmtId="165" fontId="8" fillId="0" borderId="0" xfId="1" applyNumberFormat="1" applyFont="1"/>
    <xf numFmtId="0" fontId="8" fillId="0" borderId="0" xfId="0" applyFont="1"/>
    <xf numFmtId="0" fontId="7" fillId="0" borderId="8" xfId="0" applyFont="1" applyBorder="1"/>
    <xf numFmtId="0" fontId="7" fillId="0" borderId="8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65" fontId="3" fillId="3" borderId="12" xfId="1" applyNumberFormat="1" applyFont="1" applyFill="1" applyBorder="1" applyAlignment="1">
      <alignment horizontal="center" vertical="center"/>
    </xf>
    <xf numFmtId="165" fontId="3" fillId="3" borderId="10" xfId="1" applyNumberFormat="1" applyFont="1" applyFill="1" applyBorder="1" applyAlignment="1">
      <alignment horizontal="center" vertical="center"/>
    </xf>
    <xf numFmtId="165" fontId="3" fillId="3" borderId="11" xfId="1" applyNumberFormat="1" applyFont="1" applyFill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3" fontId="3" fillId="3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5" fontId="9" fillId="4" borderId="9" xfId="1" applyNumberFormat="1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14" fontId="7" fillId="0" borderId="0" xfId="0" applyNumberFormat="1" applyFont="1"/>
    <xf numFmtId="1" fontId="3" fillId="0" borderId="8" xfId="0" applyNumberFormat="1" applyFont="1" applyBorder="1" applyAlignment="1">
      <alignment horizontal="center" vertical="center"/>
    </xf>
    <xf numFmtId="17" fontId="3" fillId="0" borderId="1" xfId="0" applyNumberFormat="1" applyFont="1" applyBorder="1"/>
    <xf numFmtId="17" fontId="3" fillId="0" borderId="0" xfId="0" applyNumberFormat="1" applyFont="1"/>
    <xf numFmtId="17" fontId="3" fillId="3" borderId="1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3" fillId="0" borderId="2" xfId="1" applyFont="1" applyBorder="1"/>
    <xf numFmtId="164" fontId="3" fillId="0" borderId="0" xfId="1" applyFont="1" applyBorder="1"/>
    <xf numFmtId="164" fontId="3" fillId="0" borderId="0" xfId="1" applyFont="1"/>
    <xf numFmtId="164" fontId="8" fillId="0" borderId="0" xfId="1" applyFont="1"/>
    <xf numFmtId="14" fontId="0" fillId="0" borderId="0" xfId="0" applyNumberFormat="1"/>
    <xf numFmtId="165" fontId="5" fillId="0" borderId="2" xfId="1" applyNumberFormat="1" applyFont="1" applyBorder="1" applyAlignment="1">
      <alignment horizontal="center"/>
    </xf>
    <xf numFmtId="165" fontId="5" fillId="0" borderId="7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6" fillId="0" borderId="9" xfId="1" applyNumberFormat="1" applyFont="1" applyFill="1" applyBorder="1" applyAlignment="1">
      <alignment horizontal="center"/>
    </xf>
    <xf numFmtId="165" fontId="6" fillId="0" borderId="10" xfId="1" applyNumberFormat="1" applyFont="1" applyBorder="1" applyAlignment="1">
      <alignment horizontal="center"/>
    </xf>
    <xf numFmtId="165" fontId="4" fillId="0" borderId="10" xfId="1" applyNumberFormat="1" applyFont="1" applyBorder="1" applyAlignment="1">
      <alignment horizontal="center"/>
    </xf>
    <xf numFmtId="165" fontId="6" fillId="0" borderId="11" xfId="1" applyNumberFormat="1" applyFont="1" applyBorder="1" applyAlignment="1">
      <alignment horizontal="center"/>
    </xf>
    <xf numFmtId="165" fontId="5" fillId="0" borderId="12" xfId="1" applyNumberFormat="1" applyFont="1" applyBorder="1" applyAlignment="1">
      <alignment horizontal="center"/>
    </xf>
    <xf numFmtId="165" fontId="5" fillId="0" borderId="11" xfId="1" applyNumberFormat="1" applyFont="1" applyBorder="1" applyAlignment="1">
      <alignment horizontal="center"/>
    </xf>
    <xf numFmtId="0" fontId="4" fillId="0" borderId="0" xfId="0" applyFont="1"/>
    <xf numFmtId="165" fontId="6" fillId="0" borderId="12" xfId="1" applyNumberFormat="1" applyFont="1" applyBorder="1" applyAlignment="1">
      <alignment horizontal="center"/>
    </xf>
    <xf numFmtId="0" fontId="4" fillId="0" borderId="8" xfId="0" applyFont="1" applyBorder="1"/>
    <xf numFmtId="165" fontId="3" fillId="0" borderId="8" xfId="1" applyNumberFormat="1" applyFont="1" applyBorder="1" applyAlignment="1">
      <alignment horizontal="center" vertical="center"/>
    </xf>
    <xf numFmtId="165" fontId="3" fillId="0" borderId="0" xfId="1" applyNumberFormat="1" applyFont="1" applyBorder="1"/>
    <xf numFmtId="165" fontId="3" fillId="0" borderId="8" xfId="1" applyNumberFormat="1" applyFont="1" applyBorder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/>
    </xf>
    <xf numFmtId="0" fontId="11" fillId="0" borderId="0" xfId="0" applyFont="1"/>
    <xf numFmtId="4" fontId="11" fillId="0" borderId="0" xfId="0" applyNumberFormat="1" applyFont="1" applyAlignment="1">
      <alignment horizontal="center" vertical="center"/>
    </xf>
    <xf numFmtId="4" fontId="11" fillId="0" borderId="7" xfId="0" applyNumberFormat="1" applyFont="1" applyBorder="1" applyAlignment="1">
      <alignment horizontal="center" vertical="center"/>
    </xf>
    <xf numFmtId="0" fontId="12" fillId="0" borderId="0" xfId="0" applyFont="1"/>
    <xf numFmtId="164" fontId="4" fillId="0" borderId="0" xfId="1" applyFont="1" applyAlignment="1">
      <alignment horizontal="center" vertical="center"/>
    </xf>
    <xf numFmtId="0" fontId="14" fillId="0" borderId="8" xfId="0" applyFont="1" applyBorder="1"/>
    <xf numFmtId="17" fontId="4" fillId="0" borderId="0" xfId="0" applyNumberFormat="1" applyFont="1"/>
    <xf numFmtId="14" fontId="13" fillId="0" borderId="0" xfId="0" applyNumberFormat="1" applyFont="1"/>
    <xf numFmtId="1" fontId="4" fillId="0" borderId="8" xfId="0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5" fontId="4" fillId="0" borderId="8" xfId="1" applyNumberFormat="1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5" fontId="4" fillId="0" borderId="8" xfId="1" applyNumberFormat="1" applyFont="1" applyBorder="1" applyAlignment="1">
      <alignment vertical="center"/>
    </xf>
    <xf numFmtId="165" fontId="4" fillId="0" borderId="0" xfId="1" applyNumberFormat="1" applyFont="1" applyBorder="1"/>
    <xf numFmtId="164" fontId="4" fillId="0" borderId="2" xfId="1" applyFont="1" applyBorder="1"/>
    <xf numFmtId="0" fontId="14" fillId="0" borderId="0" xfId="0" applyFont="1"/>
    <xf numFmtId="164" fontId="4" fillId="0" borderId="0" xfId="1" applyFont="1" applyBorder="1"/>
    <xf numFmtId="0" fontId="4" fillId="0" borderId="0" xfId="0" applyFont="1" applyAlignment="1">
      <alignment horizontal="center" vertical="center"/>
    </xf>
    <xf numFmtId="164" fontId="4" fillId="0" borderId="0" xfId="1" applyFont="1"/>
    <xf numFmtId="165" fontId="4" fillId="0" borderId="0" xfId="1" applyNumberFormat="1" applyFont="1"/>
    <xf numFmtId="164" fontId="15" fillId="0" borderId="0" xfId="1" applyFont="1"/>
    <xf numFmtId="165" fontId="7" fillId="0" borderId="0" xfId="0" applyNumberFormat="1" applyFont="1"/>
    <xf numFmtId="165" fontId="5" fillId="5" borderId="0" xfId="1" applyNumberFormat="1" applyFont="1" applyFill="1" applyAlignment="1">
      <alignment horizontal="center"/>
    </xf>
    <xf numFmtId="165" fontId="3" fillId="4" borderId="12" xfId="1" applyNumberFormat="1" applyFont="1" applyFill="1" applyBorder="1" applyAlignment="1">
      <alignment horizontal="center"/>
    </xf>
    <xf numFmtId="165" fontId="3" fillId="4" borderId="10" xfId="1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5" fontId="2" fillId="4" borderId="10" xfId="1" applyNumberFormat="1" applyFont="1" applyFill="1" applyBorder="1" applyAlignment="1">
      <alignment horizontal="center"/>
    </xf>
    <xf numFmtId="165" fontId="2" fillId="4" borderId="11" xfId="1" applyNumberFormat="1" applyFont="1" applyFill="1" applyBorder="1" applyAlignment="1">
      <alignment horizontal="center"/>
    </xf>
    <xf numFmtId="165" fontId="3" fillId="4" borderId="4" xfId="1" applyNumberFormat="1" applyFont="1" applyFill="1" applyBorder="1" applyAlignment="1">
      <alignment horizontal="center" wrapText="1"/>
    </xf>
    <xf numFmtId="165" fontId="7" fillId="4" borderId="6" xfId="1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165" fontId="3" fillId="4" borderId="11" xfId="1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 wrapText="1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EA7F-72A5-4364-B11D-48D01C35C296}">
  <sheetPr>
    <tabColor rgb="FF00B050"/>
  </sheetPr>
  <dimension ref="A2:O49"/>
  <sheetViews>
    <sheetView tabSelected="1" workbookViewId="0">
      <pane xSplit="2" ySplit="4" topLeftCell="C20" activePane="bottomRight" state="frozen"/>
      <selection activeCell="G45" sqref="G45"/>
      <selection pane="topRight" activeCell="G45" sqref="G45"/>
      <selection pane="bottomLeft" activeCell="G45" sqref="G45"/>
      <selection pane="bottomRight" activeCell="G45" sqref="G45"/>
    </sheetView>
  </sheetViews>
  <sheetFormatPr defaultColWidth="8.7109375" defaultRowHeight="12.75" x14ac:dyDescent="0.2"/>
  <cols>
    <col min="1" max="1" width="8.7109375" style="1"/>
    <col min="2" max="2" width="11" style="1" bestFit="1" customWidth="1"/>
    <col min="3" max="3" width="13.140625" style="4" bestFit="1" customWidth="1"/>
    <col min="4" max="4" width="19.42578125" style="4" bestFit="1" customWidth="1"/>
    <col min="5" max="5" width="11.5703125" style="4" bestFit="1" customWidth="1"/>
    <col min="6" max="6" width="14.28515625" style="4" bestFit="1" customWidth="1"/>
    <col min="7" max="7" width="13.140625" style="4" bestFit="1" customWidth="1"/>
    <col min="8" max="8" width="15.85546875" style="4" customWidth="1"/>
    <col min="9" max="9" width="10.5703125" style="4" bestFit="1" customWidth="1"/>
    <col min="10" max="10" width="14.28515625" style="4" bestFit="1" customWidth="1"/>
    <col min="11" max="11" width="13.140625" style="4" bestFit="1" customWidth="1"/>
    <col min="12" max="13" width="14.28515625" style="4" bestFit="1" customWidth="1"/>
    <col min="14" max="14" width="13.85546875" style="79" bestFit="1" customWidth="1"/>
    <col min="15" max="15" width="12" style="79" bestFit="1" customWidth="1"/>
    <col min="16" max="16384" width="8.7109375" style="1"/>
  </cols>
  <sheetData>
    <row r="2" spans="1:15" ht="13.5" thickBot="1" x14ac:dyDescent="0.25">
      <c r="B2" s="2" t="s">
        <v>0</v>
      </c>
      <c r="C2" s="3"/>
      <c r="L2" s="5"/>
      <c r="M2" s="5"/>
    </row>
    <row r="3" spans="1:15" x14ac:dyDescent="0.2">
      <c r="B3" s="6"/>
      <c r="C3" s="7" t="s">
        <v>61</v>
      </c>
      <c r="D3" s="8" t="s">
        <v>62</v>
      </c>
      <c r="E3" s="116" t="s">
        <v>63</v>
      </c>
      <c r="F3" s="117"/>
      <c r="G3" s="117"/>
      <c r="H3" s="118"/>
      <c r="I3" s="119" t="s">
        <v>64</v>
      </c>
      <c r="J3" s="120"/>
      <c r="K3" s="120"/>
      <c r="L3" s="119" t="s">
        <v>65</v>
      </c>
      <c r="M3" s="121"/>
    </row>
    <row r="4" spans="1:1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4</v>
      </c>
      <c r="G4" s="12" t="s">
        <v>6</v>
      </c>
      <c r="H4" s="13" t="s">
        <v>7</v>
      </c>
      <c r="I4" s="14" t="s">
        <v>5</v>
      </c>
      <c r="J4" s="15" t="s">
        <v>4</v>
      </c>
      <c r="K4" s="16" t="s">
        <v>6</v>
      </c>
      <c r="L4" s="14" t="s">
        <v>8</v>
      </c>
      <c r="M4" s="16" t="s">
        <v>9</v>
      </c>
    </row>
    <row r="5" spans="1:15" x14ac:dyDescent="0.2">
      <c r="B5" s="47" t="s">
        <v>25</v>
      </c>
      <c r="C5" s="58">
        <v>153848</v>
      </c>
      <c r="D5" s="59">
        <f t="shared" ref="D5:D45" si="0">5%*F5</f>
        <v>952293.3</v>
      </c>
      <c r="E5" s="59">
        <f>SUMIFS('Daily Summary(Airtel)'!$F$4:$F$1048576,'Daily Summary(Airtel)'!$B$4:$B$1048576,B5)</f>
        <v>38515</v>
      </c>
      <c r="F5" s="60">
        <f>SUMIFS('Daily Summary(Airtel)'!$G$4:$G$1048576,'Daily Summary(Airtel)'!$B$4:$B$1048576,B5)</f>
        <v>19045866</v>
      </c>
      <c r="G5" s="60">
        <f>SUMIFS('Daily Summary(Airtel)'!$H$4:$H$1048576,'Daily Summary(Airtel)'!$B$4:$B$1048576,B5)</f>
        <v>38448</v>
      </c>
      <c r="H5" s="60">
        <f t="shared" ref="H5:H23" si="1">F5/E5</f>
        <v>494.50515383616772</v>
      </c>
      <c r="I5" s="59">
        <f>SUMIFS('Daily Summary(Airtel)'!$M$4:$M$1048576,'Daily Summary(Airtel)'!$B$4:$B$1048576,B5)</f>
        <v>17260</v>
      </c>
      <c r="J5" s="60">
        <f>SUMIFS('Daily Summary(Airtel)'!$N$4:$N$1048576,'Daily Summary(Airtel)'!$B$4:$B$1048576,B5)</f>
        <v>5020962.3099999996</v>
      </c>
      <c r="K5" s="61">
        <f>SUMIFS('Daily Summary(Airtel)'!$O$4:$O$1048576,'Daily Summary(Airtel)'!$B$4:$B$1048576,B5)</f>
        <v>15673</v>
      </c>
      <c r="L5" s="59">
        <v>18578137.890000001</v>
      </c>
      <c r="M5" s="61">
        <v>18578141.579999998</v>
      </c>
      <c r="N5" s="80">
        <v>18578141.579999998</v>
      </c>
      <c r="O5" s="79">
        <v>18578137.890000001</v>
      </c>
    </row>
    <row r="6" spans="1:15" x14ac:dyDescent="0.2">
      <c r="B6" s="47" t="s">
        <v>26</v>
      </c>
      <c r="C6" s="58">
        <v>721186</v>
      </c>
      <c r="D6" s="59">
        <f t="shared" si="0"/>
        <v>18822489.800000001</v>
      </c>
      <c r="E6" s="59">
        <f>SUMIFS('Daily Summary(Airtel)'!$F$4:$F$1048576,'Daily Summary(Airtel)'!$B$4:$B$1048576,B6)</f>
        <v>762072</v>
      </c>
      <c r="F6" s="60">
        <f>SUMIFS('Daily Summary(Airtel)'!$G$4:$G$1048576,'Daily Summary(Airtel)'!$B$4:$B$1048576,B6)</f>
        <v>376449796</v>
      </c>
      <c r="G6" s="60">
        <f>SUMIFS('Daily Summary(Airtel)'!$H$4:$H$1048576,'Daily Summary(Airtel)'!$B$4:$B$1048576,B6)</f>
        <v>759911</v>
      </c>
      <c r="H6" s="60">
        <f t="shared" si="1"/>
        <v>493.98192821675644</v>
      </c>
      <c r="I6" s="59">
        <f>SUMIFS('Daily Summary(Airtel)'!$M$4:$M$1048576,'Daily Summary(Airtel)'!$B$4:$B$1048576,B6)</f>
        <v>268241</v>
      </c>
      <c r="J6" s="60">
        <f>SUMIFS('Daily Summary(Airtel)'!$N$4:$N$1048576,'Daily Summary(Airtel)'!$B$4:$B$1048576,B6)</f>
        <v>81456028.180000007</v>
      </c>
      <c r="K6" s="61">
        <f>SUMIFS('Daily Summary(Airtel)'!$O$4:$O$1048576,'Daily Summary(Airtel)'!$B$4:$B$1048576,B6)</f>
        <v>245749</v>
      </c>
      <c r="L6" s="59">
        <v>389859882.46999991</v>
      </c>
      <c r="M6" s="61">
        <v>389859900.14000016</v>
      </c>
      <c r="N6" s="81">
        <v>389859900.14000016</v>
      </c>
      <c r="O6" s="79">
        <v>389859882.46999991</v>
      </c>
    </row>
    <row r="7" spans="1:15" x14ac:dyDescent="0.2">
      <c r="B7" s="47" t="s">
        <v>27</v>
      </c>
      <c r="C7" s="58">
        <v>44987</v>
      </c>
      <c r="D7" s="59">
        <f t="shared" si="0"/>
        <v>2644865.1500000004</v>
      </c>
      <c r="E7" s="59">
        <f>SUMIFS('Daily Summary(Airtel)'!$F$4:$F$1048576,'Daily Summary(Airtel)'!$B$4:$B$1048576,B7)</f>
        <v>107644</v>
      </c>
      <c r="F7" s="60">
        <f>SUMIFS('Daily Summary(Airtel)'!$G$4:$G$1048576,'Daily Summary(Airtel)'!$B$4:$B$1048576,B7)</f>
        <v>52897303</v>
      </c>
      <c r="G7" s="60">
        <f>SUMIFS('Daily Summary(Airtel)'!$H$4:$H$1048576,'Daily Summary(Airtel)'!$B$4:$B$1048576,B7)</f>
        <v>107438</v>
      </c>
      <c r="H7" s="60">
        <f t="shared" si="1"/>
        <v>491.40967448255361</v>
      </c>
      <c r="I7" s="59">
        <f>SUMIFS('Daily Summary(Airtel)'!$M$4:$M$1048576,'Daily Summary(Airtel)'!$B$4:$B$1048576,B7)</f>
        <v>51124</v>
      </c>
      <c r="J7" s="60">
        <f>SUMIFS('Daily Summary(Airtel)'!$N$4:$N$1048576,'Daily Summary(Airtel)'!$B$4:$B$1048576,B7)</f>
        <v>17393999.189999998</v>
      </c>
      <c r="K7" s="61">
        <f>SUMIFS('Daily Summary(Airtel)'!$O$4:$O$1048576,'Daily Summary(Airtel)'!$B$4:$B$1048576,B7)</f>
        <v>47674</v>
      </c>
      <c r="L7" s="59">
        <v>46792238.959999993</v>
      </c>
      <c r="M7" s="61">
        <v>46792240.609999999</v>
      </c>
      <c r="N7" s="81">
        <v>46792240.609999999</v>
      </c>
      <c r="O7" s="79">
        <v>46792238.959999993</v>
      </c>
    </row>
    <row r="8" spans="1:15" x14ac:dyDescent="0.2">
      <c r="B8" s="47" t="s">
        <v>28</v>
      </c>
      <c r="C8" s="58">
        <v>23726</v>
      </c>
      <c r="D8" s="59">
        <f t="shared" si="0"/>
        <v>1943505.9000000001</v>
      </c>
      <c r="E8" s="59">
        <f>SUMIFS('Daily Summary(Airtel)'!$F$4:$F$1048576,'Daily Summary(Airtel)'!$B$4:$B$1048576,B8)</f>
        <v>71763</v>
      </c>
      <c r="F8" s="60">
        <f>SUMIFS('Daily Summary(Airtel)'!$G$4:$G$1048576,'Daily Summary(Airtel)'!$B$4:$B$1048576,B8)</f>
        <v>38870118</v>
      </c>
      <c r="G8" s="60">
        <f>SUMIFS('Daily Summary(Airtel)'!$H$4:$H$1048576,'Daily Summary(Airtel)'!$B$4:$B$1048576,B8)</f>
        <v>71520</v>
      </c>
      <c r="H8" s="60">
        <f t="shared" si="1"/>
        <v>541.64566698716612</v>
      </c>
      <c r="I8" s="59">
        <f>SUMIFS('Daily Summary(Airtel)'!$M$4:$M$1048576,'Daily Summary(Airtel)'!$B$4:$B$1048576,B8)</f>
        <v>44598</v>
      </c>
      <c r="J8" s="60">
        <f>SUMIFS('Daily Summary(Airtel)'!$N$4:$N$1048576,'Daily Summary(Airtel)'!$B$4:$B$1048576,B8)</f>
        <v>17501745.18</v>
      </c>
      <c r="K8" s="61">
        <f>SUMIFS('Daily Summary(Airtel)'!$O$4:$O$1048576,'Daily Summary(Airtel)'!$B$4:$B$1048576,B8)</f>
        <v>41261</v>
      </c>
      <c r="L8" s="59">
        <v>28160119.370000001</v>
      </c>
      <c r="M8" s="61">
        <v>28160119.510000002</v>
      </c>
      <c r="N8" s="81">
        <v>28160119.510000002</v>
      </c>
      <c r="O8" s="79">
        <v>28160119.370000001</v>
      </c>
    </row>
    <row r="9" spans="1:15" x14ac:dyDescent="0.2">
      <c r="B9" s="47" t="s">
        <v>29</v>
      </c>
      <c r="C9" s="58">
        <v>33271</v>
      </c>
      <c r="D9" s="59">
        <f t="shared" si="0"/>
        <v>1774143.25</v>
      </c>
      <c r="E9" s="59">
        <f>SUMIFS('Daily Summary(Airtel)'!$F$4:$F$1048576,'Daily Summary(Airtel)'!$B$4:$B$1048576,B9)</f>
        <v>65487</v>
      </c>
      <c r="F9" s="60">
        <f>SUMIFS('Daily Summary(Airtel)'!$G$4:$G$1048576,'Daily Summary(Airtel)'!$B$4:$B$1048576,B9)</f>
        <v>35482865</v>
      </c>
      <c r="G9" s="60">
        <f>SUMIFS('Daily Summary(Airtel)'!$H$4:$H$1048576,'Daily Summary(Airtel)'!$B$4:$B$1048576,B9)</f>
        <v>65245</v>
      </c>
      <c r="H9" s="60">
        <f t="shared" si="1"/>
        <v>541.83066868233391</v>
      </c>
      <c r="I9" s="59">
        <f>SUMIFS('Daily Summary(Airtel)'!$M$4:$M$1048576,'Daily Summary(Airtel)'!$B$4:$B$1048576,B9)</f>
        <v>36489</v>
      </c>
      <c r="J9" s="60">
        <f>SUMIFS('Daily Summary(Airtel)'!$N$4:$N$1048576,'Daily Summary(Airtel)'!$B$4:$B$1048576,B9)</f>
        <v>13913925.619999995</v>
      </c>
      <c r="K9" s="61">
        <f>SUMIFS('Daily Summary(Airtel)'!$O$4:$O$1048576,'Daily Summary(Airtel)'!$B$4:$B$1048576,B9)</f>
        <v>33294</v>
      </c>
      <c r="L9" s="59">
        <v>28442370.129999999</v>
      </c>
      <c r="M9" s="61">
        <v>28442370.129999999</v>
      </c>
      <c r="N9" s="81">
        <v>28442370.129999999</v>
      </c>
      <c r="O9" s="79">
        <v>28442370.129999999</v>
      </c>
    </row>
    <row r="10" spans="1:15" x14ac:dyDescent="0.2">
      <c r="B10" s="47" t="s">
        <v>30</v>
      </c>
      <c r="C10" s="58">
        <v>23946</v>
      </c>
      <c r="D10" s="59">
        <f t="shared" si="0"/>
        <v>1113322.6000000001</v>
      </c>
      <c r="E10" s="59">
        <f>SUMIFS('Daily Summary(Airtel)'!$F$4:$F$1048576,'Daily Summary(Airtel)'!$B$4:$B$1048576,B10)</f>
        <v>41507</v>
      </c>
      <c r="F10" s="60">
        <f>SUMIFS('Daily Summary(Airtel)'!$G$4:$G$1048576,'Daily Summary(Airtel)'!$B$4:$B$1048576,B10)</f>
        <v>22266452</v>
      </c>
      <c r="G10" s="60">
        <f>SUMIFS('Daily Summary(Airtel)'!$H$4:$H$1048576,'Daily Summary(Airtel)'!$B$4:$B$1048576,B10)</f>
        <v>41400</v>
      </c>
      <c r="H10" s="60">
        <f t="shared" si="1"/>
        <v>536.45052641723078</v>
      </c>
      <c r="I10" s="59">
        <f>SUMIFS('Daily Summary(Airtel)'!$M$4:$M$1048576,'Daily Summary(Airtel)'!$B$4:$B$1048576,B10)</f>
        <v>22499</v>
      </c>
      <c r="J10" s="60">
        <f>SUMIFS('Daily Summary(Airtel)'!$N$4:$N$1048576,'Daily Summary(Airtel)'!$B$4:$B$1048576,B10)</f>
        <v>8484917.7400000021</v>
      </c>
      <c r="K10" s="61">
        <f>SUMIFS('Daily Summary(Airtel)'!$O$4:$O$1048576,'Daily Summary(Airtel)'!$B$4:$B$1048576,B10)</f>
        <v>20355</v>
      </c>
      <c r="L10" s="59">
        <v>18004262.369999997</v>
      </c>
      <c r="M10" s="61">
        <v>18004262.499999993</v>
      </c>
      <c r="N10" s="81">
        <v>18004262.499999993</v>
      </c>
      <c r="O10" s="79">
        <v>18004262.369999997</v>
      </c>
    </row>
    <row r="11" spans="1:15" x14ac:dyDescent="0.2">
      <c r="B11" s="47" t="s">
        <v>31</v>
      </c>
      <c r="C11" s="58">
        <v>20781</v>
      </c>
      <c r="D11" s="59">
        <f t="shared" si="0"/>
        <v>893555.15</v>
      </c>
      <c r="E11" s="59">
        <f>SUMIFS('Daily Summary(Airtel)'!$F$4:$F$1048576,'Daily Summary(Airtel)'!$B$4:$B$1048576,B11)</f>
        <v>33393</v>
      </c>
      <c r="F11" s="60">
        <f>SUMIFS('Daily Summary(Airtel)'!$G$4:$G$1048576,'Daily Summary(Airtel)'!$B$4:$B$1048576,B11)</f>
        <v>17871103</v>
      </c>
      <c r="G11" s="60">
        <f>SUMIFS('Daily Summary(Airtel)'!$H$4:$H$1048576,'Daily Summary(Airtel)'!$B$4:$B$1048576,B11)</f>
        <v>33311</v>
      </c>
      <c r="H11" s="60">
        <f t="shared" si="1"/>
        <v>535.17512652352286</v>
      </c>
      <c r="I11" s="59">
        <f>SUMIFS('Daily Summary(Airtel)'!$M$4:$M$1048576,'Daily Summary(Airtel)'!$B$4:$B$1048576,B11)</f>
        <v>17374</v>
      </c>
      <c r="J11" s="60">
        <f>SUMIFS('Daily Summary(Airtel)'!$N$4:$N$1048576,'Daily Summary(Airtel)'!$B$4:$B$1048576,B11)</f>
        <v>6607478.5999999996</v>
      </c>
      <c r="K11" s="61">
        <f>SUMIFS('Daily Summary(Airtel)'!$O$4:$O$1048576,'Daily Summary(Airtel)'!$B$4:$B$1048576,B11)</f>
        <v>15952</v>
      </c>
      <c r="L11" s="59">
        <v>14579894.349999996</v>
      </c>
      <c r="M11" s="61">
        <v>14579894.350000001</v>
      </c>
      <c r="N11" s="81">
        <v>14579894.350000001</v>
      </c>
      <c r="O11" s="79">
        <v>14579894.349999996</v>
      </c>
    </row>
    <row r="12" spans="1:15" x14ac:dyDescent="0.2">
      <c r="B12" s="47" t="s">
        <v>32</v>
      </c>
      <c r="C12" s="58">
        <v>17479</v>
      </c>
      <c r="D12" s="59">
        <f t="shared" si="0"/>
        <v>757464.9</v>
      </c>
      <c r="E12" s="59">
        <f>SUMIFS('Daily Summary(Airtel)'!$F$4:$F$1048576,'Daily Summary(Airtel)'!$B$4:$B$1048576,B12)</f>
        <v>28314</v>
      </c>
      <c r="F12" s="60">
        <f>SUMIFS('Daily Summary(Airtel)'!$G$4:$G$1048576,'Daily Summary(Airtel)'!$B$4:$B$1048576,B12)</f>
        <v>15149298</v>
      </c>
      <c r="G12" s="60">
        <f>SUMIFS('Daily Summary(Airtel)'!$H$4:$H$1048576,'Daily Summary(Airtel)'!$B$4:$B$1048576,B12)</f>
        <v>28251</v>
      </c>
      <c r="H12" s="60">
        <f t="shared" si="1"/>
        <v>535.04619622801442</v>
      </c>
      <c r="I12" s="59">
        <f>SUMIFS('Daily Summary(Airtel)'!$M$4:$M$1048576,'Daily Summary(Airtel)'!$B$4:$B$1048576,B12)</f>
        <v>15245</v>
      </c>
      <c r="J12" s="60">
        <f>SUMIFS('Daily Summary(Airtel)'!$N$4:$N$1048576,'Daily Summary(Airtel)'!$B$4:$B$1048576,B12)</f>
        <v>5661462.6499999994</v>
      </c>
      <c r="K12" s="61">
        <f>SUMIFS('Daily Summary(Airtel)'!$O$4:$O$1048576,'Daily Summary(Airtel)'!$B$4:$B$1048576,B12)</f>
        <v>13971</v>
      </c>
      <c r="L12" s="59">
        <v>12200834.709999995</v>
      </c>
      <c r="M12" s="61">
        <v>12200834.709999997</v>
      </c>
      <c r="N12" s="81">
        <v>12200834.709999997</v>
      </c>
      <c r="O12" s="79">
        <v>12200834.709999995</v>
      </c>
    </row>
    <row r="13" spans="1:15" x14ac:dyDescent="0.2">
      <c r="B13" s="47" t="s">
        <v>33</v>
      </c>
      <c r="C13" s="58">
        <v>13709</v>
      </c>
      <c r="D13" s="59">
        <f t="shared" si="0"/>
        <v>591678.80000000005</v>
      </c>
      <c r="E13" s="59">
        <f>SUMIFS('Daily Summary(Airtel)'!$F$4:$F$1048576,'Daily Summary(Airtel)'!$B$4:$B$1048576,B13)</f>
        <v>22035</v>
      </c>
      <c r="F13" s="60">
        <f>SUMIFS('Daily Summary(Airtel)'!$G$4:$G$1048576,'Daily Summary(Airtel)'!$B$4:$B$1048576,B13)</f>
        <v>11833576</v>
      </c>
      <c r="G13" s="60">
        <f>SUMIFS('Daily Summary(Airtel)'!$H$4:$H$1048576,'Daily Summary(Airtel)'!$B$4:$B$1048576,B13)</f>
        <v>21990</v>
      </c>
      <c r="H13" s="60">
        <f t="shared" si="1"/>
        <v>537.03544361243473</v>
      </c>
      <c r="I13" s="59">
        <f>SUMIFS('Daily Summary(Airtel)'!$M$4:$M$1048576,'Daily Summary(Airtel)'!$B$4:$B$1048576,B13)</f>
        <v>12304</v>
      </c>
      <c r="J13" s="60">
        <f>SUMIFS('Daily Summary(Airtel)'!$N$4:$N$1048576,'Daily Summary(Airtel)'!$B$4:$B$1048576,B13)</f>
        <v>4593175.21</v>
      </c>
      <c r="K13" s="61">
        <f>SUMIFS('Daily Summary(Airtel)'!$O$4:$O$1048576,'Daily Summary(Airtel)'!$B$4:$B$1048576,B13)</f>
        <v>11258</v>
      </c>
      <c r="L13" s="59">
        <v>9264341.7999999952</v>
      </c>
      <c r="M13" s="61">
        <v>9264342.6399999987</v>
      </c>
      <c r="N13" s="81">
        <v>9264342.6399999987</v>
      </c>
      <c r="O13" s="79">
        <v>9264341.7999999952</v>
      </c>
    </row>
    <row r="14" spans="1:15" x14ac:dyDescent="0.2">
      <c r="A14" s="18"/>
      <c r="B14" s="48" t="s">
        <v>34</v>
      </c>
      <c r="C14" s="58">
        <v>10850</v>
      </c>
      <c r="D14" s="59">
        <f t="shared" si="0"/>
        <v>375436.60000000003</v>
      </c>
      <c r="E14" s="59">
        <f>SUMIFS('Daily Summary(Airtel)'!$F$4:$F$1048576,'Daily Summary(Airtel)'!$B$4:$B$1048576,B14)</f>
        <v>13870</v>
      </c>
      <c r="F14" s="60">
        <f>SUMIFS('Daily Summary(Airtel)'!$G$4:$G$1048576,'Daily Summary(Airtel)'!$B$4:$B$1048576,B14)</f>
        <v>7508732</v>
      </c>
      <c r="G14" s="60">
        <f>SUMIFS('Daily Summary(Airtel)'!$H$4:$H$1048576,'Daily Summary(Airtel)'!$B$4:$B$1048576,B14)</f>
        <v>13841</v>
      </c>
      <c r="H14" s="60">
        <f t="shared" si="1"/>
        <v>541.36496034607069</v>
      </c>
      <c r="I14" s="59">
        <f>SUMIFS('Daily Summary(Airtel)'!$M$4:$M$1048576,'Daily Summary(Airtel)'!$B$4:$B$1048576,B14)</f>
        <v>10095</v>
      </c>
      <c r="J14" s="60">
        <f>SUMIFS('Daily Summary(Airtel)'!$N$4:$N$1048576,'Daily Summary(Airtel)'!$B$4:$B$1048576,B14)</f>
        <v>3384159.4499999997</v>
      </c>
      <c r="K14" s="61">
        <f>SUMIFS('Daily Summary(Airtel)'!$O$4:$O$1048576,'Daily Summary(Airtel)'!$B$4:$B$1048576,B14)</f>
        <v>9085</v>
      </c>
      <c r="L14" s="59">
        <v>5306763.0600000005</v>
      </c>
      <c r="M14" s="61">
        <v>5306763.0599999996</v>
      </c>
      <c r="N14" s="81">
        <v>5306763.0599999996</v>
      </c>
      <c r="O14" s="79">
        <v>5306763.0600000005</v>
      </c>
    </row>
    <row r="15" spans="1:15" x14ac:dyDescent="0.2">
      <c r="A15" s="18"/>
      <c r="B15" s="48" t="s">
        <v>66</v>
      </c>
      <c r="C15" s="58">
        <v>5728</v>
      </c>
      <c r="D15" s="59">
        <f t="shared" si="0"/>
        <v>143199.9</v>
      </c>
      <c r="E15" s="59">
        <f>SUMIFS('Daily Summary(Airtel)'!$F$4:$F$1048576,'Daily Summary(Airtel)'!$B$4:$B$1048576,B15)</f>
        <v>5013</v>
      </c>
      <c r="F15" s="60">
        <f>SUMIFS('Daily Summary(Airtel)'!$G$4:$G$1048576,'Daily Summary(Airtel)'!$B$4:$B$1048576,B15)</f>
        <v>2863998</v>
      </c>
      <c r="G15" s="60">
        <f>SUMIFS('Daily Summary(Airtel)'!$H$4:$H$1048576,'Daily Summary(Airtel)'!$B$4:$B$1048576,B15)</f>
        <v>5005</v>
      </c>
      <c r="H15" s="60">
        <f t="shared" si="1"/>
        <v>571.31418312387791</v>
      </c>
      <c r="I15" s="59">
        <f>SUMIFS('Daily Summary(Airtel)'!$M$4:$M$1048576,'Daily Summary(Airtel)'!$B$4:$B$1048576,B15)</f>
        <v>5926</v>
      </c>
      <c r="J15" s="60">
        <f>SUMIFS('Daily Summary(Airtel)'!$N$4:$N$1048576,'Daily Summary(Airtel)'!$B$4:$B$1048576,B15)</f>
        <v>2003586.2200000002</v>
      </c>
      <c r="K15" s="61">
        <f>SUMIFS('Daily Summary(Airtel)'!$O$4:$O$1048576,'Daily Summary(Airtel)'!$B$4:$B$1048576,B15)</f>
        <v>5254</v>
      </c>
      <c r="L15" s="59">
        <v>1207852.6999999951</v>
      </c>
      <c r="M15" s="61">
        <v>1207852.6999999974</v>
      </c>
      <c r="N15" s="81">
        <v>1207852.6999999974</v>
      </c>
      <c r="O15" s="79">
        <v>1207852.6999999951</v>
      </c>
    </row>
    <row r="16" spans="1:15" x14ac:dyDescent="0.2">
      <c r="A16" s="18"/>
      <c r="B16" s="48" t="s">
        <v>35</v>
      </c>
      <c r="C16" s="58">
        <v>3536</v>
      </c>
      <c r="D16" s="59">
        <f t="shared" si="0"/>
        <v>62580.700000000004</v>
      </c>
      <c r="E16" s="59">
        <f>SUMIFS('Daily Summary(Airtel)'!$F$4:$F$1048576,'Daily Summary(Airtel)'!$B$4:$B$1048576,B16)</f>
        <v>2374</v>
      </c>
      <c r="F16" s="60">
        <f>SUMIFS('Daily Summary(Airtel)'!$G$4:$G$1048576,'Daily Summary(Airtel)'!$B$4:$B$1048576,B16)</f>
        <v>1251614</v>
      </c>
      <c r="G16" s="60">
        <f>SUMIFS('Daily Summary(Airtel)'!$H$4:$H$1048576,'Daily Summary(Airtel)'!$B$4:$B$1048576,B16)</f>
        <v>2371</v>
      </c>
      <c r="H16" s="60">
        <f t="shared" si="1"/>
        <v>527.21735467565293</v>
      </c>
      <c r="I16" s="59">
        <f>SUMIFS('Daily Summary(Airtel)'!$M$4:$M$1048576,'Daily Summary(Airtel)'!$B$4:$B$1048576,B16)</f>
        <v>2207</v>
      </c>
      <c r="J16" s="60">
        <f>SUMIFS('Daily Summary(Airtel)'!$N$4:$N$1048576,'Daily Summary(Airtel)'!$B$4:$B$1048576,B16)</f>
        <v>684796.44000000006</v>
      </c>
      <c r="K16" s="61">
        <f>SUMIFS('Daily Summary(Airtel)'!$O$4:$O$1048576,'Daily Summary(Airtel)'!$B$4:$B$1048576,B16)</f>
        <v>1955</v>
      </c>
      <c r="L16" s="59">
        <v>774630.98999999987</v>
      </c>
      <c r="M16" s="61">
        <v>774630.99000000057</v>
      </c>
      <c r="N16" s="81">
        <v>774630.99000000057</v>
      </c>
      <c r="O16" s="79">
        <v>774630.98999999987</v>
      </c>
    </row>
    <row r="17" spans="1:15" x14ac:dyDescent="0.2">
      <c r="A17" s="18"/>
      <c r="B17" s="48" t="s">
        <v>36</v>
      </c>
      <c r="C17" s="58">
        <v>2774</v>
      </c>
      <c r="D17" s="59">
        <f t="shared" si="0"/>
        <v>235725.90000000002</v>
      </c>
      <c r="E17" s="59">
        <f>SUMIFS('Daily Summary(Airtel)'!$F$4:$F$1048576,'Daily Summary(Airtel)'!$B$4:$B$1048576,B17)</f>
        <v>8033</v>
      </c>
      <c r="F17" s="60">
        <f>SUMIFS('Daily Summary(Airtel)'!$G$4:$G$1048576,'Daily Summary(Airtel)'!$B$4:$B$1048576,B17)</f>
        <v>4714518</v>
      </c>
      <c r="G17" s="60">
        <f>SUMIFS('Daily Summary(Airtel)'!$H$4:$H$1048576,'Daily Summary(Airtel)'!$B$4:$B$1048576,B17)</f>
        <v>8010</v>
      </c>
      <c r="H17" s="60">
        <f t="shared" si="1"/>
        <v>586.8938130212872</v>
      </c>
      <c r="I17" s="59">
        <f>SUMIFS('Daily Summary(Airtel)'!$M$4:$M$1048576,'Daily Summary(Airtel)'!$B$4:$B$1048576,B17)</f>
        <v>6231</v>
      </c>
      <c r="J17" s="60">
        <f>SUMIFS('Daily Summary(Airtel)'!$N$4:$N$1048576,'Daily Summary(Airtel)'!$B$4:$B$1048576,B17)</f>
        <v>2356218.7199999997</v>
      </c>
      <c r="K17" s="61">
        <f>SUMIFS('Daily Summary(Airtel)'!$O$4:$O$1048576,'Daily Summary(Airtel)'!$B$4:$B$1048576,B17)</f>
        <v>5530</v>
      </c>
      <c r="L17" s="59">
        <v>3057568.4900000012</v>
      </c>
      <c r="M17" s="61">
        <v>3057568.4900000016</v>
      </c>
      <c r="N17" s="81">
        <v>3057568.4900000016</v>
      </c>
      <c r="O17" s="79">
        <v>3057568.4900000012</v>
      </c>
    </row>
    <row r="18" spans="1:15" x14ac:dyDescent="0.2">
      <c r="A18" s="18"/>
      <c r="B18" s="48" t="s">
        <v>37</v>
      </c>
      <c r="C18" s="58">
        <v>8760</v>
      </c>
      <c r="D18" s="59">
        <f t="shared" si="0"/>
        <v>533755.5</v>
      </c>
      <c r="E18" s="59">
        <f>SUMIFS('Daily Summary(Airtel)'!$F$4:$F$1048576,'Daily Summary(Airtel)'!$B$4:$B$1048576,B18)</f>
        <v>15292</v>
      </c>
      <c r="F18" s="60">
        <f>SUMIFS('Daily Summary(Airtel)'!$G$4:$G$1048576,'Daily Summary(Airtel)'!$B$4:$B$1048576,B18)</f>
        <v>10675110</v>
      </c>
      <c r="G18" s="60">
        <f>SUMIFS('Daily Summary(Airtel)'!$H$4:$H$1048576,'Daily Summary(Airtel)'!$B$4:$B$1048576,B18)</f>
        <v>15278</v>
      </c>
      <c r="H18" s="60">
        <f t="shared" si="1"/>
        <v>698.08461940884126</v>
      </c>
      <c r="I18" s="59">
        <f>SUMIFS('Daily Summary(Airtel)'!$M$4:$M$1048576,'Daily Summary(Airtel)'!$B$4:$B$1048576,B18)</f>
        <v>13116</v>
      </c>
      <c r="J18" s="60">
        <f>SUMIFS('Daily Summary(Airtel)'!$N$4:$N$1048576,'Daily Summary(Airtel)'!$B$4:$B$1048576,B18)</f>
        <v>5472646.4499999993</v>
      </c>
      <c r="K18" s="61">
        <f>SUMIFS('Daily Summary(Airtel)'!$O$4:$O$1048576,'Daily Summary(Airtel)'!$B$4:$B$1048576,B18)</f>
        <v>11510</v>
      </c>
      <c r="L18" s="59">
        <v>6417425.79</v>
      </c>
      <c r="M18" s="61">
        <v>6417425.7900000028</v>
      </c>
      <c r="N18" s="81">
        <v>6417425.7900000028</v>
      </c>
      <c r="O18" s="79">
        <v>6417425.79</v>
      </c>
    </row>
    <row r="19" spans="1:15" x14ac:dyDescent="0.2">
      <c r="A19" s="18"/>
      <c r="B19" s="48" t="s">
        <v>38</v>
      </c>
      <c r="C19" s="58">
        <v>10121</v>
      </c>
      <c r="D19" s="59">
        <f t="shared" si="0"/>
        <v>455522.95</v>
      </c>
      <c r="E19" s="59">
        <f>SUMIFS('Daily Summary(Airtel)'!$F$4:$F$1048576,'Daily Summary(Airtel)'!$B$4:$B$1048576,B19)</f>
        <v>15002</v>
      </c>
      <c r="F19" s="60">
        <f>SUMIFS('Daily Summary(Airtel)'!$G$4:$G$1048576,'Daily Summary(Airtel)'!$B$4:$B$1048576,B19)</f>
        <v>9110459</v>
      </c>
      <c r="G19" s="60">
        <f>SUMIFS('Daily Summary(Airtel)'!$H$4:$H$1048576,'Daily Summary(Airtel)'!$B$4:$B$1048576,B19)</f>
        <v>14967</v>
      </c>
      <c r="H19" s="60">
        <f t="shared" si="1"/>
        <v>607.2829622716971</v>
      </c>
      <c r="I19" s="59">
        <f>SUMIFS('Daily Summary(Airtel)'!$M$4:$M$1048576,'Daily Summary(Airtel)'!$B$4:$B$1048576,B19)</f>
        <v>9351</v>
      </c>
      <c r="J19" s="60">
        <f>SUMIFS('Daily Summary(Airtel)'!$N$4:$N$1048576,'Daily Summary(Airtel)'!$B$4:$B$1048576,B19)</f>
        <v>3844819.8499999992</v>
      </c>
      <c r="K19" s="61">
        <f>SUMIFS('Daily Summary(Airtel)'!$O$4:$O$1048576,'Daily Summary(Airtel)'!$B$4:$B$1048576,B19)</f>
        <v>8229</v>
      </c>
      <c r="L19" s="59">
        <v>6424159.5599999996</v>
      </c>
      <c r="M19" s="61">
        <v>6424159.5600000061</v>
      </c>
      <c r="N19" s="81">
        <v>6424159.5600000061</v>
      </c>
      <c r="O19" s="79">
        <v>6424159.5599999996</v>
      </c>
    </row>
    <row r="20" spans="1:15" x14ac:dyDescent="0.2">
      <c r="A20" s="18"/>
      <c r="B20" s="48" t="s">
        <v>39</v>
      </c>
      <c r="C20" s="58">
        <v>8867</v>
      </c>
      <c r="D20" s="59">
        <f t="shared" si="0"/>
        <v>305074.2</v>
      </c>
      <c r="E20" s="59">
        <f>SUMIFS('Daily Summary(Airtel)'!$F$4:$F$1048576,'Daily Summary(Airtel)'!$B$4:$B$1048576,B20)</f>
        <v>9863</v>
      </c>
      <c r="F20" s="60">
        <f>SUMIFS('Daily Summary(Airtel)'!$G$4:$G$1048576,'Daily Summary(Airtel)'!$B$4:$B$1048576,B20)</f>
        <v>6101484</v>
      </c>
      <c r="G20" s="60">
        <f>SUMIFS('Daily Summary(Airtel)'!$H$4:$H$1048576,'Daily Summary(Airtel)'!$B$4:$B$1048576,B20)</f>
        <v>9825</v>
      </c>
      <c r="H20" s="60">
        <f t="shared" si="1"/>
        <v>618.62354253269791</v>
      </c>
      <c r="I20" s="59">
        <f>SUMIFS('Daily Summary(Airtel)'!$M$4:$M$1048576,'Daily Summary(Airtel)'!$B$4:$B$1048576,B20)</f>
        <v>6416</v>
      </c>
      <c r="J20" s="60">
        <f>SUMIFS('Daily Summary(Airtel)'!$N$4:$N$1048576,'Daily Summary(Airtel)'!$B$4:$B$1048576,B20)</f>
        <v>2796130.3099999996</v>
      </c>
      <c r="K20" s="61">
        <f>SUMIFS('Daily Summary(Airtel)'!$O$4:$O$1048576,'Daily Summary(Airtel)'!$B$4:$B$1048576,B20)</f>
        <v>5742</v>
      </c>
      <c r="L20" s="59">
        <v>4011854.8200000012</v>
      </c>
      <c r="M20" s="61">
        <v>4011854.8199999994</v>
      </c>
      <c r="N20" s="81">
        <v>4011854.8199999994</v>
      </c>
      <c r="O20" s="79">
        <v>4011854.8200000012</v>
      </c>
    </row>
    <row r="21" spans="1:15" x14ac:dyDescent="0.2">
      <c r="A21" s="18"/>
      <c r="B21" s="48" t="s">
        <v>40</v>
      </c>
      <c r="C21" s="58">
        <v>6810</v>
      </c>
      <c r="D21" s="59">
        <f t="shared" si="0"/>
        <v>135684.4</v>
      </c>
      <c r="E21" s="59">
        <f>SUMIFS('Daily Summary(Airtel)'!$F$4:$F$1048576,'Daily Summary(Airtel)'!$B$4:$B$1048576,B21)</f>
        <v>4175</v>
      </c>
      <c r="F21" s="60">
        <f>SUMIFS('Daily Summary(Airtel)'!$G$4:$G$1048576,'Daily Summary(Airtel)'!$B$4:$B$1048576,B21)</f>
        <v>2713688</v>
      </c>
      <c r="G21" s="60">
        <f>SUMIFS('Daily Summary(Airtel)'!$H$4:$H$1048576,'Daily Summary(Airtel)'!$B$4:$B$1048576,B21)</f>
        <v>4169</v>
      </c>
      <c r="H21" s="60">
        <f t="shared" si="1"/>
        <v>649.98514970059875</v>
      </c>
      <c r="I21" s="59">
        <f>SUMIFS('Daily Summary(Airtel)'!$M$4:$M$1048576,'Daily Summary(Airtel)'!$B$4:$B$1048576,B21)</f>
        <v>3297</v>
      </c>
      <c r="J21" s="60">
        <f>SUMIFS('Daily Summary(Airtel)'!$N$4:$N$1048576,'Daily Summary(Airtel)'!$B$4:$B$1048576,B21)</f>
        <v>1306741.8799999999</v>
      </c>
      <c r="K21" s="61">
        <f>SUMIFS('Daily Summary(Airtel)'!$O$4:$O$1048576,'Daily Summary(Airtel)'!$B$4:$B$1048576,B21)</f>
        <v>2904</v>
      </c>
      <c r="L21" s="59">
        <v>1699004.5899999999</v>
      </c>
      <c r="M21" s="61">
        <v>1699004.59</v>
      </c>
      <c r="N21" s="81">
        <v>1699004.59</v>
      </c>
      <c r="O21" s="79">
        <v>1699004.5899999999</v>
      </c>
    </row>
    <row r="22" spans="1:15" x14ac:dyDescent="0.2">
      <c r="A22" s="18"/>
      <c r="B22" s="48" t="s">
        <v>41</v>
      </c>
      <c r="C22" s="58">
        <v>4668</v>
      </c>
      <c r="D22" s="59">
        <f t="shared" si="0"/>
        <v>103796.1</v>
      </c>
      <c r="E22" s="59">
        <f>SUMIFS('Daily Summary(Airtel)'!$F$4:$F$1048576,'Daily Summary(Airtel)'!$B$4:$B$1048576,B22)</f>
        <v>3239</v>
      </c>
      <c r="F22" s="60">
        <f>SUMIFS('Daily Summary(Airtel)'!$G$4:$G$1048576,'Daily Summary(Airtel)'!$B$4:$B$1048576,B22)</f>
        <v>2075922</v>
      </c>
      <c r="G22" s="60">
        <f>SUMIFS('Daily Summary(Airtel)'!$H$4:$H$1048576,'Daily Summary(Airtel)'!$B$4:$B$1048576,B22)</f>
        <v>3230</v>
      </c>
      <c r="H22" s="60">
        <f t="shared" si="1"/>
        <v>640.91447977770918</v>
      </c>
      <c r="I22" s="59">
        <f>SUMIFS('Daily Summary(Airtel)'!$M$4:$M$1048576,'Daily Summary(Airtel)'!$B$4:$B$1048576,B22)</f>
        <v>2199</v>
      </c>
      <c r="J22" s="60">
        <f>SUMIFS('Daily Summary(Airtel)'!$N$4:$N$1048576,'Daily Summary(Airtel)'!$B$4:$B$1048576,B22)</f>
        <v>951356.97</v>
      </c>
      <c r="K22" s="61">
        <f>SUMIFS('Daily Summary(Airtel)'!$O$4:$O$1048576,'Daily Summary(Airtel)'!$B$4:$B$1048576,B22)</f>
        <v>1974</v>
      </c>
      <c r="L22" s="59">
        <v>1349008.7200000002</v>
      </c>
      <c r="M22" s="61">
        <v>1349008.7200000007</v>
      </c>
      <c r="N22" s="81">
        <v>1349008.7200000007</v>
      </c>
      <c r="O22" s="79">
        <v>1349008.7200000002</v>
      </c>
    </row>
    <row r="23" spans="1:15" x14ac:dyDescent="0.2">
      <c r="A23" s="18"/>
      <c r="B23" s="48" t="s">
        <v>42</v>
      </c>
      <c r="C23" s="62">
        <v>2901</v>
      </c>
      <c r="D23" s="59">
        <f t="shared" si="0"/>
        <v>54358</v>
      </c>
      <c r="E23" s="59">
        <f>SUMIFS('Daily Summary(Airtel)'!$F$4:$F$1048576,'Daily Summary(Airtel)'!$B$4:$B$1048576,B23)</f>
        <v>1801</v>
      </c>
      <c r="F23" s="60">
        <f>SUMIFS('Daily Summary(Airtel)'!$G$4:$G$1048576,'Daily Summary(Airtel)'!$B$4:$B$1048576,B23)</f>
        <v>1087160</v>
      </c>
      <c r="G23" s="60">
        <f>SUMIFS('Daily Summary(Airtel)'!$H$4:$H$1048576,'Daily Summary(Airtel)'!$B$4:$B$1048576,B23)</f>
        <v>1789</v>
      </c>
      <c r="H23" s="60">
        <f t="shared" si="1"/>
        <v>603.64242087729042</v>
      </c>
      <c r="I23" s="59">
        <f>SUMIFS('Daily Summary(Airtel)'!$M$4:$M$1048576,'Daily Summary(Airtel)'!$B$4:$B$1048576,B23)</f>
        <v>1579</v>
      </c>
      <c r="J23" s="60">
        <f>SUMIFS('Daily Summary(Airtel)'!$N$4:$N$1048576,'Daily Summary(Airtel)'!$B$4:$B$1048576,B23)</f>
        <v>610712.56000000006</v>
      </c>
      <c r="K23" s="61">
        <f>SUMIFS('Daily Summary(Airtel)'!$O$4:$O$1048576,'Daily Summary(Airtel)'!$B$4:$B$1048576,B23)</f>
        <v>1436</v>
      </c>
      <c r="L23" s="59">
        <v>568636.28999999992</v>
      </c>
      <c r="M23" s="61">
        <v>568636.28999999969</v>
      </c>
      <c r="N23" s="81">
        <v>568636.28999999969</v>
      </c>
      <c r="O23" s="79">
        <v>568636.28999999992</v>
      </c>
    </row>
    <row r="24" spans="1:15" x14ac:dyDescent="0.2">
      <c r="A24" s="18"/>
      <c r="B24" s="48" t="s">
        <v>43</v>
      </c>
      <c r="C24" s="62">
        <v>2811</v>
      </c>
      <c r="D24" s="59">
        <f t="shared" si="0"/>
        <v>0</v>
      </c>
      <c r="E24" s="59">
        <f>SUMIFS('Daily Summary(Airtel)'!$F$4:$F$1048576,'Daily Summary(Airtel)'!$B$4:$B$1048576,B24)</f>
        <v>0</v>
      </c>
      <c r="F24" s="60">
        <f>SUMIFS('Daily Summary(Airtel)'!$G$4:$G$1048576,'Daily Summary(Airtel)'!$B$4:$B$1048576,B24)</f>
        <v>0</v>
      </c>
      <c r="G24" s="60">
        <f>SUMIFS('Daily Summary(Airtel)'!$H$4:$H$1048576,'Daily Summary(Airtel)'!$B$4:$B$1048576,B24)</f>
        <v>0</v>
      </c>
      <c r="H24" s="60"/>
      <c r="I24" s="59">
        <f>SUMIFS('Daily Summary(Airtel)'!$M$4:$M$1048576,'Daily Summary(Airtel)'!$B$4:$B$1048576,B24)</f>
        <v>0</v>
      </c>
      <c r="J24" s="60">
        <f>SUMIFS('Daily Summary(Airtel)'!$N$4:$N$1048576,'Daily Summary(Airtel)'!$B$4:$B$1048576,B24)</f>
        <v>0</v>
      </c>
      <c r="K24" s="61">
        <f>SUMIFS('Daily Summary(Airtel)'!$O$4:$O$1048576,'Daily Summary(Airtel)'!$B$4:$B$1048576,B24)</f>
        <v>0</v>
      </c>
      <c r="L24" s="59"/>
      <c r="M24" s="61"/>
      <c r="N24" s="81"/>
    </row>
    <row r="25" spans="1:15" x14ac:dyDescent="0.2">
      <c r="A25" s="18"/>
      <c r="B25" s="48" t="s">
        <v>44</v>
      </c>
      <c r="C25" s="62">
        <v>2676</v>
      </c>
      <c r="D25" s="59">
        <f t="shared" si="0"/>
        <v>97935.6</v>
      </c>
      <c r="E25" s="59">
        <f>SUMIFS('Daily Summary(Airtel)'!$F$4:$F$1048576,'Daily Summary(Airtel)'!$B$4:$B$1048576,B25)</f>
        <v>3628</v>
      </c>
      <c r="F25" s="60">
        <f>SUMIFS('Daily Summary(Airtel)'!$G$4:$G$1048576,'Daily Summary(Airtel)'!$B$4:$B$1048576,B25)</f>
        <v>1958712</v>
      </c>
      <c r="G25" s="60">
        <f>SUMIFS('Daily Summary(Airtel)'!$H$4:$H$1048576,'Daily Summary(Airtel)'!$B$4:$B$1048576,B25)</f>
        <v>3609</v>
      </c>
      <c r="H25" s="60">
        <f t="shared" ref="H25:H46" si="2">F25/E25</f>
        <v>539.88754134509372</v>
      </c>
      <c r="I25" s="59">
        <f>SUMIFS('Daily Summary(Airtel)'!$M$4:$M$1048576,'Daily Summary(Airtel)'!$B$4:$B$1048576,B25)</f>
        <v>2687</v>
      </c>
      <c r="J25" s="60">
        <f>SUMIFS('Daily Summary(Airtel)'!$N$4:$N$1048576,'Daily Summary(Airtel)'!$B$4:$B$1048576,B25)</f>
        <v>1095073.77</v>
      </c>
      <c r="K25" s="61">
        <f>SUMIFS('Daily Summary(Airtel)'!$O$4:$O$1048576,'Daily Summary(Airtel)'!$B$4:$B$1048576,B25)</f>
        <v>2428</v>
      </c>
      <c r="L25" s="59">
        <v>1016112.5800000001</v>
      </c>
      <c r="M25" s="61">
        <v>1016112.5800000005</v>
      </c>
      <c r="N25" s="81">
        <v>1016112.5800000005</v>
      </c>
      <c r="O25" s="79">
        <v>1016112.5800000001</v>
      </c>
    </row>
    <row r="26" spans="1:15" x14ac:dyDescent="0.2">
      <c r="A26" s="18"/>
      <c r="B26" s="48" t="s">
        <v>45</v>
      </c>
      <c r="C26" s="62">
        <v>3805</v>
      </c>
      <c r="D26" s="59">
        <f t="shared" si="0"/>
        <v>182176</v>
      </c>
      <c r="E26" s="59">
        <f>SUMIFS('Daily Summary(Airtel)'!$F$4:$F$1048576,'Daily Summary(Airtel)'!$B$4:$B$1048576,B26)</f>
        <v>9849</v>
      </c>
      <c r="F26" s="60">
        <f>SUMIFS('Daily Summary(Airtel)'!$G$4:$G$1048576,'Daily Summary(Airtel)'!$B$4:$B$1048576,B26)</f>
        <v>3643520</v>
      </c>
      <c r="G26" s="60">
        <f>SUMIFS('Daily Summary(Airtel)'!$H$4:$H$1048576,'Daily Summary(Airtel)'!$B$4:$B$1048576,B26)</f>
        <v>9748</v>
      </c>
      <c r="H26" s="60">
        <f t="shared" si="2"/>
        <v>369.93806477815008</v>
      </c>
      <c r="I26" s="59">
        <f>SUMIFS('Daily Summary(Airtel)'!$M$4:$M$1048576,'Daily Summary(Airtel)'!$B$4:$B$1048576,B26)</f>
        <v>6183</v>
      </c>
      <c r="J26" s="60">
        <f>SUMIFS('Daily Summary(Airtel)'!$N$4:$N$1048576,'Daily Summary(Airtel)'!$B$4:$B$1048576,B26)</f>
        <v>1840936.34</v>
      </c>
      <c r="K26" s="61">
        <f>SUMIFS('Daily Summary(Airtel)'!$O$4:$O$1048576,'Daily Summary(Airtel)'!$B$4:$B$1048576,B26)</f>
        <v>5638</v>
      </c>
      <c r="L26" s="59">
        <v>2109326.5199999996</v>
      </c>
      <c r="M26" s="61">
        <v>2109326.52</v>
      </c>
      <c r="N26" s="81">
        <v>2109326.52</v>
      </c>
      <c r="O26" s="79">
        <v>2109326.5199999996</v>
      </c>
    </row>
    <row r="27" spans="1:15" x14ac:dyDescent="0.2">
      <c r="A27" s="18"/>
      <c r="B27" s="48" t="s">
        <v>67</v>
      </c>
      <c r="C27" s="62">
        <v>2817</v>
      </c>
      <c r="D27" s="59">
        <f t="shared" si="0"/>
        <v>228322.7</v>
      </c>
      <c r="E27" s="59">
        <f>SUMIFS('Daily Summary(Airtel)'!$F$4:$F$1048576,'Daily Summary(Airtel)'!$B$4:$B$1048576,B27)</f>
        <v>10626</v>
      </c>
      <c r="F27" s="60">
        <f>SUMIFS('Daily Summary(Airtel)'!$G$4:$G$1048576,'Daily Summary(Airtel)'!$B$4:$B$1048576,B27)</f>
        <v>4566454</v>
      </c>
      <c r="G27" s="60">
        <f>SUMIFS('Daily Summary(Airtel)'!$H$4:$H$1048576,'Daily Summary(Airtel)'!$B$4:$B$1048576,B27)</f>
        <v>10470</v>
      </c>
      <c r="H27" s="60">
        <f t="shared" si="2"/>
        <v>429.74345943911163</v>
      </c>
      <c r="I27" s="59">
        <f>SUMIFS('Daily Summary(Airtel)'!$M$4:$M$1048576,'Daily Summary(Airtel)'!$B$4:$B$1048576,B27)</f>
        <v>9007</v>
      </c>
      <c r="J27" s="60">
        <f>SUMIFS('Daily Summary(Airtel)'!$N$4:$N$1048576,'Daily Summary(Airtel)'!$B$4:$B$1048576,B27)</f>
        <v>2678482.9</v>
      </c>
      <c r="K27" s="61">
        <f>SUMIFS('Daily Summary(Airtel)'!$O$4:$O$1048576,'Daily Summary(Airtel)'!$B$4:$B$1048576,B27)</f>
        <v>8065</v>
      </c>
      <c r="L27" s="59">
        <v>2197343.3100000015</v>
      </c>
      <c r="M27" s="61">
        <v>2197343.3100000015</v>
      </c>
      <c r="N27" s="81">
        <v>2197343.3100000015</v>
      </c>
      <c r="O27" s="79">
        <v>2197343.3100000015</v>
      </c>
    </row>
    <row r="28" spans="1:15" x14ac:dyDescent="0.2">
      <c r="A28" s="18"/>
      <c r="B28" s="48" t="s">
        <v>46</v>
      </c>
      <c r="C28" s="62">
        <v>5131</v>
      </c>
      <c r="D28" s="59">
        <f t="shared" si="0"/>
        <v>147013.9</v>
      </c>
      <c r="E28" s="59">
        <f>SUMIFS('Daily Summary(Airtel)'!$F$4:$F$1048576,'Daily Summary(Airtel)'!$B$4:$B$1048576,B28)</f>
        <v>9325</v>
      </c>
      <c r="F28" s="60">
        <f>SUMIFS('Daily Summary(Airtel)'!$G$4:$G$1048576,'Daily Summary(Airtel)'!$B$4:$B$1048576,B28)</f>
        <v>2940278</v>
      </c>
      <c r="G28" s="60">
        <f>SUMIFS('Daily Summary(Airtel)'!$H$4:$H$1048576,'Daily Summary(Airtel)'!$B$4:$B$1048576,B28)</f>
        <v>9196</v>
      </c>
      <c r="H28" s="60">
        <f t="shared" si="2"/>
        <v>315.31131367292227</v>
      </c>
      <c r="I28" s="59">
        <f>SUMIFS('Daily Summary(Airtel)'!$M$4:$M$1048576,'Daily Summary(Airtel)'!$B$4:$B$1048576,B28)</f>
        <v>7253</v>
      </c>
      <c r="J28" s="60">
        <f>SUMIFS('Daily Summary(Airtel)'!$N$4:$N$1048576,'Daily Summary(Airtel)'!$B$4:$B$1048576,B28)</f>
        <v>1871769.67</v>
      </c>
      <c r="K28" s="61">
        <f>SUMIFS('Daily Summary(Airtel)'!$O$4:$O$1048576,'Daily Summary(Airtel)'!$B$4:$B$1048576,B28)</f>
        <v>6550</v>
      </c>
      <c r="L28" s="59">
        <v>1243331.7100000004</v>
      </c>
      <c r="M28" s="61">
        <v>1243331.7099999997</v>
      </c>
      <c r="N28" s="81">
        <v>1243331.7099999997</v>
      </c>
      <c r="O28" s="79">
        <v>1243331.7100000004</v>
      </c>
    </row>
    <row r="29" spans="1:15" x14ac:dyDescent="0.2">
      <c r="A29" s="18"/>
      <c r="B29" s="48" t="s">
        <v>47</v>
      </c>
      <c r="C29" s="62">
        <v>7683</v>
      </c>
      <c r="D29" s="59">
        <f t="shared" si="0"/>
        <v>42789.8</v>
      </c>
      <c r="E29" s="59">
        <f>SUMIFS('Daily Summary(Airtel)'!$F$4:$F$1048576,'Daily Summary(Airtel)'!$B$4:$B$1048576,B29)</f>
        <v>8622</v>
      </c>
      <c r="F29" s="60">
        <f>SUMIFS('Daily Summary(Airtel)'!$G$4:$G$1048576,'Daily Summary(Airtel)'!$B$4:$B$1048576,B29)</f>
        <v>855796</v>
      </c>
      <c r="G29" s="60">
        <f>SUMIFS('Daily Summary(Airtel)'!$H$4:$H$1048576,'Daily Summary(Airtel)'!$B$4:$B$1048576,B29)</f>
        <v>8392</v>
      </c>
      <c r="H29" s="60">
        <f t="shared" si="2"/>
        <v>99.257248898167475</v>
      </c>
      <c r="I29" s="59">
        <f>SUMIFS('Daily Summary(Airtel)'!$M$4:$M$1048576,'Daily Summary(Airtel)'!$B$4:$B$1048576,B29)</f>
        <v>5274</v>
      </c>
      <c r="J29" s="60">
        <f>SUMIFS('Daily Summary(Airtel)'!$N$4:$N$1048576,'Daily Summary(Airtel)'!$B$4:$B$1048576,B29)</f>
        <v>384696.83999999997</v>
      </c>
      <c r="K29" s="61">
        <f>SUMIFS('Daily Summary(Airtel)'!$O$4:$O$1048576,'Daily Summary(Airtel)'!$B$4:$B$1048576,B29)</f>
        <v>4859</v>
      </c>
      <c r="L29" s="59">
        <v>545898.18000000017</v>
      </c>
      <c r="M29" s="61">
        <v>545898.24000000034</v>
      </c>
      <c r="N29" s="81">
        <v>545898.24000000034</v>
      </c>
      <c r="O29" s="79">
        <v>545898.18000000017</v>
      </c>
    </row>
    <row r="30" spans="1:15" x14ac:dyDescent="0.2">
      <c r="A30" s="18"/>
      <c r="B30" s="48" t="s">
        <v>48</v>
      </c>
      <c r="C30" s="62">
        <v>7586</v>
      </c>
      <c r="D30" s="59">
        <f t="shared" si="0"/>
        <v>271969.2</v>
      </c>
      <c r="E30" s="59">
        <f>SUMIFS('Daily Summary(Airtel)'!$F$4:$F$1048576,'Daily Summary(Airtel)'!$B$4:$B$1048576,B30)</f>
        <v>17965</v>
      </c>
      <c r="F30" s="60">
        <f>SUMIFS('Daily Summary(Airtel)'!$G$4:$G$1048576,'Daily Summary(Airtel)'!$B$4:$B$1048576,B30)</f>
        <v>5439384</v>
      </c>
      <c r="G30" s="60">
        <f>SUMIFS('Daily Summary(Airtel)'!$H$4:$H$1048576,'Daily Summary(Airtel)'!$B$4:$B$1048576,B30)</f>
        <v>17707</v>
      </c>
      <c r="H30" s="60">
        <f t="shared" si="2"/>
        <v>302.77673253548568</v>
      </c>
      <c r="I30" s="59">
        <f>SUMIFS('Daily Summary(Airtel)'!$M$4:$M$1048576,'Daily Summary(Airtel)'!$B$4:$B$1048576,B30)</f>
        <v>14968</v>
      </c>
      <c r="J30" s="60">
        <f>SUMIFS('Daily Summary(Airtel)'!$N$4:$N$1048576,'Daily Summary(Airtel)'!$B$4:$B$1048576,B30)</f>
        <v>3410525.73</v>
      </c>
      <c r="K30" s="61">
        <f>SUMIFS('Daily Summary(Airtel)'!$O$4:$O$1048576,'Daily Summary(Airtel)'!$B$4:$B$1048576,B30)</f>
        <v>13162</v>
      </c>
      <c r="L30" s="59">
        <v>2324742.5199999982</v>
      </c>
      <c r="M30" s="61">
        <v>2324742.7600000002</v>
      </c>
      <c r="N30" s="81">
        <v>2324742.7600000002</v>
      </c>
      <c r="O30" s="79">
        <v>2324742.5199999982</v>
      </c>
    </row>
    <row r="31" spans="1:15" x14ac:dyDescent="0.2">
      <c r="A31" s="18"/>
      <c r="B31" s="48" t="s">
        <v>49</v>
      </c>
      <c r="C31" s="62">
        <v>6690</v>
      </c>
      <c r="D31" s="59">
        <f t="shared" si="0"/>
        <v>184047.40000000002</v>
      </c>
      <c r="E31" s="59">
        <f>SUMIFS('Daily Summary(Airtel)'!$F$4:$F$1048576,'Daily Summary(Airtel)'!$B$4:$B$1048576,B31)</f>
        <v>13951</v>
      </c>
      <c r="F31" s="60">
        <f>SUMIFS('Daily Summary(Airtel)'!$G$4:$G$1048576,'Daily Summary(Airtel)'!$B$4:$B$1048576,B31)</f>
        <v>3680948</v>
      </c>
      <c r="G31" s="60">
        <f>SUMIFS('Daily Summary(Airtel)'!$H$4:$H$1048576,'Daily Summary(Airtel)'!$B$4:$B$1048576,B31)</f>
        <v>13764</v>
      </c>
      <c r="H31" s="60">
        <f t="shared" si="2"/>
        <v>263.84832628485412</v>
      </c>
      <c r="I31" s="59">
        <f>SUMIFS('Daily Summary(Airtel)'!$M$4:$M$1048576,'Daily Summary(Airtel)'!$B$4:$B$1048576,B31)</f>
        <v>11087</v>
      </c>
      <c r="J31" s="60">
        <f>SUMIFS('Daily Summary(Airtel)'!$N$4:$N$1048576,'Daily Summary(Airtel)'!$B$4:$B$1048576,B31)</f>
        <v>2444351.9999999991</v>
      </c>
      <c r="K31" s="61">
        <f>SUMIFS('Daily Summary(Airtel)'!$O$4:$O$1048576,'Daily Summary(Airtel)'!$B$4:$B$1048576,B31)</f>
        <v>10104</v>
      </c>
      <c r="L31" s="59">
        <v>1412231.4800000016</v>
      </c>
      <c r="M31" s="61">
        <v>1412231.4800000002</v>
      </c>
      <c r="N31" s="81">
        <v>1412231.4800000002</v>
      </c>
      <c r="O31" s="79">
        <v>1412231.4800000016</v>
      </c>
    </row>
    <row r="32" spans="1:15" x14ac:dyDescent="0.2">
      <c r="A32" s="18"/>
      <c r="B32" s="48" t="s">
        <v>50</v>
      </c>
      <c r="C32" s="62">
        <v>7092</v>
      </c>
      <c r="D32" s="59">
        <f t="shared" si="0"/>
        <v>161924.95000000001</v>
      </c>
      <c r="E32" s="59">
        <f>SUMIFS('Daily Summary(Airtel)'!$F$4:$F$1048576,'Daily Summary(Airtel)'!$B$4:$B$1048576,B32)</f>
        <v>13713</v>
      </c>
      <c r="F32" s="60">
        <f>SUMIFS('Daily Summary(Airtel)'!$G$4:$G$1048576,'Daily Summary(Airtel)'!$B$4:$B$1048576,B32)</f>
        <v>3238499</v>
      </c>
      <c r="G32" s="60">
        <f>SUMIFS('Daily Summary(Airtel)'!$H$4:$H$1048576,'Daily Summary(Airtel)'!$B$4:$B$1048576,B32)</f>
        <v>13503</v>
      </c>
      <c r="H32" s="60">
        <f t="shared" si="2"/>
        <v>236.16269233573982</v>
      </c>
      <c r="I32" s="59">
        <f>SUMIFS('Daily Summary(Airtel)'!$M$4:$M$1048576,'Daily Summary(Airtel)'!$B$4:$B$1048576,B32)</f>
        <v>10215</v>
      </c>
      <c r="J32" s="60">
        <f>SUMIFS('Daily Summary(Airtel)'!$N$4:$N$1048576,'Daily Summary(Airtel)'!$B$4:$B$1048576,B32)</f>
        <v>2197723.33</v>
      </c>
      <c r="K32" s="61">
        <f>SUMIFS('Daily Summary(Airtel)'!$O$4:$O$1048576,'Daily Summary(Airtel)'!$B$4:$B$1048576,B32)</f>
        <v>9403</v>
      </c>
      <c r="L32" s="59">
        <v>1179633.0799999994</v>
      </c>
      <c r="M32" s="61">
        <v>1179633.0800000008</v>
      </c>
      <c r="N32" s="81">
        <v>1179633.0800000008</v>
      </c>
      <c r="O32" s="79">
        <v>1179633.0799999994</v>
      </c>
    </row>
    <row r="33" spans="1:15" x14ac:dyDescent="0.2">
      <c r="A33" s="18"/>
      <c r="B33" s="48" t="s">
        <v>51</v>
      </c>
      <c r="C33" s="62">
        <v>8376</v>
      </c>
      <c r="D33" s="59">
        <f t="shared" si="0"/>
        <v>189528.79450000002</v>
      </c>
      <c r="E33" s="59">
        <f>SUMIFS('Daily Summary(Airtel)'!$F$4:$F$1048576,'Daily Summary(Airtel)'!$B$4:$B$1048576,B33)</f>
        <v>16502</v>
      </c>
      <c r="F33" s="60">
        <f>SUMIFS('Daily Summary(Airtel)'!$G$4:$G$1048576,'Daily Summary(Airtel)'!$B$4:$B$1048576,B33)</f>
        <v>3790575.89</v>
      </c>
      <c r="G33" s="60">
        <f>SUMIFS('Daily Summary(Airtel)'!$H$4:$H$1048576,'Daily Summary(Airtel)'!$B$4:$B$1048576,B33)</f>
        <v>16291</v>
      </c>
      <c r="H33" s="60">
        <f t="shared" si="2"/>
        <v>229.70402920858078</v>
      </c>
      <c r="I33" s="59">
        <f>SUMIFS('Daily Summary(Airtel)'!$M$4:$M$1048576,'Daily Summary(Airtel)'!$B$4:$B$1048576,B33)</f>
        <v>11900</v>
      </c>
      <c r="J33" s="60">
        <f>SUMIFS('Daily Summary(Airtel)'!$N$4:$N$1048576,'Daily Summary(Airtel)'!$B$4:$B$1048576,B33)</f>
        <v>2443256.56</v>
      </c>
      <c r="K33" s="61">
        <f>SUMIFS('Daily Summary(Airtel)'!$O$4:$O$1048576,'Daily Summary(Airtel)'!$B$4:$B$1048576,B33)</f>
        <v>10921</v>
      </c>
      <c r="L33" s="59">
        <v>1515940.8800000001</v>
      </c>
      <c r="M33" s="61">
        <v>1515940.8799999973</v>
      </c>
      <c r="N33" s="81">
        <v>1515940.8799999973</v>
      </c>
      <c r="O33" s="79">
        <v>1515940.8800000001</v>
      </c>
    </row>
    <row r="34" spans="1:15" x14ac:dyDescent="0.2">
      <c r="A34" s="18"/>
      <c r="B34" s="48" t="s">
        <v>52</v>
      </c>
      <c r="C34" s="62">
        <v>7253</v>
      </c>
      <c r="D34" s="59">
        <f t="shared" si="0"/>
        <v>159140.40000000002</v>
      </c>
      <c r="E34" s="59">
        <f>SUMIFS('Daily Summary(Airtel)'!$F$4:$F$1048576,'Daily Summary(Airtel)'!$B$4:$B$1048576,B34)</f>
        <v>14201</v>
      </c>
      <c r="F34" s="60">
        <f>SUMIFS('Daily Summary(Airtel)'!$G$4:$G$1048576,'Daily Summary(Airtel)'!$B$4:$B$1048576,B34)</f>
        <v>3182808</v>
      </c>
      <c r="G34" s="60">
        <f>SUMIFS('Daily Summary(Airtel)'!$H$4:$H$1048576,'Daily Summary(Airtel)'!$B$4:$B$1048576,B34)</f>
        <v>13955</v>
      </c>
      <c r="H34" s="60">
        <f t="shared" si="2"/>
        <v>224.12562495598903</v>
      </c>
      <c r="I34" s="59">
        <f>SUMIFS('Daily Summary(Airtel)'!$M$4:$M$1048576,'Daily Summary(Airtel)'!$B$4:$B$1048576,B34)</f>
        <v>10455</v>
      </c>
      <c r="J34" s="60">
        <f>SUMIFS('Daily Summary(Airtel)'!$N$4:$N$1048576,'Daily Summary(Airtel)'!$B$4:$B$1048576,B34)</f>
        <v>2079059.81</v>
      </c>
      <c r="K34" s="61">
        <f>SUMIFS('Daily Summary(Airtel)'!$O$4:$O$1048576,'Daily Summary(Airtel)'!$B$4:$B$1048576,B34)</f>
        <v>9577</v>
      </c>
      <c r="L34" s="59">
        <v>1233635.3699999994</v>
      </c>
      <c r="M34" s="61">
        <v>1233635.3700000006</v>
      </c>
      <c r="N34" s="81">
        <v>1233635.3700000006</v>
      </c>
      <c r="O34" s="79">
        <v>1233635.3699999994</v>
      </c>
    </row>
    <row r="35" spans="1:15" x14ac:dyDescent="0.2">
      <c r="A35" s="18"/>
      <c r="B35" s="48" t="s">
        <v>53</v>
      </c>
      <c r="C35" s="62">
        <v>556</v>
      </c>
      <c r="D35" s="59">
        <f t="shared" si="0"/>
        <v>127717.15000000001</v>
      </c>
      <c r="E35" s="59">
        <f>SUMIFS('Daily Summary(Airtel)'!$F$4:$F$1048576,'Daily Summary(Airtel)'!$B$4:$B$1048576,B35)</f>
        <v>8078</v>
      </c>
      <c r="F35" s="60">
        <f>SUMIFS('Daily Summary(Airtel)'!$G$4:$G$1048576,'Daily Summary(Airtel)'!$B$4:$B$1048576,B35)</f>
        <v>2554343</v>
      </c>
      <c r="G35" s="60">
        <f>SUMIFS('Daily Summary(Airtel)'!$H$4:$H$1048576,'Daily Summary(Airtel)'!$B$4:$B$1048576,B35)</f>
        <v>7958</v>
      </c>
      <c r="H35" s="60">
        <f t="shared" si="2"/>
        <v>316.20982916563509</v>
      </c>
      <c r="I35" s="59">
        <f>SUMIFS('Daily Summary(Airtel)'!$M$4:$M$1048576,'Daily Summary(Airtel)'!$B$4:$B$1048576,B35)</f>
        <v>7760</v>
      </c>
      <c r="J35" s="60">
        <f>SUMIFS('Daily Summary(Airtel)'!$N$4:$N$1048576,'Daily Summary(Airtel)'!$B$4:$B$1048576,B35)</f>
        <v>1856480.9999999995</v>
      </c>
      <c r="K35" s="61">
        <f>SUMIFS('Daily Summary(Airtel)'!$O$4:$O$1048576,'Daily Summary(Airtel)'!$B$4:$B$1048576,B35)</f>
        <v>6980</v>
      </c>
      <c r="L35" s="59">
        <v>775590.43000000028</v>
      </c>
      <c r="M35" s="61">
        <v>775590.43000000098</v>
      </c>
      <c r="N35" s="81">
        <v>775590.43000000098</v>
      </c>
      <c r="O35" s="79">
        <v>775590.43000000028</v>
      </c>
    </row>
    <row r="36" spans="1:15" x14ac:dyDescent="0.2">
      <c r="A36" s="18"/>
      <c r="B36" s="48" t="s">
        <v>54</v>
      </c>
      <c r="C36" s="62">
        <v>7</v>
      </c>
      <c r="D36" s="59">
        <f t="shared" si="0"/>
        <v>109579.90000000001</v>
      </c>
      <c r="E36" s="59">
        <f>SUMIFS('Daily Summary(Airtel)'!$F$4:$F$1048576,'Daily Summary(Airtel)'!$B$4:$B$1048576,B36)</f>
        <v>5889</v>
      </c>
      <c r="F36" s="60">
        <f>SUMIFS('Daily Summary(Airtel)'!$G$4:$G$1048576,'Daily Summary(Airtel)'!$B$4:$B$1048576,B36)</f>
        <v>2191598</v>
      </c>
      <c r="G36" s="60">
        <f>SUMIFS('Daily Summary(Airtel)'!$H$4:$H$1048576,'Daily Summary(Airtel)'!$B$4:$B$1048576,B36)</f>
        <v>5806</v>
      </c>
      <c r="H36" s="60">
        <f t="shared" si="2"/>
        <v>372.15112922397691</v>
      </c>
      <c r="I36" s="59">
        <f>SUMIFS('Daily Summary(Airtel)'!$M$4:$M$1048576,'Daily Summary(Airtel)'!$B$4:$B$1048576,B36)</f>
        <v>6183</v>
      </c>
      <c r="J36" s="60">
        <f>SUMIFS('Daily Summary(Airtel)'!$N$4:$N$1048576,'Daily Summary(Airtel)'!$B$4:$B$1048576,B36)</f>
        <v>1660378.39</v>
      </c>
      <c r="K36" s="61">
        <f>SUMIFS('Daily Summary(Airtel)'!$O$4:$O$1048576,'Daily Summary(Airtel)'!$B$4:$B$1048576,B36)</f>
        <v>5548</v>
      </c>
      <c r="L36" s="59">
        <v>586507.63000000047</v>
      </c>
      <c r="M36" s="61">
        <v>586507.63000000175</v>
      </c>
      <c r="N36" s="81">
        <v>586507.63000000175</v>
      </c>
      <c r="O36" s="79">
        <v>586507.63000000047</v>
      </c>
    </row>
    <row r="37" spans="1:15" x14ac:dyDescent="0.2">
      <c r="A37" s="18"/>
      <c r="B37" s="48" t="s">
        <v>55</v>
      </c>
      <c r="C37" s="62">
        <v>5</v>
      </c>
      <c r="D37" s="59">
        <f t="shared" si="0"/>
        <v>97993.25</v>
      </c>
      <c r="E37" s="59">
        <f>SUMIFS('Daily Summary(Airtel)'!$F$4:$F$1048576,'Daily Summary(Airtel)'!$B$4:$B$1048576,B37)</f>
        <v>4749</v>
      </c>
      <c r="F37" s="60">
        <f>SUMIFS('Daily Summary(Airtel)'!$G$4:$G$1048576,'Daily Summary(Airtel)'!$B$4:$B$1048576,B37)</f>
        <v>1959865</v>
      </c>
      <c r="G37" s="60">
        <f>SUMIFS('Daily Summary(Airtel)'!$H$4:$H$1048576,'Daily Summary(Airtel)'!$B$4:$B$1048576,B37)</f>
        <v>4705</v>
      </c>
      <c r="H37" s="60">
        <f t="shared" si="2"/>
        <v>412.69004000842284</v>
      </c>
      <c r="I37" s="59">
        <f>SUMIFS('Daily Summary(Airtel)'!$M$4:$M$1048576,'Daily Summary(Airtel)'!$B$4:$B$1048576,B37)</f>
        <v>5041</v>
      </c>
      <c r="J37" s="60">
        <f>SUMIFS('Daily Summary(Airtel)'!$N$4:$N$1048576,'Daily Summary(Airtel)'!$B$4:$B$1048576,B37)</f>
        <v>1499549.73</v>
      </c>
      <c r="K37" s="61">
        <f>SUMIFS('Daily Summary(Airtel)'!$O$4:$O$1048576,'Daily Summary(Airtel)'!$B$4:$B$1048576,B37)</f>
        <v>4663</v>
      </c>
      <c r="L37" s="59">
        <v>505561.13999999827</v>
      </c>
      <c r="M37" s="61">
        <v>505561.26999999874</v>
      </c>
      <c r="N37" s="81">
        <v>505561.26999999874</v>
      </c>
      <c r="O37" s="79">
        <v>505561.13999999827</v>
      </c>
    </row>
    <row r="38" spans="1:15" x14ac:dyDescent="0.2">
      <c r="A38" s="18"/>
      <c r="B38" s="48" t="s">
        <v>56</v>
      </c>
      <c r="C38" s="62">
        <v>5</v>
      </c>
      <c r="D38" s="59">
        <f t="shared" si="0"/>
        <v>95788.450000000012</v>
      </c>
      <c r="E38" s="59">
        <f>SUMIFS('Daily Summary(Airtel)'!$F$4:$F$1048576,'Daily Summary(Airtel)'!$B$4:$B$1048576,B38)</f>
        <v>4547</v>
      </c>
      <c r="F38" s="60">
        <f>SUMIFS('Daily Summary(Airtel)'!$G$4:$G$1048576,'Daily Summary(Airtel)'!$B$4:$B$1048576,B38)</f>
        <v>1915769</v>
      </c>
      <c r="G38" s="60">
        <f>SUMIFS('Daily Summary(Airtel)'!$H$4:$H$1048576,'Daily Summary(Airtel)'!$B$4:$B$1048576,B38)</f>
        <v>4482</v>
      </c>
      <c r="H38" s="60">
        <f t="shared" si="2"/>
        <v>421.32592918407744</v>
      </c>
      <c r="I38" s="59">
        <f>SUMIFS('Daily Summary(Airtel)'!$M$4:$M$1048576,'Daily Summary(Airtel)'!$B$4:$B$1048576,B38)</f>
        <v>4741</v>
      </c>
      <c r="J38" s="60">
        <f>SUMIFS('Daily Summary(Airtel)'!$N$4:$N$1048576,'Daily Summary(Airtel)'!$B$4:$B$1048576,B38)</f>
        <v>1435479.4399999997</v>
      </c>
      <c r="K38" s="61">
        <f>SUMIFS('Daily Summary(Airtel)'!$O$4:$O$1048576,'Daily Summary(Airtel)'!$B$4:$B$1048576,B38)</f>
        <v>4383</v>
      </c>
      <c r="L38" s="59">
        <v>520575.61000000057</v>
      </c>
      <c r="M38" s="61">
        <v>520575.60999999993</v>
      </c>
      <c r="N38" s="81">
        <v>520575.60999999993</v>
      </c>
      <c r="O38" s="79">
        <v>520575.61000000057</v>
      </c>
    </row>
    <row r="39" spans="1:15" x14ac:dyDescent="0.2">
      <c r="A39" s="18"/>
      <c r="B39" s="48" t="s">
        <v>68</v>
      </c>
      <c r="C39" s="62"/>
      <c r="D39" s="59">
        <f t="shared" si="0"/>
        <v>83238.25</v>
      </c>
      <c r="E39" s="59">
        <f>SUMIFS('Daily Summary(Airtel)'!$F$4:$F$1048576,'Daily Summary(Airtel)'!$B$4:$B$1048576,B39)</f>
        <v>3794</v>
      </c>
      <c r="F39" s="60">
        <f>SUMIFS('Daily Summary(Airtel)'!$G$4:$G$1048576,'Daily Summary(Airtel)'!$B$4:$B$1048576,B39)</f>
        <v>1664765</v>
      </c>
      <c r="G39" s="60">
        <f>SUMIFS('Daily Summary(Airtel)'!$H$4:$H$1048576,'Daily Summary(Airtel)'!$B$4:$B$1048576,B39)</f>
        <v>3752</v>
      </c>
      <c r="H39" s="60">
        <f t="shared" si="2"/>
        <v>438.788877174486</v>
      </c>
      <c r="I39" s="59">
        <f>SUMIFS('Daily Summary(Airtel)'!$M$4:$M$1048576,'Daily Summary(Airtel)'!$B$4:$B$1048576,B39)</f>
        <v>4183</v>
      </c>
      <c r="J39" s="60">
        <f>SUMIFS('Daily Summary(Airtel)'!$N$4:$N$1048576,'Daily Summary(Airtel)'!$B$4:$B$1048576,B39)</f>
        <v>1308717.7</v>
      </c>
      <c r="K39" s="61">
        <f>SUMIFS('Daily Summary(Airtel)'!$O$4:$O$1048576,'Daily Summary(Airtel)'!$B$4:$B$1048576,B39)</f>
        <v>3826</v>
      </c>
      <c r="L39" s="59">
        <v>385168.73999999958</v>
      </c>
      <c r="M39" s="61">
        <v>385168.73999999976</v>
      </c>
      <c r="N39" s="81">
        <v>385168.73999999976</v>
      </c>
      <c r="O39" s="79">
        <v>385168.73999999958</v>
      </c>
    </row>
    <row r="40" spans="1:15" x14ac:dyDescent="0.2">
      <c r="A40" s="18"/>
      <c r="B40" s="48" t="s">
        <v>57</v>
      </c>
      <c r="C40" s="62">
        <v>1</v>
      </c>
      <c r="D40" s="59">
        <f t="shared" si="0"/>
        <v>94699.55</v>
      </c>
      <c r="E40" s="59">
        <f>SUMIFS('Daily Summary(Airtel)'!$F$4:$F$1048576,'Daily Summary(Airtel)'!$B$4:$B$1048576,B40)</f>
        <v>4290</v>
      </c>
      <c r="F40" s="60">
        <f>SUMIFS('Daily Summary(Airtel)'!$G$4:$G$1048576,'Daily Summary(Airtel)'!$B$4:$B$1048576,B40)</f>
        <v>1893991</v>
      </c>
      <c r="G40" s="60">
        <f>SUMIFS('Daily Summary(Airtel)'!$H$4:$H$1048576,'Daily Summary(Airtel)'!$B$4:$B$1048576,B40)</f>
        <v>4197</v>
      </c>
      <c r="H40" s="60">
        <f t="shared" si="2"/>
        <v>441.48974358974357</v>
      </c>
      <c r="I40" s="59">
        <f>SUMIFS('Daily Summary(Airtel)'!$M$4:$M$1048576,'Daily Summary(Airtel)'!$B$4:$B$1048576,B40)</f>
        <v>4569</v>
      </c>
      <c r="J40" s="60">
        <f>SUMIFS('Daily Summary(Airtel)'!$N$4:$N$1048576,'Daily Summary(Airtel)'!$B$4:$B$1048576,B40)</f>
        <v>1428031.5499999998</v>
      </c>
      <c r="K40" s="61">
        <f>SUMIFS('Daily Summary(Airtel)'!$O$4:$O$1048576,'Daily Summary(Airtel)'!$B$4:$B$1048576,B40)</f>
        <v>4147</v>
      </c>
      <c r="L40" s="59">
        <v>496695.05000000022</v>
      </c>
      <c r="M40" s="61">
        <v>496695.05000000051</v>
      </c>
      <c r="N40" s="81">
        <v>496695.05000000051</v>
      </c>
      <c r="O40" s="79">
        <v>496695.05000000022</v>
      </c>
    </row>
    <row r="41" spans="1:15" x14ac:dyDescent="0.2">
      <c r="A41" s="18"/>
      <c r="B41" s="48" t="s">
        <v>58</v>
      </c>
      <c r="C41" s="62">
        <v>1</v>
      </c>
      <c r="D41" s="59">
        <f t="shared" si="0"/>
        <v>90302.8</v>
      </c>
      <c r="E41" s="59">
        <f>SUMIFS('Daily Summary(Airtel)'!$F$4:$F$1048576,'Daily Summary(Airtel)'!$B$4:$B$1048576,B41)</f>
        <v>4073</v>
      </c>
      <c r="F41" s="60">
        <f>SUMIFS('Daily Summary(Airtel)'!$G$4:$G$1048576,'Daily Summary(Airtel)'!$B$4:$B$1048576,B41)</f>
        <v>1806056</v>
      </c>
      <c r="G41" s="60">
        <f>SUMIFS('Daily Summary(Airtel)'!$H$4:$H$1048576,'Daily Summary(Airtel)'!$B$4:$B$1048576,B41)</f>
        <v>4027</v>
      </c>
      <c r="H41" s="60">
        <f t="shared" si="2"/>
        <v>443.42155659219247</v>
      </c>
      <c r="I41" s="59">
        <f>SUMIFS('Daily Summary(Airtel)'!$M$4:$M$1048576,'Daily Summary(Airtel)'!$B$4:$B$1048576,B41)</f>
        <v>4130</v>
      </c>
      <c r="J41" s="60">
        <f>SUMIFS('Daily Summary(Airtel)'!$N$4:$N$1048576,'Daily Summary(Airtel)'!$B$4:$B$1048576,B41)</f>
        <v>1366407.1899999995</v>
      </c>
      <c r="K41" s="61">
        <f>SUMIFS('Daily Summary(Airtel)'!$O$4:$O$1048576,'Daily Summary(Airtel)'!$B$4:$B$1048576,B41)</f>
        <v>3818</v>
      </c>
      <c r="L41" s="59">
        <v>465453.56000000035</v>
      </c>
      <c r="M41" s="61">
        <v>465453.55999999982</v>
      </c>
      <c r="N41" s="81">
        <v>465453.55999999982</v>
      </c>
      <c r="O41" s="79">
        <v>465453.56000000035</v>
      </c>
    </row>
    <row r="42" spans="1:15" x14ac:dyDescent="0.2">
      <c r="A42" s="18"/>
      <c r="B42" s="48" t="s">
        <v>59</v>
      </c>
      <c r="C42" s="62">
        <v>1</v>
      </c>
      <c r="D42" s="59">
        <f t="shared" si="0"/>
        <v>79459.100000000006</v>
      </c>
      <c r="E42" s="59">
        <f>SUMIFS('Daily Summary(Airtel)'!$F$4:$F$1048576,'Daily Summary(Airtel)'!$B$4:$B$1048576,B42)</f>
        <v>3478</v>
      </c>
      <c r="F42" s="60">
        <f>SUMIFS('Daily Summary(Airtel)'!$G$4:$G$1048576,'Daily Summary(Airtel)'!$B$4:$B$1048576,B42)</f>
        <v>1589182</v>
      </c>
      <c r="G42" s="60">
        <f>SUMIFS('Daily Summary(Airtel)'!$H$4:$H$1048576,'Daily Summary(Airtel)'!$B$4:$B$1048576,B42)</f>
        <v>3418</v>
      </c>
      <c r="H42" s="60">
        <f t="shared" si="2"/>
        <v>456.92409430707301</v>
      </c>
      <c r="I42" s="59">
        <f>SUMIFS('Daily Summary(Airtel)'!$M$4:$M$1048576,'Daily Summary(Airtel)'!$B$4:$B$1048576,B42)</f>
        <v>3616</v>
      </c>
      <c r="J42" s="60">
        <f>SUMIFS('Daily Summary(Airtel)'!$N$4:$N$1048576,'Daily Summary(Airtel)'!$B$4:$B$1048576,B42)</f>
        <v>1228659.3899999999</v>
      </c>
      <c r="K42" s="61">
        <f>SUMIFS('Daily Summary(Airtel)'!$O$4:$O$1048576,'Daily Summary(Airtel)'!$B$4:$B$1048576,B42)</f>
        <v>3342</v>
      </c>
      <c r="L42" s="59">
        <v>378444.06000000029</v>
      </c>
      <c r="M42" s="61">
        <v>378444.06000000023</v>
      </c>
      <c r="N42" s="81">
        <v>378444.06000000023</v>
      </c>
      <c r="O42" s="79">
        <v>378444.06000000029</v>
      </c>
    </row>
    <row r="43" spans="1:15" x14ac:dyDescent="0.2">
      <c r="A43" s="18"/>
      <c r="B43" s="48" t="s">
        <v>60</v>
      </c>
      <c r="C43" s="62"/>
      <c r="D43" s="59">
        <f t="shared" si="0"/>
        <v>90807.05</v>
      </c>
      <c r="E43" s="59">
        <f>SUMIFS('Daily Summary(Airtel)'!$F$4:$F$1048576,'Daily Summary(Airtel)'!$B$4:$B$1048576,B43)</f>
        <v>3924</v>
      </c>
      <c r="F43" s="60">
        <f>SUMIFS('Daily Summary(Airtel)'!$G$4:$G$1048576,'Daily Summary(Airtel)'!$B$4:$B$1048576,B43)</f>
        <v>1816141</v>
      </c>
      <c r="G43" s="60">
        <f>SUMIFS('Daily Summary(Airtel)'!$H$4:$H$1048576,'Daily Summary(Airtel)'!$B$4:$B$1048576,B43)</f>
        <v>3834</v>
      </c>
      <c r="H43" s="60">
        <f t="shared" si="2"/>
        <v>462.82900101936798</v>
      </c>
      <c r="I43" s="59">
        <f>SUMIFS('Daily Summary(Airtel)'!$M$4:$M$1048576,'Daily Summary(Airtel)'!$B$4:$B$1048576,B43)</f>
        <v>3883</v>
      </c>
      <c r="J43" s="60">
        <f>SUMIFS('Daily Summary(Airtel)'!$N$4:$N$1048576,'Daily Summary(Airtel)'!$B$4:$B$1048576,B43)</f>
        <v>1297412.5200000005</v>
      </c>
      <c r="K43" s="61">
        <f>SUMIFS('Daily Summary(Airtel)'!$O$4:$O$1048576,'Daily Summary(Airtel)'!$B$4:$B$1048576,B43)</f>
        <v>3551</v>
      </c>
      <c r="L43" s="59">
        <v>535931.54999999865</v>
      </c>
      <c r="M43" s="61">
        <v>535931.57999999949</v>
      </c>
      <c r="N43" s="81">
        <v>535931.57999999949</v>
      </c>
      <c r="O43" s="79">
        <v>535931.54999999865</v>
      </c>
    </row>
    <row r="44" spans="1:15" x14ac:dyDescent="0.2">
      <c r="A44" s="18"/>
      <c r="B44" s="48" t="s">
        <v>69</v>
      </c>
      <c r="C44" s="62"/>
      <c r="D44" s="59">
        <f t="shared" ref="D44" si="3">5%*F44</f>
        <v>72005.45</v>
      </c>
      <c r="E44" s="59">
        <f>SUMIFS('Daily Summary(Airtel)'!$F$4:$F$1048576,'Daily Summary(Airtel)'!$B$4:$B$1048576,B44)</f>
        <v>2991</v>
      </c>
      <c r="F44" s="60">
        <f>SUMIFS('Daily Summary(Airtel)'!$G$4:$G$1048576,'Daily Summary(Airtel)'!$B$4:$B$1048576,B44)</f>
        <v>1440109</v>
      </c>
      <c r="G44" s="60">
        <f>SUMIFS('Daily Summary(Airtel)'!$H$4:$H$1048576,'Daily Summary(Airtel)'!$B$4:$B$1048576,B44)</f>
        <v>2943</v>
      </c>
      <c r="H44" s="60">
        <f t="shared" ref="H44" si="4">F44/E44</f>
        <v>481.48077566031429</v>
      </c>
      <c r="I44" s="59">
        <f>SUMIFS('Daily Summary(Airtel)'!$M$4:$M$1048576,'Daily Summary(Airtel)'!$B$4:$B$1048576,B44)</f>
        <v>2827</v>
      </c>
      <c r="J44" s="60">
        <f>SUMIFS('Daily Summary(Airtel)'!$N$4:$N$1048576,'Daily Summary(Airtel)'!$B$4:$B$1048576,B44)</f>
        <v>998535.86999999988</v>
      </c>
      <c r="K44" s="61">
        <f>SUMIFS('Daily Summary(Airtel)'!$O$4:$O$1048576,'Daily Summary(Airtel)'!$B$4:$B$1048576,B44)</f>
        <v>2552</v>
      </c>
      <c r="L44" s="59">
        <v>451822.29000000021</v>
      </c>
      <c r="M44" s="61">
        <v>451822.29000000027</v>
      </c>
      <c r="N44" s="81">
        <v>451822.29000000027</v>
      </c>
      <c r="O44" s="79">
        <v>451822.29000000021</v>
      </c>
    </row>
    <row r="45" spans="1:15" ht="13.5" thickBot="1" x14ac:dyDescent="0.25">
      <c r="A45" s="18"/>
      <c r="B45" s="48" t="s">
        <v>72</v>
      </c>
      <c r="C45" s="62"/>
      <c r="D45" s="59">
        <f t="shared" si="0"/>
        <v>72495.100000000006</v>
      </c>
      <c r="E45" s="59">
        <f>SUMIFS('Daily Summary(Airtel)'!$F$4:$F$1048576,'Daily Summary(Airtel)'!$B$4:$B$1048576,B45)</f>
        <v>2863</v>
      </c>
      <c r="F45" s="60">
        <f>SUMIFS('Daily Summary(Airtel)'!$G$4:$G$1048576,'Daily Summary(Airtel)'!$B$4:$B$1048576,B45)</f>
        <v>1449902</v>
      </c>
      <c r="G45" s="60">
        <f>SUMIFS('Daily Summary(Airtel)'!$H$4:$H$1048576,'Daily Summary(Airtel)'!$B$4:$B$1048576,B45)</f>
        <v>2846</v>
      </c>
      <c r="H45" s="60">
        <f t="shared" si="2"/>
        <v>506.42752357666785</v>
      </c>
      <c r="I45" s="59">
        <f>SUMIFS('Daily Summary(Airtel)'!$M$4:$M$1048576,'Daily Summary(Airtel)'!$B$4:$B$1048576,B45)</f>
        <v>2088</v>
      </c>
      <c r="J45" s="60">
        <f>SUMIFS('Daily Summary(Airtel)'!$N$4:$N$1048576,'Daily Summary(Airtel)'!$B$4:$B$1048576,B45)</f>
        <v>739632.63</v>
      </c>
      <c r="K45" s="61">
        <f>SUMIFS('Daily Summary(Airtel)'!$O$4:$O$1048576,'Daily Summary(Airtel)'!$B$4:$B$1048576,B45)</f>
        <v>1877</v>
      </c>
      <c r="L45" s="59">
        <v>165913.23000000007</v>
      </c>
      <c r="M45" s="61">
        <v>707661.2900000012</v>
      </c>
      <c r="N45" s="81">
        <v>707661.2900000012</v>
      </c>
      <c r="O45" s="79">
        <v>165913.23000000007</v>
      </c>
    </row>
    <row r="46" spans="1:15" s="70" customFormat="1" ht="13.5" thickBot="1" x14ac:dyDescent="0.25">
      <c r="A46" s="72"/>
      <c r="B46" s="19" t="s">
        <v>71</v>
      </c>
      <c r="C46" s="63">
        <v>1180338</v>
      </c>
      <c r="D46" s="64">
        <f>SUM(D5:D45)</f>
        <v>34577387.894499987</v>
      </c>
      <c r="E46" s="65">
        <f>SUM(E5:E45)</f>
        <v>1416450</v>
      </c>
      <c r="F46" s="65">
        <f>SUM(F5:F45)</f>
        <v>691547757.88999999</v>
      </c>
      <c r="G46" s="66">
        <v>1407852</v>
      </c>
      <c r="H46" s="67">
        <f t="shared" si="2"/>
        <v>488.22602837375126</v>
      </c>
      <c r="I46" s="65">
        <f>SUM(I5:I45)</f>
        <v>683601</v>
      </c>
      <c r="J46" s="65">
        <f>SUM(J5:J45)</f>
        <v>219310025.88999999</v>
      </c>
      <c r="K46" s="67">
        <v>209436</v>
      </c>
      <c r="L46" s="71">
        <f>SUM(L5:L45)</f>
        <v>616744845.97999954</v>
      </c>
      <c r="M46" s="67">
        <f>SUM(M5:M45)</f>
        <v>617286618.62000012</v>
      </c>
      <c r="N46" s="82">
        <v>375702.27999999869</v>
      </c>
      <c r="O46" s="82"/>
    </row>
    <row r="47" spans="1:15" x14ac:dyDescent="0.2">
      <c r="M47" s="20"/>
    </row>
    <row r="49" spans="7:7" ht="13.5" x14ac:dyDescent="0.25">
      <c r="G49" s="21"/>
    </row>
  </sheetData>
  <mergeCells count="3">
    <mergeCell ref="E3:H3"/>
    <mergeCell ref="I3:K3"/>
    <mergeCell ref="L3:M3"/>
  </mergeCells>
  <pageMargins left="0.7" right="0.7" top="0.75" bottom="0.75" header="0.3" footer="0.3"/>
  <pageSetup orientation="portrait" r:id="rId1"/>
  <headerFooter>
    <oddFooter>&amp;R_x000D_&amp;1#&amp;"Aptos"&amp;10&amp;K000000 C2 - Safaricom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0C36-07CA-4890-A912-4A06556D6676}">
  <sheetPr codeName="Sheet2">
    <tabColor rgb="FF00B050"/>
  </sheetPr>
  <dimension ref="A2:N4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defaultColWidth="8.7109375" defaultRowHeight="12.75" x14ac:dyDescent="0.2"/>
  <cols>
    <col min="1" max="1" width="8.7109375" style="1"/>
    <col min="2" max="2" width="11" style="1" bestFit="1" customWidth="1"/>
    <col min="3" max="3" width="13.140625" style="4" bestFit="1" customWidth="1"/>
    <col min="4" max="4" width="19.42578125" style="4" bestFit="1" customWidth="1"/>
    <col min="5" max="5" width="11.5703125" style="4" bestFit="1" customWidth="1"/>
    <col min="6" max="6" width="14.28515625" style="4" bestFit="1" customWidth="1"/>
    <col min="7" max="7" width="13.140625" style="4" bestFit="1" customWidth="1"/>
    <col min="8" max="8" width="15.85546875" style="4" customWidth="1"/>
    <col min="9" max="9" width="10.5703125" style="4" bestFit="1" customWidth="1"/>
    <col min="10" max="10" width="14.28515625" style="4" bestFit="1" customWidth="1"/>
    <col min="11" max="11" width="13.140625" style="4" bestFit="1" customWidth="1"/>
    <col min="12" max="13" width="14.28515625" style="4" bestFit="1" customWidth="1"/>
    <col min="14" max="16384" width="8.7109375" style="1"/>
  </cols>
  <sheetData>
    <row r="2" spans="1:14" ht="13.5" thickBot="1" x14ac:dyDescent="0.25">
      <c r="B2" s="2" t="s">
        <v>0</v>
      </c>
      <c r="C2" s="3"/>
      <c r="L2" s="5"/>
      <c r="M2" s="5"/>
    </row>
    <row r="3" spans="1:14" x14ac:dyDescent="0.2">
      <c r="B3" s="6"/>
      <c r="C3" s="7" t="s">
        <v>61</v>
      </c>
      <c r="D3" s="8" t="s">
        <v>62</v>
      </c>
      <c r="E3" s="116" t="s">
        <v>63</v>
      </c>
      <c r="F3" s="117"/>
      <c r="G3" s="117"/>
      <c r="H3" s="118"/>
      <c r="I3" s="119" t="s">
        <v>64</v>
      </c>
      <c r="J3" s="120"/>
      <c r="K3" s="120"/>
      <c r="L3" s="119" t="s">
        <v>65</v>
      </c>
      <c r="M3" s="121"/>
    </row>
    <row r="4" spans="1:14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4</v>
      </c>
      <c r="G4" s="12" t="s">
        <v>6</v>
      </c>
      <c r="H4" s="13" t="s">
        <v>7</v>
      </c>
      <c r="I4" s="14" t="s">
        <v>5</v>
      </c>
      <c r="J4" s="15" t="s">
        <v>4</v>
      </c>
      <c r="K4" s="16" t="s">
        <v>6</v>
      </c>
      <c r="L4" s="14" t="s">
        <v>8</v>
      </c>
      <c r="M4" s="16" t="s">
        <v>9</v>
      </c>
    </row>
    <row r="5" spans="1:14" x14ac:dyDescent="0.2">
      <c r="B5" s="47" t="s">
        <v>25</v>
      </c>
      <c r="C5" s="58">
        <v>11331</v>
      </c>
      <c r="D5" s="59">
        <f>5%*F5</f>
        <v>23282.050000000003</v>
      </c>
      <c r="E5" s="59">
        <f>SUMIFS('Daily Summary(Telkom)'!$F$4:$F$1048576,'Daily Summary(Telkom)'!$B$4:$B$1048576,B5)</f>
        <v>966</v>
      </c>
      <c r="F5" s="60">
        <f>SUMIFS('Daily Summary(Telkom)'!$G$4:$G$1048576,'Daily Summary(Telkom)'!$B$4:$B$1048576,B5)</f>
        <v>465641</v>
      </c>
      <c r="G5" s="60">
        <f>SUMIFS('Daily Summary(Telkom)'!$H$4:$H$1048576,'Daily Summary(Telkom)'!$B$4:$B$1048576,B5)</f>
        <v>956</v>
      </c>
      <c r="H5" s="60">
        <f>F5/E5</f>
        <v>482.03002070393376</v>
      </c>
      <c r="I5" s="59">
        <f>SUMIFS('Daily Summary(Telkom)'!$M$4:$M$1048576,'Daily Summary(Telkom)'!$B$4:$B$1048576,B5)</f>
        <v>326</v>
      </c>
      <c r="J5" s="60">
        <f>SUMIFS('Daily Summary(Telkom)'!$N$4:$N$1048576,'Daily Summary(Telkom)'!$B$4:$B$1048576,B5)</f>
        <v>116514.92</v>
      </c>
      <c r="K5" s="61">
        <f>SUMIFS('Daily Summary(Telkom)'!$O$4:$O$1048576,'Daily Summary(Telkom)'!$B$4:$B$1048576,B5)</f>
        <v>299</v>
      </c>
      <c r="L5" s="59">
        <f>SUMIFS('Daily Summary(Telkom)'!$S$4:$S$1048576,'Daily Summary(Telkom)'!$B$4:$B$1048576,B5)</f>
        <v>462182.85</v>
      </c>
      <c r="M5" s="61">
        <f>SUMIFS('Daily Summary(Telkom)'!$J$4:$J$1048576,'Daily Summary(Telkom)'!$B$4:$B$1048576,B5)</f>
        <v>462184.39</v>
      </c>
      <c r="N5" s="5"/>
    </row>
    <row r="6" spans="1:14" x14ac:dyDescent="0.2">
      <c r="B6" s="47" t="s">
        <v>26</v>
      </c>
      <c r="C6" s="58">
        <v>128192</v>
      </c>
      <c r="D6" s="59">
        <f t="shared" ref="D6:D42" si="0">5%*F6</f>
        <v>2141127.1170000001</v>
      </c>
      <c r="E6" s="59">
        <f>SUMIFS('Daily Summary(Telkom)'!$F$4:$F$1048576,'Daily Summary(Telkom)'!$B$4:$B$1048576,B6)</f>
        <v>86945</v>
      </c>
      <c r="F6" s="60">
        <f>SUMIFS('Daily Summary(Telkom)'!$G$4:$G$1048576,'Daily Summary(Telkom)'!$B$4:$B$1048576,B6)</f>
        <v>42822542.340000004</v>
      </c>
      <c r="G6" s="60">
        <f>SUMIFS('Daily Summary(Telkom)'!$H$4:$H$1048576,'Daily Summary(Telkom)'!$B$4:$B$1048576,B6)</f>
        <v>86526</v>
      </c>
      <c r="H6" s="60">
        <f t="shared" ref="H6:H42" si="1">F6/E6</f>
        <v>492.52449640577379</v>
      </c>
      <c r="I6" s="59">
        <f>SUMIFS('Daily Summary(Telkom)'!$M$4:$M$1048576,'Daily Summary(Telkom)'!$B$4:$B$1048576,B6)</f>
        <v>8644</v>
      </c>
      <c r="J6" s="60">
        <f>SUMIFS('Daily Summary(Telkom)'!$N$4:$N$1048576,'Daily Summary(Telkom)'!$B$4:$B$1048576,B6)</f>
        <v>3159515.4200000004</v>
      </c>
      <c r="K6" s="61">
        <f>SUMIFS('Daily Summary(Telkom)'!$O$4:$O$1048576,'Daily Summary(Telkom)'!$B$4:$B$1048576,B6)</f>
        <v>8028</v>
      </c>
      <c r="L6" s="59">
        <f>SUMIFS('Daily Summary(Telkom)'!$S$4:$S$1048576,'Daily Summary(Telkom)'!$B$4:$B$1048576,B6)</f>
        <v>52276199.939999998</v>
      </c>
      <c r="M6" s="61">
        <f>SUMIFS('Daily Summary(Telkom)'!$J$4:$J$1048576,'Daily Summary(Telkom)'!$B$4:$B$1048576,B6)</f>
        <v>52276200.18</v>
      </c>
      <c r="N6" s="17"/>
    </row>
    <row r="7" spans="1:14" x14ac:dyDescent="0.2">
      <c r="B7" s="47" t="s">
        <v>27</v>
      </c>
      <c r="C7" s="58">
        <v>1504</v>
      </c>
      <c r="D7" s="59">
        <f t="shared" si="0"/>
        <v>93495.675000000003</v>
      </c>
      <c r="E7" s="59">
        <f>SUMIFS('Daily Summary(Telkom)'!$F$4:$F$1048576,'Daily Summary(Telkom)'!$B$4:$B$1048576,B7)</f>
        <v>3951</v>
      </c>
      <c r="F7" s="60">
        <f>SUMIFS('Daily Summary(Telkom)'!$G$4:$G$1048576,'Daily Summary(Telkom)'!$B$4:$B$1048576,B7)</f>
        <v>1869913.5</v>
      </c>
      <c r="G7" s="60">
        <f>SUMIFS('Daily Summary(Telkom)'!$H$4:$H$1048576,'Daily Summary(Telkom)'!$B$4:$B$1048576,B7)</f>
        <v>3899</v>
      </c>
      <c r="H7" s="60">
        <f t="shared" si="1"/>
        <v>473.27600607441155</v>
      </c>
      <c r="I7" s="59">
        <f>SUMIFS('Daily Summary(Telkom)'!$M$4:$M$1048576,'Daily Summary(Telkom)'!$B$4:$B$1048576,B7)</f>
        <v>1841</v>
      </c>
      <c r="J7" s="60">
        <f>SUMIFS('Daily Summary(Telkom)'!$N$4:$N$1048576,'Daily Summary(Telkom)'!$B$4:$B$1048576,B7)</f>
        <v>729981.32000000007</v>
      </c>
      <c r="K7" s="61">
        <f>SUMIFS('Daily Summary(Telkom)'!$O$4:$O$1048576,'Daily Summary(Telkom)'!$B$4:$B$1048576,B7)</f>
        <v>1734</v>
      </c>
      <c r="L7" s="59">
        <f>SUMIFS('Daily Summary(Telkom)'!$S$4:$S$1048576,'Daily Summary(Telkom)'!$B$4:$B$1048576,B7)</f>
        <v>1508638.4300000004</v>
      </c>
      <c r="M7" s="61">
        <f>SUMIFS('Daily Summary(Telkom)'!$J$4:$J$1048576,'Daily Summary(Telkom)'!$B$4:$B$1048576,B7)</f>
        <v>1508638.4300000006</v>
      </c>
      <c r="N7" s="17"/>
    </row>
    <row r="8" spans="1:14" x14ac:dyDescent="0.2">
      <c r="B8" s="47" t="s">
        <v>28</v>
      </c>
      <c r="C8" s="58">
        <v>1161</v>
      </c>
      <c r="D8" s="59">
        <f t="shared" si="0"/>
        <v>81393.339000000007</v>
      </c>
      <c r="E8" s="59">
        <f>SUMIFS('Daily Summary(Telkom)'!$F$4:$F$1048576,'Daily Summary(Telkom)'!$B$4:$B$1048576,B8)</f>
        <v>3241</v>
      </c>
      <c r="F8" s="60">
        <f>SUMIFS('Daily Summary(Telkom)'!$G$4:$G$1048576,'Daily Summary(Telkom)'!$B$4:$B$1048576,B8)</f>
        <v>1627866.78</v>
      </c>
      <c r="G8" s="60">
        <f>SUMIFS('Daily Summary(Telkom)'!$H$4:$H$1048576,'Daily Summary(Telkom)'!$B$4:$B$1048576,B8)</f>
        <v>3203</v>
      </c>
      <c r="H8" s="60">
        <f t="shared" si="1"/>
        <v>502.27299598889232</v>
      </c>
      <c r="I8" s="59">
        <f>SUMIFS('Daily Summary(Telkom)'!$M$4:$M$1048576,'Daily Summary(Telkom)'!$B$4:$B$1048576,B8)</f>
        <v>1896</v>
      </c>
      <c r="J8" s="60">
        <f>SUMIFS('Daily Summary(Telkom)'!$N$4:$N$1048576,'Daily Summary(Telkom)'!$B$4:$B$1048576,B8)</f>
        <v>773134.04000000015</v>
      </c>
      <c r="K8" s="61">
        <f>SUMIFS('Daily Summary(Telkom)'!$O$4:$O$1048576,'Daily Summary(Telkom)'!$B$4:$B$1048576,B8)</f>
        <v>1735</v>
      </c>
      <c r="L8" s="59">
        <f>SUMIFS('Daily Summary(Telkom)'!$S$4:$S$1048576,'Daily Summary(Telkom)'!$B$4:$B$1048576,B8)</f>
        <v>1124352.7600000002</v>
      </c>
      <c r="M8" s="61">
        <f>SUMIFS('Daily Summary(Telkom)'!$J$4:$J$1048576,'Daily Summary(Telkom)'!$B$4:$B$1048576,B8)</f>
        <v>1124352.7600000002</v>
      </c>
      <c r="N8" s="17"/>
    </row>
    <row r="9" spans="1:14" x14ac:dyDescent="0.2">
      <c r="B9" s="47" t="s">
        <v>29</v>
      </c>
      <c r="C9" s="58">
        <v>3828</v>
      </c>
      <c r="D9" s="59">
        <f t="shared" si="0"/>
        <v>112463.40000000001</v>
      </c>
      <c r="E9" s="59">
        <f>SUMIFS('Daily Summary(Telkom)'!$F$4:$F$1048576,'Daily Summary(Telkom)'!$B$4:$B$1048576,B9)</f>
        <v>4335</v>
      </c>
      <c r="F9" s="60">
        <f>SUMIFS('Daily Summary(Telkom)'!$G$4:$G$1048576,'Daily Summary(Telkom)'!$B$4:$B$1048576,B9)</f>
        <v>2249268</v>
      </c>
      <c r="G9" s="60">
        <f>SUMIFS('Daily Summary(Telkom)'!$H$4:$H$1048576,'Daily Summary(Telkom)'!$B$4:$B$1048576,B9)</f>
        <v>4305</v>
      </c>
      <c r="H9" s="60">
        <f t="shared" si="1"/>
        <v>518.8622837370242</v>
      </c>
      <c r="I9" s="59">
        <f>SUMIFS('Daily Summary(Telkom)'!$M$4:$M$1048576,'Daily Summary(Telkom)'!$B$4:$B$1048576,B9)</f>
        <v>2257</v>
      </c>
      <c r="J9" s="60">
        <f>SUMIFS('Daily Summary(Telkom)'!$N$4:$N$1048576,'Daily Summary(Telkom)'!$B$4:$B$1048576,B9)</f>
        <v>864262.48</v>
      </c>
      <c r="K9" s="61">
        <f>SUMIFS('Daily Summary(Telkom)'!$O$4:$O$1048576,'Daily Summary(Telkom)'!$B$4:$B$1048576,B9)</f>
        <v>2059</v>
      </c>
      <c r="L9" s="59">
        <f>SUMIFS('Daily Summary(Telkom)'!$S$4:$S$1048576,'Daily Summary(Telkom)'!$B$4:$B$1048576,B9)</f>
        <v>1809800.2100000002</v>
      </c>
      <c r="M9" s="61">
        <f>SUMIFS('Daily Summary(Telkom)'!$J$4:$J$1048576,'Daily Summary(Telkom)'!$B$4:$B$1048576,B9)</f>
        <v>1809801.4400000002</v>
      </c>
      <c r="N9" s="17"/>
    </row>
    <row r="10" spans="1:14" x14ac:dyDescent="0.2">
      <c r="B10" s="47" t="s">
        <v>30</v>
      </c>
      <c r="C10" s="58">
        <v>1710</v>
      </c>
      <c r="D10" s="59">
        <f t="shared" si="0"/>
        <v>71652.75</v>
      </c>
      <c r="E10" s="59">
        <f>SUMIFS('Daily Summary(Telkom)'!$F$4:$F$1048576,'Daily Summary(Telkom)'!$B$4:$B$1048576,B10)</f>
        <v>2750</v>
      </c>
      <c r="F10" s="60">
        <f>SUMIFS('Daily Summary(Telkom)'!$G$4:$G$1048576,'Daily Summary(Telkom)'!$B$4:$B$1048576,B10)</f>
        <v>1433055</v>
      </c>
      <c r="G10" s="60">
        <f>SUMIFS('Daily Summary(Telkom)'!$H$4:$H$1048576,'Daily Summary(Telkom)'!$B$4:$B$1048576,B10)</f>
        <v>2744</v>
      </c>
      <c r="H10" s="60">
        <f t="shared" si="1"/>
        <v>521.1109090909091</v>
      </c>
      <c r="I10" s="59">
        <f>SUMIFS('Daily Summary(Telkom)'!$M$4:$M$1048576,'Daily Summary(Telkom)'!$B$4:$B$1048576,B10)</f>
        <v>1420</v>
      </c>
      <c r="J10" s="60">
        <f>SUMIFS('Daily Summary(Telkom)'!$N$4:$N$1048576,'Daily Summary(Telkom)'!$B$4:$B$1048576,B10)</f>
        <v>573488.16000000015</v>
      </c>
      <c r="K10" s="61">
        <f>SUMIFS('Daily Summary(Telkom)'!$O$4:$O$1048576,'Daily Summary(Telkom)'!$B$4:$B$1048576,B10)</f>
        <v>1295</v>
      </c>
      <c r="L10" s="59">
        <f>SUMIFS('Daily Summary(Telkom)'!$S$4:$S$1048576,'Daily Summary(Telkom)'!$B$4:$B$1048576,B10)</f>
        <v>1114705.6500000001</v>
      </c>
      <c r="M10" s="61">
        <f>SUMIFS('Daily Summary(Telkom)'!$J$4:$J$1048576,'Daily Summary(Telkom)'!$B$4:$B$1048576,B10)</f>
        <v>1114705.78</v>
      </c>
      <c r="N10" s="17"/>
    </row>
    <row r="11" spans="1:14" x14ac:dyDescent="0.2">
      <c r="B11" s="47" t="s">
        <v>31</v>
      </c>
      <c r="C11" s="58">
        <v>862</v>
      </c>
      <c r="D11" s="59">
        <f t="shared" si="0"/>
        <v>51225.700000000004</v>
      </c>
      <c r="E11" s="59">
        <f>SUMIFS('Daily Summary(Telkom)'!$F$4:$F$1048576,'Daily Summary(Telkom)'!$B$4:$B$1048576,B11)</f>
        <v>1907</v>
      </c>
      <c r="F11" s="60">
        <f>SUMIFS('Daily Summary(Telkom)'!$G$4:$G$1048576,'Daily Summary(Telkom)'!$B$4:$B$1048576,B11)</f>
        <v>1024514</v>
      </c>
      <c r="G11" s="60">
        <f>SUMIFS('Daily Summary(Telkom)'!$H$4:$H$1048576,'Daily Summary(Telkom)'!$B$4:$B$1048576,B11)</f>
        <v>1904</v>
      </c>
      <c r="H11" s="60">
        <f t="shared" si="1"/>
        <v>537.23859465128476</v>
      </c>
      <c r="I11" s="59">
        <f>SUMIFS('Daily Summary(Telkom)'!$M$4:$M$1048576,'Daily Summary(Telkom)'!$B$4:$B$1048576,B11)</f>
        <v>1121</v>
      </c>
      <c r="J11" s="60">
        <f>SUMIFS('Daily Summary(Telkom)'!$N$4:$N$1048576,'Daily Summary(Telkom)'!$B$4:$B$1048576,B11)</f>
        <v>478666.68000000005</v>
      </c>
      <c r="K11" s="61">
        <f>SUMIFS('Daily Summary(Telkom)'!$O$4:$O$1048576,'Daily Summary(Telkom)'!$B$4:$B$1048576,B11)</f>
        <v>1036</v>
      </c>
      <c r="L11" s="59">
        <f>SUMIFS('Daily Summary(Telkom)'!$S$4:$S$1048576,'Daily Summary(Telkom)'!$B$4:$B$1048576,B11)</f>
        <v>704049.81</v>
      </c>
      <c r="M11" s="61">
        <f>SUMIFS('Daily Summary(Telkom)'!$J$4:$J$1048576,'Daily Summary(Telkom)'!$B$4:$B$1048576,B11)</f>
        <v>704049.81</v>
      </c>
      <c r="N11" s="17"/>
    </row>
    <row r="12" spans="1:14" x14ac:dyDescent="0.2">
      <c r="B12" s="47" t="s">
        <v>32</v>
      </c>
      <c r="C12" s="58">
        <v>1182</v>
      </c>
      <c r="D12" s="59">
        <f t="shared" si="0"/>
        <v>48002.400000000001</v>
      </c>
      <c r="E12" s="59">
        <f>SUMIFS('Daily Summary(Telkom)'!$F$4:$F$1048576,'Daily Summary(Telkom)'!$B$4:$B$1048576,B12)</f>
        <v>1820</v>
      </c>
      <c r="F12" s="60">
        <f>SUMIFS('Daily Summary(Telkom)'!$G$4:$G$1048576,'Daily Summary(Telkom)'!$B$4:$B$1048576,B12)</f>
        <v>960048</v>
      </c>
      <c r="G12" s="60">
        <f>SUMIFS('Daily Summary(Telkom)'!$H$4:$H$1048576,'Daily Summary(Telkom)'!$B$4:$B$1048576,B12)</f>
        <v>1819</v>
      </c>
      <c r="H12" s="60">
        <f t="shared" si="1"/>
        <v>527.49890109890111</v>
      </c>
      <c r="I12" s="59">
        <f>SUMIFS('Daily Summary(Telkom)'!$M$4:$M$1048576,'Daily Summary(Telkom)'!$B$4:$B$1048576,B12)</f>
        <v>1051</v>
      </c>
      <c r="J12" s="60">
        <f>SUMIFS('Daily Summary(Telkom)'!$N$4:$N$1048576,'Daily Summary(Telkom)'!$B$4:$B$1048576,B12)</f>
        <v>429820.11</v>
      </c>
      <c r="K12" s="61">
        <f>SUMIFS('Daily Summary(Telkom)'!$O$4:$O$1048576,'Daily Summary(Telkom)'!$B$4:$B$1048576,B12)</f>
        <v>980</v>
      </c>
      <c r="L12" s="59">
        <f>SUMIFS('Daily Summary(Telkom)'!$S$4:$S$1048576,'Daily Summary(Telkom)'!$B$4:$B$1048576,B12)</f>
        <v>681872.53</v>
      </c>
      <c r="M12" s="61">
        <f>SUMIFS('Daily Summary(Telkom)'!$J$4:$J$1048576,'Daily Summary(Telkom)'!$B$4:$B$1048576,B12)</f>
        <v>681872.53</v>
      </c>
      <c r="N12" s="17"/>
    </row>
    <row r="13" spans="1:14" x14ac:dyDescent="0.2">
      <c r="B13" s="47" t="s">
        <v>33</v>
      </c>
      <c r="C13" s="58">
        <v>457</v>
      </c>
      <c r="D13" s="59">
        <f t="shared" si="0"/>
        <v>26453.100000000002</v>
      </c>
      <c r="E13" s="59">
        <f>SUMIFS('Daily Summary(Telkom)'!$F$4:$F$1048576,'Daily Summary(Telkom)'!$B$4:$B$1048576,B13)</f>
        <v>966</v>
      </c>
      <c r="F13" s="60">
        <f>SUMIFS('Daily Summary(Telkom)'!$G$4:$G$1048576,'Daily Summary(Telkom)'!$B$4:$B$1048576,B13)</f>
        <v>529062</v>
      </c>
      <c r="G13" s="60">
        <f>SUMIFS('Daily Summary(Telkom)'!$H$4:$H$1048576,'Daily Summary(Telkom)'!$B$4:$B$1048576,B13)</f>
        <v>964</v>
      </c>
      <c r="H13" s="60">
        <f t="shared" si="1"/>
        <v>547.68322981366464</v>
      </c>
      <c r="I13" s="59">
        <f>SUMIFS('Daily Summary(Telkom)'!$M$4:$M$1048576,'Daily Summary(Telkom)'!$B$4:$B$1048576,B13)</f>
        <v>668</v>
      </c>
      <c r="J13" s="60">
        <f>SUMIFS('Daily Summary(Telkom)'!$N$4:$N$1048576,'Daily Summary(Telkom)'!$B$4:$B$1048576,B13)</f>
        <v>296085.45999999996</v>
      </c>
      <c r="K13" s="61">
        <f>SUMIFS('Daily Summary(Telkom)'!$O$4:$O$1048576,'Daily Summary(Telkom)'!$B$4:$B$1048576,B13)</f>
        <v>631</v>
      </c>
      <c r="L13" s="59">
        <f>SUMIFS('Daily Summary(Telkom)'!$S$4:$S$1048576,'Daily Summary(Telkom)'!$B$4:$B$1048576,B13)</f>
        <v>297447.2099999999</v>
      </c>
      <c r="M13" s="61">
        <f>SUMIFS('Daily Summary(Telkom)'!$J$4:$J$1048576,'Daily Summary(Telkom)'!$B$4:$B$1048576,B13)</f>
        <v>297447.2099999999</v>
      </c>
      <c r="N13" s="17"/>
    </row>
    <row r="14" spans="1:14" x14ac:dyDescent="0.2">
      <c r="A14" s="18"/>
      <c r="B14" s="48" t="s">
        <v>34</v>
      </c>
      <c r="C14" s="58">
        <v>464</v>
      </c>
      <c r="D14" s="59">
        <f t="shared" si="0"/>
        <v>23755.850000000002</v>
      </c>
      <c r="E14" s="59">
        <f>SUMIFS('Daily Summary(Telkom)'!$F$4:$F$1048576,'Daily Summary(Telkom)'!$B$4:$B$1048576,B14)</f>
        <v>879</v>
      </c>
      <c r="F14" s="60">
        <f>SUMIFS('Daily Summary(Telkom)'!$G$4:$G$1048576,'Daily Summary(Telkom)'!$B$4:$B$1048576,B14)</f>
        <v>475117</v>
      </c>
      <c r="G14" s="60">
        <f>SUMIFS('Daily Summary(Telkom)'!$H$4:$H$1048576,'Daily Summary(Telkom)'!$B$4:$B$1048576,B14)</f>
        <v>871</v>
      </c>
      <c r="H14" s="60">
        <f t="shared" si="1"/>
        <v>540.51990898748579</v>
      </c>
      <c r="I14" s="59">
        <f>SUMIFS('Daily Summary(Telkom)'!$M$4:$M$1048576,'Daily Summary(Telkom)'!$B$4:$B$1048576,B14)</f>
        <v>535</v>
      </c>
      <c r="J14" s="60">
        <f>SUMIFS('Daily Summary(Telkom)'!$N$4:$N$1048576,'Daily Summary(Telkom)'!$B$4:$B$1048576,B14)</f>
        <v>240428.75999999998</v>
      </c>
      <c r="K14" s="61">
        <f>SUMIFS('Daily Summary(Telkom)'!$O$4:$O$1048576,'Daily Summary(Telkom)'!$B$4:$B$1048576,B14)</f>
        <v>496</v>
      </c>
      <c r="L14" s="59">
        <f>SUMIFS('Daily Summary(Telkom)'!$S$4:$S$1048576,'Daily Summary(Telkom)'!$B$4:$B$1048576,B14)</f>
        <v>297083.66000000003</v>
      </c>
      <c r="M14" s="61">
        <f>SUMIFS('Daily Summary(Telkom)'!$J$4:$J$1048576,'Daily Summary(Telkom)'!$B$4:$B$1048576,B14)</f>
        <v>297083.66000000003</v>
      </c>
      <c r="N14" s="17"/>
    </row>
    <row r="15" spans="1:14" x14ac:dyDescent="0.2">
      <c r="A15" s="18"/>
      <c r="B15" s="48" t="s">
        <v>66</v>
      </c>
      <c r="C15" s="58">
        <v>457</v>
      </c>
      <c r="D15" s="59">
        <f t="shared" si="0"/>
        <v>20896.95</v>
      </c>
      <c r="E15" s="59">
        <f>SUMIFS('Daily Summary(Telkom)'!$F$4:$F$1048576,'Daily Summary(Telkom)'!$B$4:$B$1048576,B15)</f>
        <v>772</v>
      </c>
      <c r="F15" s="60">
        <f>SUMIFS('Daily Summary(Telkom)'!$G$4:$G$1048576,'Daily Summary(Telkom)'!$B$4:$B$1048576,B15)</f>
        <v>417939</v>
      </c>
      <c r="G15" s="60">
        <f>SUMIFS('Daily Summary(Telkom)'!$H$4:$H$1048576,'Daily Summary(Telkom)'!$B$4:$B$1048576,B15)</f>
        <v>769</v>
      </c>
      <c r="H15" s="60">
        <f t="shared" si="1"/>
        <v>541.37176165803112</v>
      </c>
      <c r="I15" s="59">
        <f>SUMIFS('Daily Summary(Telkom)'!$M$4:$M$1048576,'Daily Summary(Telkom)'!$B$4:$B$1048576,B15)</f>
        <v>484</v>
      </c>
      <c r="J15" s="60">
        <f>SUMIFS('Daily Summary(Telkom)'!$N$4:$N$1048576,'Daily Summary(Telkom)'!$B$4:$B$1048576,B15)</f>
        <v>225778.86000000002</v>
      </c>
      <c r="K15" s="61">
        <f>SUMIFS('Daily Summary(Telkom)'!$O$4:$O$1048576,'Daily Summary(Telkom)'!$B$4:$B$1048576,B15)</f>
        <v>462</v>
      </c>
      <c r="L15" s="59">
        <f>SUMIFS('Daily Summary(Telkom)'!$S$4:$S$1048576,'Daily Summary(Telkom)'!$B$4:$B$1048576,B15)</f>
        <v>242188.65</v>
      </c>
      <c r="M15" s="61">
        <f>SUMIFS('Daily Summary(Telkom)'!$J$4:$J$1048576,'Daily Summary(Telkom)'!$B$4:$B$1048576,B15)</f>
        <v>242188.65</v>
      </c>
      <c r="N15" s="17"/>
    </row>
    <row r="16" spans="1:14" x14ac:dyDescent="0.2">
      <c r="A16" s="18"/>
      <c r="B16" s="48" t="s">
        <v>35</v>
      </c>
      <c r="C16" s="58">
        <v>445</v>
      </c>
      <c r="D16" s="59">
        <f t="shared" si="0"/>
        <v>20111.25</v>
      </c>
      <c r="E16" s="59">
        <f>SUMIFS('Daily Summary(Telkom)'!$F$4:$F$1048576,'Daily Summary(Telkom)'!$B$4:$B$1048576,B16)</f>
        <v>741</v>
      </c>
      <c r="F16" s="60">
        <f>SUMIFS('Daily Summary(Telkom)'!$G$4:$G$1048576,'Daily Summary(Telkom)'!$B$4:$B$1048576,B16)</f>
        <v>402225</v>
      </c>
      <c r="G16" s="60">
        <f>SUMIFS('Daily Summary(Telkom)'!$H$4:$H$1048576,'Daily Summary(Telkom)'!$B$4:$B$1048576,B16)</f>
        <v>741</v>
      </c>
      <c r="H16" s="60">
        <f t="shared" si="1"/>
        <v>542.81376518218622</v>
      </c>
      <c r="I16" s="59">
        <f>SUMIFS('Daily Summary(Telkom)'!$M$4:$M$1048576,'Daily Summary(Telkom)'!$B$4:$B$1048576,B16)</f>
        <v>448</v>
      </c>
      <c r="J16" s="60">
        <f>SUMIFS('Daily Summary(Telkom)'!$N$4:$N$1048576,'Daily Summary(Telkom)'!$B$4:$B$1048576,B16)</f>
        <v>213313.53000000006</v>
      </c>
      <c r="K16" s="61">
        <f>SUMIFS('Daily Summary(Telkom)'!$O$4:$O$1048576,'Daily Summary(Telkom)'!$B$4:$B$1048576,B16)</f>
        <v>429</v>
      </c>
      <c r="L16" s="59">
        <f>SUMIFS('Daily Summary(Telkom)'!$S$4:$S$1048576,'Daily Summary(Telkom)'!$B$4:$B$1048576,B16)</f>
        <v>236019.14000000007</v>
      </c>
      <c r="M16" s="61">
        <f>SUMIFS('Daily Summary(Telkom)'!$J$4:$J$1048576,'Daily Summary(Telkom)'!$B$4:$B$1048576,B16)</f>
        <v>236019.14000000007</v>
      </c>
      <c r="N16" s="17"/>
    </row>
    <row r="17" spans="1:14" x14ac:dyDescent="0.2">
      <c r="A17" s="18"/>
      <c r="B17" s="48" t="s">
        <v>36</v>
      </c>
      <c r="C17" s="58">
        <v>288</v>
      </c>
      <c r="D17" s="59">
        <f t="shared" si="0"/>
        <v>16392.25</v>
      </c>
      <c r="E17" s="59">
        <f>SUMIFS('Daily Summary(Telkom)'!$F$4:$F$1048576,'Daily Summary(Telkom)'!$B$4:$B$1048576,B17)</f>
        <v>582</v>
      </c>
      <c r="F17" s="60">
        <f>SUMIFS('Daily Summary(Telkom)'!$G$4:$G$1048576,'Daily Summary(Telkom)'!$B$4:$B$1048576,B17)</f>
        <v>327845</v>
      </c>
      <c r="G17" s="60">
        <f>SUMIFS('Daily Summary(Telkom)'!$H$4:$H$1048576,'Daily Summary(Telkom)'!$B$4:$B$1048576,B17)</f>
        <v>579</v>
      </c>
      <c r="H17" s="60">
        <f t="shared" si="1"/>
        <v>563.30756013745702</v>
      </c>
      <c r="I17" s="59">
        <f>SUMIFS('Daily Summary(Telkom)'!$M$4:$M$1048576,'Daily Summary(Telkom)'!$B$4:$B$1048576,B17)</f>
        <v>465</v>
      </c>
      <c r="J17" s="60">
        <f>SUMIFS('Daily Summary(Telkom)'!$N$4:$N$1048576,'Daily Summary(Telkom)'!$B$4:$B$1048576,B17)</f>
        <v>222398.32</v>
      </c>
      <c r="K17" s="61">
        <f>SUMIFS('Daily Summary(Telkom)'!$O$4:$O$1048576,'Daily Summary(Telkom)'!$B$4:$B$1048576,B17)</f>
        <v>440</v>
      </c>
      <c r="L17" s="59">
        <f>SUMIFS('Daily Summary(Telkom)'!$S$4:$S$1048576,'Daily Summary(Telkom)'!$B$4:$B$1048576,B17)</f>
        <v>132385.53</v>
      </c>
      <c r="M17" s="61">
        <f>SUMIFS('Daily Summary(Telkom)'!$J$4:$J$1048576,'Daily Summary(Telkom)'!$B$4:$B$1048576,B17)</f>
        <v>132385.53</v>
      </c>
      <c r="N17" s="17"/>
    </row>
    <row r="18" spans="1:14" x14ac:dyDescent="0.2">
      <c r="A18" s="18"/>
      <c r="B18" s="48" t="s">
        <v>37</v>
      </c>
      <c r="C18" s="58">
        <v>220</v>
      </c>
      <c r="D18" s="59">
        <f t="shared" si="0"/>
        <v>22331.600000000002</v>
      </c>
      <c r="E18" s="59">
        <f>SUMIFS('Daily Summary(Telkom)'!$F$4:$F$1048576,'Daily Summary(Telkom)'!$B$4:$B$1048576,B18)</f>
        <v>525</v>
      </c>
      <c r="F18" s="60">
        <f>SUMIFS('Daily Summary(Telkom)'!$G$4:$G$1048576,'Daily Summary(Telkom)'!$B$4:$B$1048576,B18)</f>
        <v>446632</v>
      </c>
      <c r="G18" s="60">
        <f>SUMIFS('Daily Summary(Telkom)'!$H$4:$H$1048576,'Daily Summary(Telkom)'!$B$4:$B$1048576,B18)</f>
        <v>522</v>
      </c>
      <c r="H18" s="60">
        <f t="shared" si="1"/>
        <v>850.7276190476191</v>
      </c>
      <c r="I18" s="59">
        <f>SUMIFS('Daily Summary(Telkom)'!$M$4:$M$1048576,'Daily Summary(Telkom)'!$B$4:$B$1048576,B18)</f>
        <v>649</v>
      </c>
      <c r="J18" s="60">
        <f>SUMIFS('Daily Summary(Telkom)'!$N$4:$N$1048576,'Daily Summary(Telkom)'!$B$4:$B$1048576,B18)</f>
        <v>423869.61</v>
      </c>
      <c r="K18" s="61">
        <f>SUMIFS('Daily Summary(Telkom)'!$O$4:$O$1048576,'Daily Summary(Telkom)'!$B$4:$B$1048576,B18)</f>
        <v>615</v>
      </c>
      <c r="L18" s="59">
        <f>SUMIFS('Daily Summary(Telkom)'!$S$4:$S$1048576,'Daily Summary(Telkom)'!$B$4:$B$1048576,B18)</f>
        <v>34220.67</v>
      </c>
      <c r="M18" s="61">
        <f>SUMIFS('Daily Summary(Telkom)'!$J$4:$J$1048576,'Daily Summary(Telkom)'!$B$4:$B$1048576,B18)</f>
        <v>34220.67</v>
      </c>
      <c r="N18" s="17"/>
    </row>
    <row r="19" spans="1:14" x14ac:dyDescent="0.2">
      <c r="A19" s="18"/>
      <c r="B19" s="48" t="s">
        <v>38</v>
      </c>
      <c r="C19" s="58">
        <v>207</v>
      </c>
      <c r="D19" s="59">
        <f t="shared" si="0"/>
        <v>17083.75</v>
      </c>
      <c r="E19" s="59">
        <f>SUMIFS('Daily Summary(Telkom)'!$F$4:$F$1048576,'Daily Summary(Telkom)'!$B$4:$B$1048576,B19)</f>
        <v>437</v>
      </c>
      <c r="F19" s="60">
        <f>SUMIFS('Daily Summary(Telkom)'!$G$4:$G$1048576,'Daily Summary(Telkom)'!$B$4:$B$1048576,B19)</f>
        <v>341675</v>
      </c>
      <c r="G19" s="60">
        <f>SUMIFS('Daily Summary(Telkom)'!$H$4:$H$1048576,'Daily Summary(Telkom)'!$B$4:$B$1048576,B19)</f>
        <v>434</v>
      </c>
      <c r="H19" s="60">
        <f t="shared" si="1"/>
        <v>781.86498855835237</v>
      </c>
      <c r="I19" s="59">
        <f>SUMIFS('Daily Summary(Telkom)'!$M$4:$M$1048576,'Daily Summary(Telkom)'!$B$4:$B$1048576,B19)</f>
        <v>312</v>
      </c>
      <c r="J19" s="60">
        <f>SUMIFS('Daily Summary(Telkom)'!$N$4:$N$1048576,'Daily Summary(Telkom)'!$B$4:$B$1048576,B19)</f>
        <v>230338.85000000003</v>
      </c>
      <c r="K19" s="61">
        <f>SUMIFS('Daily Summary(Telkom)'!$O$4:$O$1048576,'Daily Summary(Telkom)'!$B$4:$B$1048576,B19)</f>
        <v>291</v>
      </c>
      <c r="L19" s="59">
        <f>SUMIFS('Daily Summary(Telkom)'!$S$4:$S$1048576,'Daily Summary(Telkom)'!$B$4:$B$1048576,B19)</f>
        <v>136845.98000000001</v>
      </c>
      <c r="M19" s="61">
        <f>SUMIFS('Daily Summary(Telkom)'!$J$4:$J$1048576,'Daily Summary(Telkom)'!$B$4:$B$1048576,B19)</f>
        <v>136845.98000000001</v>
      </c>
      <c r="N19" s="17"/>
    </row>
    <row r="20" spans="1:14" x14ac:dyDescent="0.2">
      <c r="A20" s="18"/>
      <c r="B20" s="48" t="s">
        <v>39</v>
      </c>
      <c r="C20" s="58">
        <v>171</v>
      </c>
      <c r="D20" s="59">
        <f t="shared" si="0"/>
        <v>15859.050000000001</v>
      </c>
      <c r="E20" s="59">
        <f>SUMIFS('Daily Summary(Telkom)'!$F$4:$F$1048576,'Daily Summary(Telkom)'!$B$4:$B$1048576,B20)</f>
        <v>395</v>
      </c>
      <c r="F20" s="60">
        <f>SUMIFS('Daily Summary(Telkom)'!$G$4:$G$1048576,'Daily Summary(Telkom)'!$B$4:$B$1048576,B20)</f>
        <v>317181</v>
      </c>
      <c r="G20" s="60">
        <f>SUMIFS('Daily Summary(Telkom)'!$H$4:$H$1048576,'Daily Summary(Telkom)'!$B$4:$B$1048576,B20)</f>
        <v>393</v>
      </c>
      <c r="H20" s="60">
        <f t="shared" si="1"/>
        <v>802.98987341772147</v>
      </c>
      <c r="I20" s="59">
        <f>SUMIFS('Daily Summary(Telkom)'!$M$4:$M$1048576,'Daily Summary(Telkom)'!$B$4:$B$1048576,B20)</f>
        <v>339</v>
      </c>
      <c r="J20" s="60">
        <f>SUMIFS('Daily Summary(Telkom)'!$N$4:$N$1048576,'Daily Summary(Telkom)'!$B$4:$B$1048576,B20)</f>
        <v>239070.81</v>
      </c>
      <c r="K20" s="61">
        <f>SUMIFS('Daily Summary(Telkom)'!$O$4:$O$1048576,'Daily Summary(Telkom)'!$B$4:$B$1048576,B20)</f>
        <v>310</v>
      </c>
      <c r="L20" s="59">
        <f>SUMIFS('Daily Summary(Telkom)'!$S$4:$S$1048576,'Daily Summary(Telkom)'!$B$4:$B$1048576,B20)</f>
        <v>95749.35</v>
      </c>
      <c r="M20" s="61">
        <f>SUMIFS('Daily Summary(Telkom)'!$J$4:$J$1048576,'Daily Summary(Telkom)'!$B$4:$B$1048576,B20)</f>
        <v>95749.35000000002</v>
      </c>
      <c r="N20" s="17"/>
    </row>
    <row r="21" spans="1:14" x14ac:dyDescent="0.2">
      <c r="A21" s="18"/>
      <c r="B21" s="48" t="s">
        <v>40</v>
      </c>
      <c r="C21" s="58">
        <v>150</v>
      </c>
      <c r="D21" s="59">
        <f t="shared" si="0"/>
        <v>13360.2</v>
      </c>
      <c r="E21" s="59">
        <f>SUMIFS('Daily Summary(Telkom)'!$F$4:$F$1048576,'Daily Summary(Telkom)'!$B$4:$B$1048576,B21)</f>
        <v>339</v>
      </c>
      <c r="F21" s="60">
        <f>SUMIFS('Daily Summary(Telkom)'!$G$4:$G$1048576,'Daily Summary(Telkom)'!$B$4:$B$1048576,B21)</f>
        <v>267204</v>
      </c>
      <c r="G21" s="60">
        <f>SUMIFS('Daily Summary(Telkom)'!$H$4:$H$1048576,'Daily Summary(Telkom)'!$B$4:$B$1048576,B21)</f>
        <v>337</v>
      </c>
      <c r="H21" s="60">
        <f t="shared" si="1"/>
        <v>788.21238938053102</v>
      </c>
      <c r="I21" s="59">
        <f>SUMIFS('Daily Summary(Telkom)'!$M$4:$M$1048576,'Daily Summary(Telkom)'!$B$4:$B$1048576,B21)</f>
        <v>327</v>
      </c>
      <c r="J21" s="60">
        <f>SUMIFS('Daily Summary(Telkom)'!$N$4:$N$1048576,'Daily Summary(Telkom)'!$B$4:$B$1048576,B21)</f>
        <v>204942.71</v>
      </c>
      <c r="K21" s="61">
        <f>SUMIFS('Daily Summary(Telkom)'!$O$4:$O$1048576,'Daily Summary(Telkom)'!$B$4:$B$1048576,B21)</f>
        <v>291</v>
      </c>
      <c r="L21" s="59">
        <f>SUMIFS('Daily Summary(Telkom)'!$S$4:$S$1048576,'Daily Summary(Telkom)'!$B$4:$B$1048576,B21)</f>
        <v>76589.290000000023</v>
      </c>
      <c r="M21" s="61">
        <f>SUMIFS('Daily Summary(Telkom)'!$J$4:$J$1048576,'Daily Summary(Telkom)'!$B$4:$B$1048576,B21)</f>
        <v>76589.290000000023</v>
      </c>
      <c r="N21" s="17"/>
    </row>
    <row r="22" spans="1:14" x14ac:dyDescent="0.2">
      <c r="A22" s="18"/>
      <c r="B22" s="48" t="s">
        <v>41</v>
      </c>
      <c r="C22" s="58">
        <v>124</v>
      </c>
      <c r="D22" s="59">
        <f t="shared" si="0"/>
        <v>13035.5</v>
      </c>
      <c r="E22" s="59">
        <f>SUMIFS('Daily Summary(Telkom)'!$F$4:$F$1048576,'Daily Summary(Telkom)'!$B$4:$B$1048576,B22)</f>
        <v>338</v>
      </c>
      <c r="F22" s="60">
        <f>SUMIFS('Daily Summary(Telkom)'!$G$4:$G$1048576,'Daily Summary(Telkom)'!$B$4:$B$1048576,B22)</f>
        <v>260710</v>
      </c>
      <c r="G22" s="60">
        <f>SUMIFS('Daily Summary(Telkom)'!$H$4:$H$1048576,'Daily Summary(Telkom)'!$B$4:$B$1048576,B22)</f>
        <v>338</v>
      </c>
      <c r="H22" s="60">
        <f t="shared" si="1"/>
        <v>771.33136094674558</v>
      </c>
      <c r="I22" s="59">
        <f>SUMIFS('Daily Summary(Telkom)'!$M$4:$M$1048576,'Daily Summary(Telkom)'!$B$4:$B$1048576,B22)</f>
        <v>277</v>
      </c>
      <c r="J22" s="60">
        <f>SUMIFS('Daily Summary(Telkom)'!$N$4:$N$1048576,'Daily Summary(Telkom)'!$B$4:$B$1048576,B22)</f>
        <v>200040.46</v>
      </c>
      <c r="K22" s="61">
        <f>SUMIFS('Daily Summary(Telkom)'!$O$4:$O$1048576,'Daily Summary(Telkom)'!$B$4:$B$1048576,B22)</f>
        <v>261</v>
      </c>
      <c r="L22" s="59">
        <f>SUMIFS('Daily Summary(Telkom)'!$S$4:$S$1048576,'Daily Summary(Telkom)'!$B$4:$B$1048576,B22)</f>
        <v>73762.789999999994</v>
      </c>
      <c r="M22" s="61">
        <f>SUMIFS('Daily Summary(Telkom)'!$J$4:$J$1048576,'Daily Summary(Telkom)'!$B$4:$B$1048576,B22)</f>
        <v>73762.789999999994</v>
      </c>
      <c r="N22" s="17"/>
    </row>
    <row r="23" spans="1:14" x14ac:dyDescent="0.2">
      <c r="A23" s="18"/>
      <c r="B23" s="48" t="s">
        <v>42</v>
      </c>
      <c r="C23" s="62">
        <v>148</v>
      </c>
      <c r="D23" s="59">
        <f t="shared" si="0"/>
        <v>13212.5</v>
      </c>
      <c r="E23" s="59">
        <f>SUMIFS('Daily Summary(Telkom)'!$F$4:$F$1048576,'Daily Summary(Telkom)'!$B$4:$B$1048576,B23)</f>
        <v>353</v>
      </c>
      <c r="F23" s="60">
        <f>SUMIFS('Daily Summary(Telkom)'!$G$4:$G$1048576,'Daily Summary(Telkom)'!$B$4:$B$1048576,B23)</f>
        <v>264250</v>
      </c>
      <c r="G23" s="60">
        <f>SUMIFS('Daily Summary(Telkom)'!$H$4:$H$1048576,'Daily Summary(Telkom)'!$B$4:$B$1048576,B23)</f>
        <v>351</v>
      </c>
      <c r="H23" s="60">
        <f t="shared" si="1"/>
        <v>748.58356940509918</v>
      </c>
      <c r="I23" s="59">
        <f>SUMIFS('Daily Summary(Telkom)'!$M$4:$M$1048576,'Daily Summary(Telkom)'!$B$4:$B$1048576,B23)</f>
        <v>295</v>
      </c>
      <c r="J23" s="60">
        <f>SUMIFS('Daily Summary(Telkom)'!$N$4:$N$1048576,'Daily Summary(Telkom)'!$B$4:$B$1048576,B23)</f>
        <v>208758.14999999997</v>
      </c>
      <c r="K23" s="61">
        <f>SUMIFS('Daily Summary(Telkom)'!$O$4:$O$1048576,'Daily Summary(Telkom)'!$B$4:$B$1048576,B23)</f>
        <v>280</v>
      </c>
      <c r="L23" s="59">
        <f>SUMIFS('Daily Summary(Telkom)'!$S$4:$S$1048576,'Daily Summary(Telkom)'!$B$4:$B$1048576,B23)</f>
        <v>67209.8</v>
      </c>
      <c r="M23" s="61">
        <f>SUMIFS('Daily Summary(Telkom)'!$J$4:$J$1048576,'Daily Summary(Telkom)'!$B$4:$B$1048576,B23)</f>
        <v>67209.8</v>
      </c>
      <c r="N23" s="17"/>
    </row>
    <row r="24" spans="1:14" x14ac:dyDescent="0.2">
      <c r="A24" s="18"/>
      <c r="B24" s="48" t="s">
        <v>43</v>
      </c>
      <c r="C24" s="62">
        <v>145</v>
      </c>
      <c r="D24" s="59">
        <f t="shared" si="0"/>
        <v>10679</v>
      </c>
      <c r="E24" s="59">
        <f>SUMIFS('Daily Summary(Telkom)'!$F$4:$F$1048576,'Daily Summary(Telkom)'!$B$4:$B$1048576,B24)</f>
        <v>300</v>
      </c>
      <c r="F24" s="60">
        <f>SUMIFS('Daily Summary(Telkom)'!$G$4:$G$1048576,'Daily Summary(Telkom)'!$B$4:$B$1048576,B24)</f>
        <v>213580</v>
      </c>
      <c r="G24" s="60">
        <f>SUMIFS('Daily Summary(Telkom)'!$H$4:$H$1048576,'Daily Summary(Telkom)'!$B$4:$B$1048576,B24)</f>
        <v>299</v>
      </c>
      <c r="H24" s="60">
        <f t="shared" si="1"/>
        <v>711.93333333333328</v>
      </c>
      <c r="I24" s="59">
        <f>SUMIFS('Daily Summary(Telkom)'!$M$4:$M$1048576,'Daily Summary(Telkom)'!$B$4:$B$1048576,B24)</f>
        <v>230</v>
      </c>
      <c r="J24" s="60">
        <f>SUMIFS('Daily Summary(Telkom)'!$N$4:$N$1048576,'Daily Summary(Telkom)'!$B$4:$B$1048576,B24)</f>
        <v>159982.69999999998</v>
      </c>
      <c r="K24" s="61">
        <f>SUMIFS('Daily Summary(Telkom)'!$O$4:$O$1048576,'Daily Summary(Telkom)'!$B$4:$B$1048576,B24)</f>
        <v>210</v>
      </c>
      <c r="L24" s="59">
        <f>SUMIFS('Daily Summary(Telkom)'!$S$4:$S$1048576,'Daily Summary(Telkom)'!$B$4:$B$1048576,B24)</f>
        <v>64252.579999999987</v>
      </c>
      <c r="M24" s="61">
        <f>SUMIFS('Daily Summary(Telkom)'!$J$4:$J$1048576,'Daily Summary(Telkom)'!$B$4:$B$1048576,B24)</f>
        <v>64252.579999999987</v>
      </c>
      <c r="N24" s="17"/>
    </row>
    <row r="25" spans="1:14" x14ac:dyDescent="0.2">
      <c r="A25" s="18"/>
      <c r="B25" s="48" t="s">
        <v>44</v>
      </c>
      <c r="C25" s="62">
        <v>143</v>
      </c>
      <c r="D25" s="59">
        <f t="shared" si="0"/>
        <v>10685.25</v>
      </c>
      <c r="E25" s="59">
        <f>SUMIFS('Daily Summary(Telkom)'!$F$4:$F$1048576,'Daily Summary(Telkom)'!$B$4:$B$1048576,B25)</f>
        <v>296</v>
      </c>
      <c r="F25" s="60">
        <f>SUMIFS('Daily Summary(Telkom)'!$G$4:$G$1048576,'Daily Summary(Telkom)'!$B$4:$B$1048576,B25)</f>
        <v>213705</v>
      </c>
      <c r="G25" s="60">
        <f>SUMIFS('Daily Summary(Telkom)'!$H$4:$H$1048576,'Daily Summary(Telkom)'!$B$4:$B$1048576,B25)</f>
        <v>295</v>
      </c>
      <c r="H25" s="60">
        <f t="shared" si="1"/>
        <v>721.97635135135135</v>
      </c>
      <c r="I25" s="59">
        <f>SUMIFS('Daily Summary(Telkom)'!$M$4:$M$1048576,'Daily Summary(Telkom)'!$B$4:$B$1048576,B25)</f>
        <v>255</v>
      </c>
      <c r="J25" s="60">
        <f>SUMIFS('Daily Summary(Telkom)'!$N$4:$N$1048576,'Daily Summary(Telkom)'!$B$4:$B$1048576,B25)</f>
        <v>165116.42999999991</v>
      </c>
      <c r="K25" s="61">
        <f>SUMIFS('Daily Summary(Telkom)'!$O$4:$O$1048576,'Daily Summary(Telkom)'!$B$4:$B$1048576,B25)</f>
        <v>217</v>
      </c>
      <c r="L25" s="59">
        <f>SUMIFS('Daily Summary(Telkom)'!$S$4:$S$1048576,'Daily Summary(Telkom)'!$B$4:$B$1048576,B25)</f>
        <v>57898.39</v>
      </c>
      <c r="M25" s="61">
        <f>SUMIFS('Daily Summary(Telkom)'!$J$4:$J$1048576,'Daily Summary(Telkom)'!$B$4:$B$1048576,B25)</f>
        <v>57898.39</v>
      </c>
      <c r="N25" s="17"/>
    </row>
    <row r="26" spans="1:14" x14ac:dyDescent="0.2">
      <c r="A26" s="18"/>
      <c r="B26" s="48" t="s">
        <v>45</v>
      </c>
      <c r="C26" s="62">
        <v>107</v>
      </c>
      <c r="D26" s="59">
        <f t="shared" si="0"/>
        <v>8325.5500000000011</v>
      </c>
      <c r="E26" s="59">
        <f>SUMIFS('Daily Summary(Telkom)'!$F$4:$F$1048576,'Daily Summary(Telkom)'!$B$4:$B$1048576,B26)</f>
        <v>229</v>
      </c>
      <c r="F26" s="60">
        <f>SUMIFS('Daily Summary(Telkom)'!$G$4:$G$1048576,'Daily Summary(Telkom)'!$B$4:$B$1048576,B26)</f>
        <v>166511</v>
      </c>
      <c r="G26" s="60">
        <f>SUMIFS('Daily Summary(Telkom)'!$H$4:$H$1048576,'Daily Summary(Telkom)'!$B$4:$B$1048576,B26)</f>
        <v>228</v>
      </c>
      <c r="H26" s="60">
        <f t="shared" si="1"/>
        <v>727.12227074235807</v>
      </c>
      <c r="I26" s="59">
        <f>SUMIFS('Daily Summary(Telkom)'!$M$4:$M$1048576,'Daily Summary(Telkom)'!$B$4:$B$1048576,B26)</f>
        <v>200</v>
      </c>
      <c r="J26" s="60">
        <f>SUMIFS('Daily Summary(Telkom)'!$N$4:$N$1048576,'Daily Summary(Telkom)'!$B$4:$B$1048576,B26)</f>
        <v>128561.98</v>
      </c>
      <c r="K26" s="61">
        <f>SUMIFS('Daily Summary(Telkom)'!$O$4:$O$1048576,'Daily Summary(Telkom)'!$B$4:$B$1048576,B26)</f>
        <v>179</v>
      </c>
      <c r="L26" s="59">
        <f>SUMIFS('Daily Summary(Telkom)'!$S$4:$S$1048576,'Daily Summary(Telkom)'!$B$4:$B$1048576,B26)</f>
        <v>44946.34</v>
      </c>
      <c r="M26" s="61">
        <f>SUMIFS('Daily Summary(Telkom)'!$J$4:$J$1048576,'Daily Summary(Telkom)'!$B$4:$B$1048576,B26)</f>
        <v>44946.34</v>
      </c>
      <c r="N26" s="17"/>
    </row>
    <row r="27" spans="1:14" x14ac:dyDescent="0.2">
      <c r="A27" s="18"/>
      <c r="B27" s="48" t="s">
        <v>67</v>
      </c>
      <c r="C27" s="62">
        <v>99</v>
      </c>
      <c r="D27" s="59">
        <f t="shared" si="0"/>
        <v>12111.5</v>
      </c>
      <c r="E27" s="59">
        <f>SUMIFS('Daily Summary(Telkom)'!$F$4:$F$1048576,'Daily Summary(Telkom)'!$B$4:$B$1048576,B27)</f>
        <v>356</v>
      </c>
      <c r="F27" s="60">
        <f>SUMIFS('Daily Summary(Telkom)'!$G$4:$G$1048576,'Daily Summary(Telkom)'!$B$4:$B$1048576,B27)</f>
        <v>242230</v>
      </c>
      <c r="G27" s="60">
        <f>SUMIFS('Daily Summary(Telkom)'!$H$4:$H$1048576,'Daily Summary(Telkom)'!$B$4:$B$1048576,B27)</f>
        <v>345</v>
      </c>
      <c r="H27" s="60">
        <f t="shared" si="1"/>
        <v>680.42134831460669</v>
      </c>
      <c r="I27" s="59">
        <f>SUMIFS('Daily Summary(Telkom)'!$M$4:$M$1048576,'Daily Summary(Telkom)'!$B$4:$B$1048576,B27)</f>
        <v>333</v>
      </c>
      <c r="J27" s="60">
        <f>SUMIFS('Daily Summary(Telkom)'!$N$4:$N$1048576,'Daily Summary(Telkom)'!$B$4:$B$1048576,B27)</f>
        <v>177660.97</v>
      </c>
      <c r="K27" s="61">
        <f>SUMIFS('Daily Summary(Telkom)'!$O$4:$O$1048576,'Daily Summary(Telkom)'!$B$4:$B$1048576,B27)</f>
        <v>286</v>
      </c>
      <c r="L27" s="59">
        <f>SUMIFS('Daily Summary(Telkom)'!$S$4:$S$1048576,'Daily Summary(Telkom)'!$B$4:$B$1048576,B27)</f>
        <v>75767.220000000016</v>
      </c>
      <c r="M27" s="61">
        <f>SUMIFS('Daily Summary(Telkom)'!$J$4:$J$1048576,'Daily Summary(Telkom)'!$B$4:$B$1048576,B27)</f>
        <v>75767.220000000016</v>
      </c>
      <c r="N27" s="17"/>
    </row>
    <row r="28" spans="1:14" x14ac:dyDescent="0.2">
      <c r="A28" s="18"/>
      <c r="B28" s="48" t="s">
        <v>46</v>
      </c>
      <c r="C28" s="62">
        <v>211</v>
      </c>
      <c r="D28" s="59">
        <f t="shared" si="0"/>
        <v>15497.300000000001</v>
      </c>
      <c r="E28" s="59">
        <f>SUMIFS('Daily Summary(Telkom)'!$F$4:$F$1048576,'Daily Summary(Telkom)'!$B$4:$B$1048576,B28)</f>
        <v>492</v>
      </c>
      <c r="F28" s="60">
        <f>SUMIFS('Daily Summary(Telkom)'!$G$4:$G$1048576,'Daily Summary(Telkom)'!$B$4:$B$1048576,B28)</f>
        <v>309946</v>
      </c>
      <c r="G28" s="60">
        <f>SUMIFS('Daily Summary(Telkom)'!$H$4:$H$1048576,'Daily Summary(Telkom)'!$B$4:$B$1048576,B28)</f>
        <v>490</v>
      </c>
      <c r="H28" s="60">
        <f t="shared" si="1"/>
        <v>629.97154471544718</v>
      </c>
      <c r="I28" s="59">
        <f>SUMIFS('Daily Summary(Telkom)'!$M$4:$M$1048576,'Daily Summary(Telkom)'!$B$4:$B$1048576,B28)</f>
        <v>344</v>
      </c>
      <c r="J28" s="60">
        <f>SUMIFS('Daily Summary(Telkom)'!$N$4:$N$1048576,'Daily Summary(Telkom)'!$B$4:$B$1048576,B28)</f>
        <v>188137.46</v>
      </c>
      <c r="K28" s="61">
        <f>SUMIFS('Daily Summary(Telkom)'!$O$4:$O$1048576,'Daily Summary(Telkom)'!$B$4:$B$1048576,B28)</f>
        <v>313</v>
      </c>
      <c r="L28" s="59">
        <f>SUMIFS('Daily Summary(Telkom)'!$S$4:$S$1048576,'Daily Summary(Telkom)'!$B$4:$B$1048576,B28)</f>
        <v>140717.59</v>
      </c>
      <c r="M28" s="61">
        <f>SUMIFS('Daily Summary(Telkom)'!$J$4:$J$1048576,'Daily Summary(Telkom)'!$B$4:$B$1048576,B28)</f>
        <v>140717.59</v>
      </c>
      <c r="N28" s="17"/>
    </row>
    <row r="29" spans="1:14" x14ac:dyDescent="0.2">
      <c r="A29" s="18"/>
      <c r="B29" s="48" t="s">
        <v>47</v>
      </c>
      <c r="C29" s="62">
        <v>435</v>
      </c>
      <c r="D29" s="59">
        <f t="shared" si="0"/>
        <v>11415.5</v>
      </c>
      <c r="E29" s="59">
        <f>SUMIFS('Daily Summary(Telkom)'!$F$4:$F$1048576,'Daily Summary(Telkom)'!$B$4:$B$1048576,B29)</f>
        <v>490</v>
      </c>
      <c r="F29" s="60">
        <f>SUMIFS('Daily Summary(Telkom)'!$G$4:$G$1048576,'Daily Summary(Telkom)'!$B$4:$B$1048576,B29)</f>
        <v>228310</v>
      </c>
      <c r="G29" s="60">
        <f>SUMIFS('Daily Summary(Telkom)'!$H$4:$H$1048576,'Daily Summary(Telkom)'!$B$4:$B$1048576,B29)</f>
        <v>479</v>
      </c>
      <c r="H29" s="60">
        <f t="shared" si="1"/>
        <v>465.9387755102041</v>
      </c>
      <c r="I29" s="59">
        <f>SUMIFS('Daily Summary(Telkom)'!$M$4:$M$1048576,'Daily Summary(Telkom)'!$B$4:$B$1048576,B29)</f>
        <v>202</v>
      </c>
      <c r="J29" s="60">
        <f>SUMIFS('Daily Summary(Telkom)'!$N$4:$N$1048576,'Daily Summary(Telkom)'!$B$4:$B$1048576,B29)</f>
        <v>105668.06</v>
      </c>
      <c r="K29" s="61">
        <f>SUMIFS('Daily Summary(Telkom)'!$O$4:$O$1048576,'Daily Summary(Telkom)'!$B$4:$B$1048576,B29)</f>
        <v>187</v>
      </c>
      <c r="L29" s="59">
        <f>SUMIFS('Daily Summary(Telkom)'!$S$4:$S$1048576,'Daily Summary(Telkom)'!$B$4:$B$1048576,B29)</f>
        <v>139986.07999999999</v>
      </c>
      <c r="M29" s="61">
        <f>SUMIFS('Daily Summary(Telkom)'!$J$4:$J$1048576,'Daily Summary(Telkom)'!$B$4:$B$1048576,B29)</f>
        <v>139986.08000000002</v>
      </c>
      <c r="N29" s="17"/>
    </row>
    <row r="30" spans="1:14" x14ac:dyDescent="0.2">
      <c r="A30" s="18"/>
      <c r="B30" s="48" t="s">
        <v>48</v>
      </c>
      <c r="C30" s="62">
        <v>367</v>
      </c>
      <c r="D30" s="59">
        <f t="shared" si="0"/>
        <v>18575.5</v>
      </c>
      <c r="E30" s="59">
        <f>SUMIFS('Daily Summary(Telkom)'!$F$4:$F$1048576,'Daily Summary(Telkom)'!$B$4:$B$1048576,B30)</f>
        <v>647</v>
      </c>
      <c r="F30" s="60">
        <f>SUMIFS('Daily Summary(Telkom)'!$G$4:$G$1048576,'Daily Summary(Telkom)'!$B$4:$B$1048576,B30)</f>
        <v>371510</v>
      </c>
      <c r="G30" s="60">
        <f>SUMIFS('Daily Summary(Telkom)'!$H$4:$H$1048576,'Daily Summary(Telkom)'!$B$4:$B$1048576,B30)</f>
        <v>644</v>
      </c>
      <c r="H30" s="60">
        <f t="shared" si="1"/>
        <v>574.20401854714066</v>
      </c>
      <c r="I30" s="59">
        <f>SUMIFS('Daily Summary(Telkom)'!$M$4:$M$1048576,'Daily Summary(Telkom)'!$B$4:$B$1048576,B30)</f>
        <v>399</v>
      </c>
      <c r="J30" s="60">
        <f>SUMIFS('Daily Summary(Telkom)'!$N$4:$N$1048576,'Daily Summary(Telkom)'!$B$4:$B$1048576,B30)</f>
        <v>239700.58</v>
      </c>
      <c r="K30" s="61">
        <f>SUMIFS('Daily Summary(Telkom)'!$O$4:$O$1048576,'Daily Summary(Telkom)'!$B$4:$B$1048576,B30)</f>
        <v>372</v>
      </c>
      <c r="L30" s="59">
        <f>SUMIFS('Daily Summary(Telkom)'!$S$4:$S$1048576,'Daily Summary(Telkom)'!$B$4:$B$1048576,B30)</f>
        <v>150330.74000000002</v>
      </c>
      <c r="M30" s="61">
        <f>SUMIFS('Daily Summary(Telkom)'!$J$4:$J$1048576,'Daily Summary(Telkom)'!$B$4:$B$1048576,B30)</f>
        <v>150330.74000000002</v>
      </c>
      <c r="N30" s="17"/>
    </row>
    <row r="31" spans="1:14" x14ac:dyDescent="0.2">
      <c r="A31" s="18"/>
      <c r="B31" s="48" t="s">
        <v>49</v>
      </c>
      <c r="C31" s="62">
        <v>267</v>
      </c>
      <c r="D31" s="59">
        <f t="shared" si="0"/>
        <v>15399.300000000001</v>
      </c>
      <c r="E31" s="59">
        <f>SUMIFS('Daily Summary(Telkom)'!$F$4:$F$1048576,'Daily Summary(Telkom)'!$B$4:$B$1048576,B31)</f>
        <v>526</v>
      </c>
      <c r="F31" s="60">
        <f>SUMIFS('Daily Summary(Telkom)'!$G$4:$G$1048576,'Daily Summary(Telkom)'!$B$4:$B$1048576,B31)</f>
        <v>307986</v>
      </c>
      <c r="G31" s="60">
        <f>SUMIFS('Daily Summary(Telkom)'!$H$4:$H$1048576,'Daily Summary(Telkom)'!$B$4:$B$1048576,B31)</f>
        <v>522</v>
      </c>
      <c r="H31" s="60">
        <f t="shared" si="1"/>
        <v>585.52471482889734</v>
      </c>
      <c r="I31" s="59">
        <f>SUMIFS('Daily Summary(Telkom)'!$M$4:$M$1048576,'Daily Summary(Telkom)'!$B$4:$B$1048576,B31)</f>
        <v>417</v>
      </c>
      <c r="J31" s="60">
        <f>SUMIFS('Daily Summary(Telkom)'!$N$4:$N$1048576,'Daily Summary(Telkom)'!$B$4:$B$1048576,B31)</f>
        <v>215964.96000000002</v>
      </c>
      <c r="K31" s="61">
        <f>SUMIFS('Daily Summary(Telkom)'!$O$4:$O$1048576,'Daily Summary(Telkom)'!$B$4:$B$1048576,B31)</f>
        <v>378</v>
      </c>
      <c r="L31" s="59">
        <f>SUMIFS('Daily Summary(Telkom)'!$S$4:$S$1048576,'Daily Summary(Telkom)'!$B$4:$B$1048576,B31)</f>
        <v>104659.36</v>
      </c>
      <c r="M31" s="61">
        <f>SUMIFS('Daily Summary(Telkom)'!$J$4:$J$1048576,'Daily Summary(Telkom)'!$B$4:$B$1048576,B31)</f>
        <v>104659.36</v>
      </c>
      <c r="N31" s="17"/>
    </row>
    <row r="32" spans="1:14" x14ac:dyDescent="0.2">
      <c r="A32" s="18"/>
      <c r="B32" s="48" t="s">
        <v>50</v>
      </c>
      <c r="C32" s="62">
        <v>135</v>
      </c>
      <c r="D32" s="59">
        <f t="shared" si="0"/>
        <v>12466.7</v>
      </c>
      <c r="E32" s="59">
        <f>SUMIFS('Daily Summary(Telkom)'!$F$4:$F$1048576,'Daily Summary(Telkom)'!$B$4:$B$1048576,B32)</f>
        <v>391</v>
      </c>
      <c r="F32" s="60">
        <f>SUMIFS('Daily Summary(Telkom)'!$G$4:$G$1048576,'Daily Summary(Telkom)'!$B$4:$B$1048576,B32)</f>
        <v>249334</v>
      </c>
      <c r="G32" s="60">
        <f>SUMIFS('Daily Summary(Telkom)'!$H$4:$H$1048576,'Daily Summary(Telkom)'!$B$4:$B$1048576,B32)</f>
        <v>389</v>
      </c>
      <c r="H32" s="60">
        <f t="shared" si="1"/>
        <v>637.68286445012791</v>
      </c>
      <c r="I32" s="59">
        <v>336</v>
      </c>
      <c r="J32" s="60">
        <v>190172.71</v>
      </c>
      <c r="K32" s="60">
        <v>197</v>
      </c>
      <c r="L32" s="59">
        <f>SUMIFS('Daily Summary(Telkom)'!$S$4:$S$1048576,'Daily Summary(Telkom)'!$B$4:$B$1048576,B32)</f>
        <v>66564.250000000015</v>
      </c>
      <c r="M32" s="61">
        <f>SUMIFS('Daily Summary(Telkom)'!$J$4:$J$1048576,'Daily Summary(Telkom)'!$B$4:$B$1048576,B32)</f>
        <v>66564.250000000015</v>
      </c>
      <c r="N32" s="17"/>
    </row>
    <row r="33" spans="1:14" x14ac:dyDescent="0.2">
      <c r="A33" s="18"/>
      <c r="B33" s="48" t="s">
        <v>51</v>
      </c>
      <c r="C33" s="62">
        <v>183</v>
      </c>
      <c r="D33" s="59">
        <f t="shared" si="0"/>
        <v>12111.050000000001</v>
      </c>
      <c r="E33" s="59">
        <f>SUMIFS('Daily Summary(Telkom)'!$F$4:$F$1048576,'Daily Summary(Telkom)'!$B$4:$B$1048576,B33)</f>
        <v>405</v>
      </c>
      <c r="F33" s="60">
        <f>SUMIFS('Daily Summary(Telkom)'!$G$4:$G$1048576,'Daily Summary(Telkom)'!$B$4:$B$1048576,B33)</f>
        <v>242221</v>
      </c>
      <c r="G33" s="60">
        <f>SUMIFS('Daily Summary(Telkom)'!$H$4:$H$1048576,'Daily Summary(Telkom)'!$B$4:$B$1048576,B33)</f>
        <v>404</v>
      </c>
      <c r="H33" s="60">
        <f t="shared" si="1"/>
        <v>598.07654320987649</v>
      </c>
      <c r="I33" s="59">
        <v>343</v>
      </c>
      <c r="J33" s="60">
        <v>179167.46</v>
      </c>
      <c r="K33" s="60">
        <v>167</v>
      </c>
      <c r="L33" s="59">
        <f>SUMIFS('Daily Summary(Telkom)'!$S$4:$S$1048576,'Daily Summary(Telkom)'!$B$4:$B$1048576,B33)</f>
        <v>70410.319999999992</v>
      </c>
      <c r="M33" s="61">
        <f>SUMIFS('Daily Summary(Telkom)'!$J$4:$J$1048576,'Daily Summary(Telkom)'!$B$4:$B$1048576,B33)</f>
        <v>70410.319999999992</v>
      </c>
      <c r="N33" s="17"/>
    </row>
    <row r="34" spans="1:14" x14ac:dyDescent="0.2">
      <c r="A34" s="18"/>
      <c r="B34" s="48" t="s">
        <v>52</v>
      </c>
      <c r="C34" s="62">
        <v>95</v>
      </c>
      <c r="D34" s="59">
        <f t="shared" si="0"/>
        <v>11238.800000000001</v>
      </c>
      <c r="E34" s="59">
        <f>SUMIFS('Daily Summary(Telkom)'!$F$4:$F$1048576,'Daily Summary(Telkom)'!$B$4:$B$1048576,B34)</f>
        <v>366</v>
      </c>
      <c r="F34" s="60">
        <f>SUMIFS('Daily Summary(Telkom)'!$G$4:$G$1048576,'Daily Summary(Telkom)'!$B$4:$B$1048576,B34)</f>
        <v>224776</v>
      </c>
      <c r="G34" s="60">
        <f>SUMIFS('Daily Summary(Telkom)'!$H$4:$H$1048576,'Daily Summary(Telkom)'!$B$4:$B$1048576,B34)</f>
        <v>363</v>
      </c>
      <c r="H34" s="60">
        <f t="shared" si="1"/>
        <v>614.14207650273227</v>
      </c>
      <c r="I34" s="59">
        <v>390</v>
      </c>
      <c r="J34" s="60">
        <v>188884.06</v>
      </c>
      <c r="K34" s="60">
        <v>179</v>
      </c>
      <c r="L34" s="59">
        <f>SUMIFS('Daily Summary(Telkom)'!$S$4:$S$1048576,'Daily Summary(Telkom)'!$B$4:$B$1048576,B34)</f>
        <v>40400.640000000007</v>
      </c>
      <c r="M34" s="61">
        <f>SUMIFS('Daily Summary(Telkom)'!$J$4:$J$1048576,'Daily Summary(Telkom)'!$B$4:$B$1048576,B34)</f>
        <v>40400.640000000007</v>
      </c>
      <c r="N34" s="17"/>
    </row>
    <row r="35" spans="1:14" x14ac:dyDescent="0.2">
      <c r="A35" s="18"/>
      <c r="B35" s="48" t="s">
        <v>53</v>
      </c>
      <c r="C35" s="62">
        <v>110</v>
      </c>
      <c r="D35" s="59">
        <f t="shared" si="0"/>
        <v>11164.35</v>
      </c>
      <c r="E35" s="59">
        <f>SUMIFS('Daily Summary(Telkom)'!$F$4:$F$1048576,'Daily Summary(Telkom)'!$B$4:$B$1048576,B35)</f>
        <v>336</v>
      </c>
      <c r="F35" s="60">
        <f>SUMIFS('Daily Summary(Telkom)'!$G$4:$G$1048576,'Daily Summary(Telkom)'!$B$4:$B$1048576,B35)</f>
        <v>223287</v>
      </c>
      <c r="G35" s="60">
        <f>SUMIFS('Daily Summary(Telkom)'!$H$4:$H$1048576,'Daily Summary(Telkom)'!$B$4:$B$1048576,B35)</f>
        <v>335</v>
      </c>
      <c r="H35" s="60">
        <f t="shared" si="1"/>
        <v>664.54464285714289</v>
      </c>
      <c r="I35" s="59">
        <v>354</v>
      </c>
      <c r="J35" s="104">
        <v>183507.88</v>
      </c>
      <c r="K35" s="60">
        <v>161</v>
      </c>
      <c r="L35" s="59">
        <f>SUMIFS('Daily Summary(Telkom)'!$S$4:$S$1048576,'Daily Summary(Telkom)'!$B$4:$B$1048576,B35)</f>
        <v>43168.749999999993</v>
      </c>
      <c r="M35" s="61">
        <f>SUMIFS('Daily Summary(Telkom)'!$J$4:$J$1048576,'Daily Summary(Telkom)'!$B$4:$B$1048576,B35)</f>
        <v>43168.749999999993</v>
      </c>
      <c r="N35" s="17"/>
    </row>
    <row r="36" spans="1:14" x14ac:dyDescent="0.2">
      <c r="A36" s="18"/>
      <c r="B36" s="48" t="s">
        <v>54</v>
      </c>
      <c r="C36" s="62">
        <v>89</v>
      </c>
      <c r="D36" s="59">
        <f t="shared" si="0"/>
        <v>10399.900000000001</v>
      </c>
      <c r="E36" s="59">
        <f>SUMIFS('Daily Summary(Telkom)'!$F$4:$F$1048576,'Daily Summary(Telkom)'!$B$4:$B$1048576,B36)</f>
        <v>331</v>
      </c>
      <c r="F36" s="60">
        <f>SUMIFS('Daily Summary(Telkom)'!$G$4:$G$1048576,'Daily Summary(Telkom)'!$B$4:$B$1048576,B36)</f>
        <v>207998</v>
      </c>
      <c r="G36" s="60">
        <f>SUMIFS('Daily Summary(Telkom)'!$H$4:$H$1048576,'Daily Summary(Telkom)'!$B$4:$B$1048576,B36)</f>
        <v>284</v>
      </c>
      <c r="H36" s="60">
        <f t="shared" si="1"/>
        <v>628.39274924471295</v>
      </c>
      <c r="I36" s="59">
        <v>337</v>
      </c>
      <c r="J36" s="60">
        <v>175561.02</v>
      </c>
      <c r="K36" s="60">
        <v>129</v>
      </c>
      <c r="L36" s="59">
        <f>SUMIFS('Daily Summary(Telkom)'!$S$4:$S$1048576,'Daily Summary(Telkom)'!$B$4:$B$1048576,B36)</f>
        <v>35874.92</v>
      </c>
      <c r="M36" s="61">
        <f>SUMIFS('Daily Summary(Telkom)'!$J$4:$J$1048576,'Daily Summary(Telkom)'!$B$4:$B$1048576,B36)</f>
        <v>35874.92</v>
      </c>
      <c r="N36" s="17"/>
    </row>
    <row r="37" spans="1:14" x14ac:dyDescent="0.2">
      <c r="A37" s="18"/>
      <c r="B37" s="48" t="s">
        <v>55</v>
      </c>
      <c r="C37" s="62">
        <v>24</v>
      </c>
      <c r="D37" s="59">
        <f t="shared" si="0"/>
        <v>5608.6</v>
      </c>
      <c r="E37" s="59">
        <f>SUMIFS('Daily Summary(Telkom)'!$F$4:$F$1048576,'Daily Summary(Telkom)'!$B$4:$B$1048576,B37)</f>
        <v>152</v>
      </c>
      <c r="F37" s="60">
        <f>SUMIFS('Daily Summary(Telkom)'!$G$4:$G$1048576,'Daily Summary(Telkom)'!$B$4:$B$1048576,B37)</f>
        <v>112172</v>
      </c>
      <c r="G37" s="60">
        <f>SUMIFS('Daily Summary(Telkom)'!$H$4:$H$1048576,'Daily Summary(Telkom)'!$B$4:$B$1048576,B37)</f>
        <v>152</v>
      </c>
      <c r="H37" s="60">
        <f t="shared" si="1"/>
        <v>737.97368421052636</v>
      </c>
      <c r="I37" s="59">
        <v>204</v>
      </c>
      <c r="J37" s="104">
        <v>101549.42</v>
      </c>
      <c r="K37" s="60">
        <v>96</v>
      </c>
      <c r="L37" s="59">
        <f>SUMIFS('Daily Summary(Telkom)'!$S$4:$S$1048576,'Daily Summary(Telkom)'!$B$4:$B$1048576,B37)</f>
        <v>11879.65</v>
      </c>
      <c r="M37" s="61">
        <f>SUMIFS('Daily Summary(Telkom)'!$J$4:$J$1048576,'Daily Summary(Telkom)'!$B$4:$B$1048576,B37)</f>
        <v>11879.65</v>
      </c>
      <c r="N37" s="17"/>
    </row>
    <row r="38" spans="1:14" x14ac:dyDescent="0.2">
      <c r="A38" s="18"/>
      <c r="B38" s="48" t="s">
        <v>56</v>
      </c>
      <c r="C38" s="62">
        <v>51</v>
      </c>
      <c r="D38" s="59">
        <f t="shared" si="0"/>
        <v>9128.3000000000011</v>
      </c>
      <c r="E38" s="59">
        <f>SUMIFS('Daily Summary(Telkom)'!$F$4:$F$1048576,'Daily Summary(Telkom)'!$B$4:$B$1048576,B38)</f>
        <v>257</v>
      </c>
      <c r="F38" s="60">
        <f>SUMIFS('Daily Summary(Telkom)'!$G$4:$G$1048576,'Daily Summary(Telkom)'!$B$4:$B$1048576,B38)</f>
        <v>182566</v>
      </c>
      <c r="G38" s="60">
        <f>SUMIFS('Daily Summary(Telkom)'!$H$4:$H$1048576,'Daily Summary(Telkom)'!$B$4:$B$1048576,B38)</f>
        <v>252</v>
      </c>
      <c r="H38" s="60">
        <f t="shared" si="1"/>
        <v>710.37354085603113</v>
      </c>
      <c r="I38" s="59">
        <v>295</v>
      </c>
      <c r="J38" s="104">
        <v>145851.67000000001</v>
      </c>
      <c r="K38" s="60">
        <v>128</v>
      </c>
      <c r="L38" s="59">
        <f>SUMIFS('Daily Summary(Telkom)'!$S$4:$S$1048576,'Daily Summary(Telkom)'!$B$4:$B$1048576,B38)</f>
        <v>39069.570000000014</v>
      </c>
      <c r="M38" s="61">
        <f>SUMIFS('Daily Summary(Telkom)'!$J$4:$J$1048576,'Daily Summary(Telkom)'!$B$4:$B$1048576,B38)</f>
        <v>39069.570000000014</v>
      </c>
      <c r="N38" s="17"/>
    </row>
    <row r="39" spans="1:14" x14ac:dyDescent="0.2">
      <c r="A39" s="18"/>
      <c r="B39" s="48" t="s">
        <v>68</v>
      </c>
      <c r="C39" s="62">
        <v>44</v>
      </c>
      <c r="D39" s="59">
        <f t="shared" si="0"/>
        <v>8778.65</v>
      </c>
      <c r="E39" s="59">
        <f>SUMIFS('Daily Summary(Telkom)'!$F$4:$F$1048576,'Daily Summary(Telkom)'!$B$4:$B$1048576,B39)</f>
        <v>238</v>
      </c>
      <c r="F39" s="60">
        <f>SUMIFS('Daily Summary(Telkom)'!$G$4:$G$1048576,'Daily Summary(Telkom)'!$B$4:$B$1048576,B39)</f>
        <v>175573</v>
      </c>
      <c r="G39" s="60">
        <f>SUMIFS('Daily Summary(Telkom)'!$H$4:$H$1048576,'Daily Summary(Telkom)'!$B$4:$B$1048576,B39)</f>
        <v>234</v>
      </c>
      <c r="H39" s="60">
        <f t="shared" si="1"/>
        <v>737.70168067226894</v>
      </c>
      <c r="I39" s="59">
        <v>306</v>
      </c>
      <c r="J39" s="104">
        <v>153423.75</v>
      </c>
      <c r="K39" s="60">
        <v>119</v>
      </c>
      <c r="L39" s="59">
        <f>SUMIFS('Daily Summary(Telkom)'!$S$4:$S$1048576,'Daily Summary(Telkom)'!$B$4:$B$1048576,B39)</f>
        <v>24095.430000000004</v>
      </c>
      <c r="M39" s="61">
        <f>SUMIFS('Daily Summary(Telkom)'!$J$4:$J$1048576,'Daily Summary(Telkom)'!$B$4:$B$1048576,B39)</f>
        <v>24095.430000000004</v>
      </c>
      <c r="N39" s="17"/>
    </row>
    <row r="40" spans="1:14" x14ac:dyDescent="0.2">
      <c r="A40" s="18"/>
      <c r="B40" s="48" t="s">
        <v>57</v>
      </c>
      <c r="C40" s="62">
        <v>33</v>
      </c>
      <c r="D40" s="59">
        <f t="shared" si="0"/>
        <v>4558.5</v>
      </c>
      <c r="E40" s="59">
        <f>SUMIFS('Daily Summary(Telkom)'!$F$4:$F$1048576,'Daily Summary(Telkom)'!$B$4:$B$1048576,B40)</f>
        <v>130</v>
      </c>
      <c r="F40" s="60">
        <f>SUMIFS('Daily Summary(Telkom)'!$G$4:$G$1048576,'Daily Summary(Telkom)'!$B$4:$B$1048576,B40)</f>
        <v>91170</v>
      </c>
      <c r="G40" s="60">
        <f>SUMIFS('Daily Summary(Telkom)'!$H$4:$H$1048576,'Daily Summary(Telkom)'!$B$4:$B$1048576,B40)</f>
        <v>126</v>
      </c>
      <c r="H40" s="60">
        <f t="shared" si="1"/>
        <v>701.30769230769226</v>
      </c>
      <c r="I40" s="59">
        <v>142</v>
      </c>
      <c r="J40" s="104">
        <v>69466.64</v>
      </c>
      <c r="K40" s="60">
        <v>57</v>
      </c>
      <c r="L40" s="59">
        <f>SUMIFS('Daily Summary(Telkom)'!$S$4:$S$1048576,'Daily Summary(Telkom)'!$B$4:$B$1048576,B40)</f>
        <v>18971.29</v>
      </c>
      <c r="M40" s="61">
        <f>SUMIFS('Daily Summary(Telkom)'!$J$4:$J$1048576,'Daily Summary(Telkom)'!$B$4:$B$1048576,B40)</f>
        <v>18971.29</v>
      </c>
      <c r="N40" s="17"/>
    </row>
    <row r="41" spans="1:14" x14ac:dyDescent="0.2">
      <c r="A41" s="18"/>
      <c r="B41" s="48" t="s">
        <v>58</v>
      </c>
      <c r="C41" s="62">
        <v>13</v>
      </c>
      <c r="D41" s="59">
        <f t="shared" si="0"/>
        <v>2598</v>
      </c>
      <c r="E41" s="59">
        <f>SUMIFS('Daily Summary(Telkom)'!$F$4:$F$1048576,'Daily Summary(Telkom)'!$B$4:$B$1048576,B41)</f>
        <v>80</v>
      </c>
      <c r="F41" s="60">
        <f>SUMIFS('Daily Summary(Telkom)'!$G$4:$G$1048576,'Daily Summary(Telkom)'!$B$4:$B$1048576,B41)</f>
        <v>51960</v>
      </c>
      <c r="G41" s="60">
        <f>SUMIFS('Daily Summary(Telkom)'!$H$4:$H$1048576,'Daily Summary(Telkom)'!$B$4:$B$1048576,B41)</f>
        <v>79</v>
      </c>
      <c r="H41" s="60">
        <f t="shared" si="1"/>
        <v>649.5</v>
      </c>
      <c r="I41" s="59">
        <v>64</v>
      </c>
      <c r="J41" s="104">
        <v>32194.3</v>
      </c>
      <c r="K41" s="60">
        <v>40</v>
      </c>
      <c r="L41" s="59">
        <f>SUMIFS('Daily Summary(Telkom)'!$S$4:$S$1048576,'Daily Summary(Telkom)'!$B$4:$B$1048576,B41)</f>
        <v>15039.11</v>
      </c>
      <c r="M41" s="61">
        <f>SUMIFS('Daily Summary(Telkom)'!$J$4:$J$1048576,'Daily Summary(Telkom)'!$B$4:$B$1048576,B41)</f>
        <v>15039.11</v>
      </c>
      <c r="N41" s="17"/>
    </row>
    <row r="42" spans="1:14" x14ac:dyDescent="0.2">
      <c r="A42" s="18"/>
      <c r="B42" s="48" t="s">
        <v>59</v>
      </c>
      <c r="C42" s="62">
        <v>8</v>
      </c>
      <c r="D42" s="59">
        <f t="shared" si="0"/>
        <v>1208</v>
      </c>
      <c r="E42" s="59">
        <f>SUMIFS('Daily Summary(Telkom)'!$F$4:$F$1048576,'Daily Summary(Telkom)'!$B$4:$B$1048576,B42)</f>
        <v>34</v>
      </c>
      <c r="F42" s="60">
        <f>SUMIFS('Daily Summary(Telkom)'!$G$4:$G$1048576,'Daily Summary(Telkom)'!$B$4:$B$1048576,B42)</f>
        <v>24160</v>
      </c>
      <c r="G42" s="60">
        <f>SUMIFS('Daily Summary(Telkom)'!$H$4:$H$1048576,'Daily Summary(Telkom)'!$B$4:$B$1048576,B42)</f>
        <v>34</v>
      </c>
      <c r="H42" s="60">
        <f t="shared" si="1"/>
        <v>710.58823529411768</v>
      </c>
      <c r="I42" s="59">
        <v>31</v>
      </c>
      <c r="J42" s="104">
        <v>13855.72</v>
      </c>
      <c r="K42" s="60">
        <v>19</v>
      </c>
      <c r="L42" s="59">
        <f>SUMIFS('Daily Summary(Telkom)'!$S$4:$S$1048576,'Daily Summary(Telkom)'!$B$4:$B$1048576,B42)</f>
        <v>6404.18</v>
      </c>
      <c r="M42" s="61">
        <f>SUMIFS('Daily Summary(Telkom)'!$J$4:$J$1048576,'Daily Summary(Telkom)'!$B$4:$B$1048576,B42)</f>
        <v>6404.18</v>
      </c>
      <c r="N42" s="17"/>
    </row>
    <row r="43" spans="1:14" x14ac:dyDescent="0.2">
      <c r="A43" s="18"/>
      <c r="B43" s="48" t="s">
        <v>60</v>
      </c>
      <c r="C43" s="62">
        <v>7</v>
      </c>
      <c r="D43" s="59">
        <f t="shared" ref="D43" si="2">5%*F43</f>
        <v>1850.5</v>
      </c>
      <c r="E43" s="59">
        <f>SUMIFS('Daily Summary(Telkom)'!$F$4:$F$1048576,'Daily Summary(Telkom)'!$B$4:$B$1048576,B43)</f>
        <v>41</v>
      </c>
      <c r="F43" s="60">
        <f>SUMIFS('Daily Summary(Telkom)'!$G$4:$G$1048576,'Daily Summary(Telkom)'!$B$4:$B$1048576,B43)</f>
        <v>37010</v>
      </c>
      <c r="G43" s="60">
        <f>SUMIFS('Daily Summary(Telkom)'!$H$4:$H$1048576,'Daily Summary(Telkom)'!$B$4:$B$1048576,B43)</f>
        <v>41</v>
      </c>
      <c r="H43" s="60">
        <f t="shared" ref="H43" si="3">F43/E43</f>
        <v>902.68292682926824</v>
      </c>
      <c r="I43" s="59">
        <v>31</v>
      </c>
      <c r="J43" s="104">
        <v>13855.72</v>
      </c>
      <c r="K43" s="60">
        <v>19</v>
      </c>
      <c r="L43" s="59">
        <f>SUMIFS('Daily Summary(Telkom)'!$S$4:$S$1048576,'Daily Summary(Telkom)'!$B$4:$B$1048576,B43)</f>
        <v>14729.630000000001</v>
      </c>
      <c r="M43" s="61">
        <f>SUMIFS('Daily Summary(Telkom)'!$J$4:$J$1048576,'Daily Summary(Telkom)'!$B$4:$B$1048576,B43)</f>
        <v>14729.630000000001</v>
      </c>
      <c r="N43" s="17"/>
    </row>
    <row r="44" spans="1:14" ht="13.5" thickBot="1" x14ac:dyDescent="0.25">
      <c r="A44" s="18"/>
      <c r="B44" s="48" t="s">
        <v>69</v>
      </c>
      <c r="C44" s="62">
        <v>26</v>
      </c>
      <c r="D44" s="59">
        <f t="shared" ref="D44" si="4">5%*F44</f>
        <v>2390.9</v>
      </c>
      <c r="E44" s="59">
        <f>SUMIFS('Daily Summary(Telkom)'!$F$4:$F$1048576,'Daily Summary(Telkom)'!$B$4:$B$1048576,B44)</f>
        <v>88</v>
      </c>
      <c r="F44" s="60">
        <f>SUMIFS('Daily Summary(Telkom)'!$G$4:$G$1048576,'Daily Summary(Telkom)'!$B$4:$B$1048576,B44)</f>
        <v>47818</v>
      </c>
      <c r="G44" s="60">
        <f>SUMIFS('Daily Summary(Telkom)'!$H$4:$H$1048576,'Daily Summary(Telkom)'!$B$4:$B$1048576,B44)</f>
        <v>88</v>
      </c>
      <c r="H44" s="60">
        <f t="shared" ref="H44" si="5">F44/E44</f>
        <v>543.38636363636363</v>
      </c>
      <c r="I44" s="59">
        <v>31</v>
      </c>
      <c r="J44" s="104">
        <v>13855.72</v>
      </c>
      <c r="K44" s="60">
        <v>19</v>
      </c>
      <c r="L44" s="59">
        <f>SUMIFS('Daily Summary(Telkom)'!$S$4:$S$1048576,'Daily Summary(Telkom)'!$B$4:$B$1048576,B44)</f>
        <v>18591.239999999998</v>
      </c>
      <c r="M44" s="61">
        <f>SUMIFS('Daily Summary(Telkom)'!$J$4:$J$1048576,'Daily Summary(Telkom)'!$B$4:$B$1048576,B44)</f>
        <v>18591.239999999998</v>
      </c>
      <c r="N44" s="17"/>
    </row>
    <row r="45" spans="1:14" ht="13.5" thickBot="1" x14ac:dyDescent="0.25">
      <c r="A45" s="18"/>
      <c r="B45" s="19" t="s">
        <v>71</v>
      </c>
      <c r="C45" s="63">
        <v>155493</v>
      </c>
      <c r="D45" s="64">
        <f>SUM(D5:D44)</f>
        <v>3021325.5809999993</v>
      </c>
      <c r="E45" s="65">
        <f>SUM(E5:E44)</f>
        <v>118427</v>
      </c>
      <c r="F45" s="65">
        <f>SUM(F5:F44)</f>
        <v>60426511.620000005</v>
      </c>
      <c r="G45" s="66">
        <v>117738</v>
      </c>
      <c r="H45" s="67">
        <f>F45/E45</f>
        <v>510.24269482465996</v>
      </c>
      <c r="I45" s="65">
        <f>SUM(I5:I44)</f>
        <v>28599</v>
      </c>
      <c r="J45" s="65">
        <f>SUM(J5:J44)</f>
        <v>12672547.860000011</v>
      </c>
      <c r="K45" s="67">
        <v>8953</v>
      </c>
      <c r="L45" s="68">
        <f>SUM(L5:L44)</f>
        <v>62555061.530000001</v>
      </c>
      <c r="M45" s="69">
        <f>SUM(M5:M44)</f>
        <v>62555064.670000002</v>
      </c>
    </row>
    <row r="46" spans="1:14" x14ac:dyDescent="0.2">
      <c r="M46" s="20"/>
    </row>
    <row r="48" spans="1:14" ht="13.5" x14ac:dyDescent="0.25">
      <c r="G48" s="21"/>
    </row>
  </sheetData>
  <mergeCells count="3">
    <mergeCell ref="E3:H3"/>
    <mergeCell ref="I3:K3"/>
    <mergeCell ref="L3:M3"/>
  </mergeCells>
  <phoneticPr fontId="10" type="noConversion"/>
  <pageMargins left="0.7" right="0.7" top="0.75" bottom="0.75" header="0.3" footer="0.3"/>
  <pageSetup orientation="portrait" r:id="rId1"/>
  <headerFooter>
    <oddFooter>&amp;R_x000D_&amp;1#&amp;"Aptos"&amp;10&amp;K000000 C2 - Safaricom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4F74-17BB-4510-81C0-9AEF9A087A10}">
  <sheetPr codeName="Sheet5"/>
  <dimension ref="A1:S1097"/>
  <sheetViews>
    <sheetView showGridLines="0" zoomScale="112" zoomScaleNormal="112" workbookViewId="0">
      <pane xSplit="2" ySplit="3" topLeftCell="E15" activePane="bottomRight" state="frozen"/>
      <selection activeCell="G45" sqref="G45"/>
      <selection pane="topRight" activeCell="G45" sqref="G45"/>
      <selection pane="bottomLeft" activeCell="G45" sqref="G45"/>
      <selection pane="bottomRight" activeCell="H7" sqref="H7:H37"/>
    </sheetView>
  </sheetViews>
  <sheetFormatPr defaultColWidth="8.7109375" defaultRowHeight="13.5" x14ac:dyDescent="0.25"/>
  <cols>
    <col min="1" max="1" width="10.7109375" style="22" bestFit="1" customWidth="1"/>
    <col min="2" max="2" width="10.42578125" style="45" bestFit="1" customWidth="1"/>
    <col min="3" max="3" width="16.5703125" style="1" bestFit="1" customWidth="1"/>
    <col min="4" max="4" width="10.28515625" style="24" bestFit="1" customWidth="1"/>
    <col min="5" max="5" width="10.5703125" style="76" bestFit="1" customWidth="1"/>
    <col min="6" max="6" width="11.7109375" style="55" bestFit="1" customWidth="1"/>
    <col min="7" max="7" width="14.85546875" style="55" bestFit="1" customWidth="1"/>
    <col min="8" max="8" width="15.28515625" style="25" bestFit="1" customWidth="1"/>
    <col min="9" max="9" width="13.28515625" style="55" bestFit="1" customWidth="1"/>
    <col min="10" max="10" width="14.5703125" style="56" bestFit="1" customWidth="1"/>
    <col min="11" max="11" width="12" style="56" bestFit="1" customWidth="1"/>
    <col min="12" max="12" width="14.85546875" style="55" bestFit="1" customWidth="1"/>
    <col min="13" max="13" width="11.42578125" style="55" bestFit="1" customWidth="1"/>
    <col min="14" max="14" width="14.85546875" style="55" bestFit="1" customWidth="1"/>
    <col min="15" max="15" width="15.28515625" style="25" bestFit="1" customWidth="1"/>
    <col min="16" max="16" width="13.28515625" style="55" bestFit="1" customWidth="1"/>
    <col min="17" max="17" width="11.7109375" style="55" bestFit="1" customWidth="1"/>
    <col min="18" max="18" width="17.42578125" style="55" customWidth="1"/>
    <col min="19" max="19" width="14.5703125" style="56" bestFit="1" customWidth="1"/>
    <col min="20" max="16384" width="8.7109375" style="22"/>
  </cols>
  <sheetData>
    <row r="1" spans="1:19" ht="14.25" thickBot="1" x14ac:dyDescent="0.3">
      <c r="A1" s="42">
        <v>46112</v>
      </c>
      <c r="B1" s="44"/>
      <c r="C1" s="23"/>
      <c r="F1" s="25"/>
      <c r="G1" s="25"/>
      <c r="I1" s="25"/>
      <c r="J1" s="26"/>
      <c r="K1" s="27"/>
      <c r="L1" s="1"/>
      <c r="M1" s="25"/>
      <c r="N1" s="25"/>
      <c r="P1" s="25"/>
      <c r="Q1" s="25"/>
      <c r="R1" s="25"/>
      <c r="S1" s="26"/>
    </row>
    <row r="2" spans="1:19" ht="26.25" customHeight="1" thickBot="1" x14ac:dyDescent="0.3">
      <c r="A2" s="28"/>
      <c r="C2" s="107" t="s">
        <v>10</v>
      </c>
      <c r="D2" s="108"/>
      <c r="E2" s="78" t="s">
        <v>22</v>
      </c>
      <c r="F2" s="105" t="s">
        <v>11</v>
      </c>
      <c r="G2" s="109"/>
      <c r="H2" s="110"/>
      <c r="I2" s="111" t="s">
        <v>21</v>
      </c>
      <c r="J2" s="112"/>
      <c r="K2" s="113" t="s">
        <v>24</v>
      </c>
      <c r="L2" s="114"/>
      <c r="M2" s="105" t="s">
        <v>12</v>
      </c>
      <c r="N2" s="106"/>
      <c r="O2" s="115"/>
      <c r="P2" s="105" t="s">
        <v>13</v>
      </c>
      <c r="Q2" s="106"/>
      <c r="R2" s="40" t="s">
        <v>1</v>
      </c>
      <c r="S2" s="40" t="s">
        <v>70</v>
      </c>
    </row>
    <row r="3" spans="1:19" s="37" customFormat="1" ht="16.5" customHeight="1" thickBot="1" x14ac:dyDescent="0.3">
      <c r="A3" s="29"/>
      <c r="B3" s="46" t="s">
        <v>2</v>
      </c>
      <c r="C3" s="30" t="s">
        <v>14</v>
      </c>
      <c r="D3" s="31" t="s">
        <v>15</v>
      </c>
      <c r="E3" s="33" t="s">
        <v>23</v>
      </c>
      <c r="F3" s="32" t="s">
        <v>16</v>
      </c>
      <c r="G3" s="33" t="s">
        <v>17</v>
      </c>
      <c r="H3" s="34" t="s">
        <v>18</v>
      </c>
      <c r="I3" s="33" t="s">
        <v>16</v>
      </c>
      <c r="J3" s="34" t="s">
        <v>17</v>
      </c>
      <c r="K3" s="35" t="s">
        <v>16</v>
      </c>
      <c r="L3" s="36" t="s">
        <v>17</v>
      </c>
      <c r="M3" s="33" t="s">
        <v>16</v>
      </c>
      <c r="N3" s="33" t="s">
        <v>17</v>
      </c>
      <c r="O3" s="34" t="s">
        <v>18</v>
      </c>
      <c r="P3" s="33" t="s">
        <v>19</v>
      </c>
      <c r="Q3" s="33" t="s">
        <v>20</v>
      </c>
      <c r="R3" s="38" t="s">
        <v>17</v>
      </c>
      <c r="S3" s="34" t="s">
        <v>17</v>
      </c>
    </row>
    <row r="4" spans="1:19" ht="15" x14ac:dyDescent="0.25">
      <c r="A4" s="28"/>
      <c r="B4" s="45" t="str">
        <f>TEXT(C4,"MMM-YYYY")</f>
        <v>Nov-2022</v>
      </c>
      <c r="C4" s="57">
        <v>44893</v>
      </c>
      <c r="D4" s="43">
        <f>$A$1-C4</f>
        <v>1219</v>
      </c>
      <c r="E4" s="76">
        <v>1</v>
      </c>
      <c r="F4" s="50"/>
      <c r="G4" s="49"/>
      <c r="H4" s="73"/>
      <c r="I4" s="52"/>
      <c r="J4" s="51"/>
      <c r="K4" s="52"/>
      <c r="L4" s="51"/>
      <c r="M4" s="52"/>
      <c r="N4" s="49"/>
      <c r="O4" s="75"/>
      <c r="P4" s="54"/>
      <c r="Q4" s="54"/>
      <c r="R4" s="53">
        <f>G4*5%</f>
        <v>0</v>
      </c>
      <c r="S4" s="51"/>
    </row>
    <row r="5" spans="1:19" ht="15" x14ac:dyDescent="0.25">
      <c r="A5" s="28"/>
      <c r="B5" s="45" t="str">
        <f t="shared" ref="B5:B68" si="0">TEXT(C5,"MMM-YYYY")</f>
        <v>Nov-2022</v>
      </c>
      <c r="C5" s="57">
        <v>44894</v>
      </c>
      <c r="D5" s="43">
        <f t="shared" ref="D5:D68" si="1">$A$1-C5</f>
        <v>1218</v>
      </c>
      <c r="E5" s="76">
        <v>1</v>
      </c>
      <c r="F5" s="50">
        <v>2</v>
      </c>
      <c r="G5" s="49">
        <v>160</v>
      </c>
      <c r="H5" s="73">
        <v>1</v>
      </c>
      <c r="I5" s="52">
        <v>1</v>
      </c>
      <c r="J5" s="51">
        <v>209.15</v>
      </c>
      <c r="K5" s="52"/>
      <c r="L5" s="51"/>
      <c r="M5" s="52"/>
      <c r="N5" s="49"/>
      <c r="O5" s="75"/>
      <c r="P5" s="54">
        <v>49.15</v>
      </c>
      <c r="Q5" s="54">
        <v>0</v>
      </c>
      <c r="R5" s="53">
        <f t="shared" ref="R5:R68" si="2">G5*5%</f>
        <v>8</v>
      </c>
      <c r="S5" s="51">
        <v>209.15</v>
      </c>
    </row>
    <row r="6" spans="1:19" ht="15" x14ac:dyDescent="0.25">
      <c r="A6" s="28"/>
      <c r="B6" s="45" t="str">
        <f t="shared" si="0"/>
        <v>Nov-2022</v>
      </c>
      <c r="C6" s="57">
        <v>44895</v>
      </c>
      <c r="D6" s="43">
        <f t="shared" si="1"/>
        <v>1217</v>
      </c>
      <c r="E6" s="76">
        <v>11329</v>
      </c>
      <c r="F6" s="50">
        <v>964</v>
      </c>
      <c r="G6" s="49">
        <v>465481</v>
      </c>
      <c r="H6" s="73">
        <v>955</v>
      </c>
      <c r="I6" s="52">
        <v>924</v>
      </c>
      <c r="J6" s="51">
        <v>461975.24</v>
      </c>
      <c r="K6" s="52"/>
      <c r="L6" s="51"/>
      <c r="M6" s="52">
        <v>326</v>
      </c>
      <c r="N6" s="49">
        <v>116514.92</v>
      </c>
      <c r="O6" s="75">
        <v>299</v>
      </c>
      <c r="P6" s="54">
        <v>113007.73000000014</v>
      </c>
      <c r="Q6" s="54">
        <v>1466.7000000000005</v>
      </c>
      <c r="R6" s="53">
        <f t="shared" si="2"/>
        <v>23274.050000000003</v>
      </c>
      <c r="S6" s="51">
        <v>461973.69999999995</v>
      </c>
    </row>
    <row r="7" spans="1:19" ht="15" x14ac:dyDescent="0.25">
      <c r="A7" s="28"/>
      <c r="B7" s="45" t="str">
        <f t="shared" si="0"/>
        <v>Dec-2022</v>
      </c>
      <c r="C7" s="57">
        <v>44896</v>
      </c>
      <c r="D7" s="43">
        <f t="shared" si="1"/>
        <v>1216</v>
      </c>
      <c r="E7" s="76">
        <v>23151</v>
      </c>
      <c r="F7" s="50">
        <v>7920</v>
      </c>
      <c r="G7" s="49">
        <v>3850692.34</v>
      </c>
      <c r="H7" s="73">
        <v>7845</v>
      </c>
      <c r="I7" s="52">
        <v>7667</v>
      </c>
      <c r="J7" s="51">
        <v>4151082.77</v>
      </c>
      <c r="K7" s="52"/>
      <c r="L7" s="51"/>
      <c r="M7" s="52">
        <v>1973</v>
      </c>
      <c r="N7" s="49">
        <v>711246.39</v>
      </c>
      <c r="O7" s="75">
        <v>1810</v>
      </c>
      <c r="P7" s="54">
        <v>1011636.6199999994</v>
      </c>
      <c r="Q7" s="54">
        <v>9343.0999999999985</v>
      </c>
      <c r="R7" s="53">
        <f t="shared" si="2"/>
        <v>192534.617</v>
      </c>
      <c r="S7" s="51">
        <v>4151082.53</v>
      </c>
    </row>
    <row r="8" spans="1:19" ht="15" x14ac:dyDescent="0.25">
      <c r="A8" s="28"/>
      <c r="B8" s="45" t="str">
        <f t="shared" si="0"/>
        <v>Dec-2022</v>
      </c>
      <c r="C8" s="57">
        <v>44897</v>
      </c>
      <c r="D8" s="43">
        <f t="shared" si="1"/>
        <v>1215</v>
      </c>
      <c r="E8" s="76">
        <v>12462</v>
      </c>
      <c r="F8" s="50">
        <v>4280</v>
      </c>
      <c r="G8" s="49">
        <v>2048871</v>
      </c>
      <c r="H8" s="73">
        <v>4225</v>
      </c>
      <c r="I8" s="52">
        <v>4116</v>
      </c>
      <c r="J8" s="51">
        <v>2300852.7100000004</v>
      </c>
      <c r="K8" s="52"/>
      <c r="L8" s="51"/>
      <c r="M8" s="52">
        <v>915</v>
      </c>
      <c r="N8" s="49">
        <v>308390.76</v>
      </c>
      <c r="O8" s="75">
        <v>848</v>
      </c>
      <c r="P8" s="54">
        <v>560372.46999999904</v>
      </c>
      <c r="Q8" s="54">
        <v>5416.3099999999995</v>
      </c>
      <c r="R8" s="53">
        <f t="shared" si="2"/>
        <v>102443.55</v>
      </c>
      <c r="S8" s="51">
        <v>2300852.7100000009</v>
      </c>
    </row>
    <row r="9" spans="1:19" ht="15" x14ac:dyDescent="0.25">
      <c r="A9" s="28"/>
      <c r="B9" s="45" t="str">
        <f t="shared" si="0"/>
        <v>Dec-2022</v>
      </c>
      <c r="C9" s="57">
        <v>44898</v>
      </c>
      <c r="D9" s="43">
        <f t="shared" si="1"/>
        <v>1214</v>
      </c>
      <c r="E9" s="76">
        <v>8477</v>
      </c>
      <c r="F9" s="50">
        <v>5495</v>
      </c>
      <c r="G9" s="49">
        <v>2692855</v>
      </c>
      <c r="H9" s="73">
        <v>5464</v>
      </c>
      <c r="I9" s="52">
        <v>5396</v>
      </c>
      <c r="J9" s="51">
        <v>3223282.0600000005</v>
      </c>
      <c r="K9" s="52">
        <v>1</v>
      </c>
      <c r="L9" s="51">
        <v>470</v>
      </c>
      <c r="M9" s="52">
        <v>717</v>
      </c>
      <c r="N9" s="49">
        <v>250450.84</v>
      </c>
      <c r="O9" s="75">
        <v>663</v>
      </c>
      <c r="P9" s="54">
        <v>780877.89999999921</v>
      </c>
      <c r="Q9" s="54">
        <v>3801.6099999999988</v>
      </c>
      <c r="R9" s="53">
        <f t="shared" si="2"/>
        <v>134642.75</v>
      </c>
      <c r="S9" s="51">
        <v>3223282.0600000005</v>
      </c>
    </row>
    <row r="10" spans="1:19" ht="15" x14ac:dyDescent="0.25">
      <c r="A10" s="28"/>
      <c r="B10" s="45" t="str">
        <f t="shared" si="0"/>
        <v>Dec-2022</v>
      </c>
      <c r="C10" s="57">
        <v>44899</v>
      </c>
      <c r="D10" s="43">
        <f t="shared" si="1"/>
        <v>1213</v>
      </c>
      <c r="E10" s="76">
        <v>5834</v>
      </c>
      <c r="F10" s="50">
        <v>3950</v>
      </c>
      <c r="G10" s="49">
        <v>1922650</v>
      </c>
      <c r="H10" s="73">
        <v>3925</v>
      </c>
      <c r="I10" s="52">
        <v>3858</v>
      </c>
      <c r="J10" s="51">
        <v>2302449.21</v>
      </c>
      <c r="K10" s="52">
        <v>2</v>
      </c>
      <c r="L10" s="51">
        <v>485</v>
      </c>
      <c r="M10" s="52">
        <v>480</v>
      </c>
      <c r="N10" s="49">
        <v>177536.52</v>
      </c>
      <c r="O10" s="75">
        <v>454</v>
      </c>
      <c r="P10" s="54">
        <v>557335.72999999695</v>
      </c>
      <c r="Q10" s="54">
        <v>2370.6700000000005</v>
      </c>
      <c r="R10" s="53">
        <f t="shared" si="2"/>
        <v>96132.5</v>
      </c>
      <c r="S10" s="51">
        <v>2302449.21</v>
      </c>
    </row>
    <row r="11" spans="1:19" ht="15" x14ac:dyDescent="0.25">
      <c r="A11" s="28"/>
      <c r="B11" s="45" t="str">
        <f t="shared" si="0"/>
        <v>Dec-2022</v>
      </c>
      <c r="C11" s="57">
        <v>44900</v>
      </c>
      <c r="D11" s="43">
        <f t="shared" si="1"/>
        <v>1212</v>
      </c>
      <c r="E11" s="76">
        <v>5621</v>
      </c>
      <c r="F11" s="50">
        <v>3465</v>
      </c>
      <c r="G11" s="49">
        <v>1688722</v>
      </c>
      <c r="H11" s="73">
        <v>3435</v>
      </c>
      <c r="I11" s="52">
        <v>3388</v>
      </c>
      <c r="J11" s="51">
        <v>1995587.2300000002</v>
      </c>
      <c r="K11" s="52">
        <v>27</v>
      </c>
      <c r="L11" s="51">
        <v>8244.739999999998</v>
      </c>
      <c r="M11" s="52">
        <v>529</v>
      </c>
      <c r="N11" s="49">
        <v>176526.66</v>
      </c>
      <c r="O11" s="75">
        <v>487</v>
      </c>
      <c r="P11" s="54">
        <v>483391.88999999937</v>
      </c>
      <c r="Q11" s="54">
        <v>2870.4300000000007</v>
      </c>
      <c r="R11" s="53">
        <f t="shared" si="2"/>
        <v>84436.1</v>
      </c>
      <c r="S11" s="51">
        <v>1995587.2300000002</v>
      </c>
    </row>
    <row r="12" spans="1:19" ht="15" x14ac:dyDescent="0.25">
      <c r="A12" s="28"/>
      <c r="B12" s="45" t="str">
        <f t="shared" si="0"/>
        <v>Dec-2022</v>
      </c>
      <c r="C12" s="57">
        <v>44901</v>
      </c>
      <c r="D12" s="43">
        <f t="shared" si="1"/>
        <v>1211</v>
      </c>
      <c r="E12" s="76">
        <v>4620</v>
      </c>
      <c r="F12" s="50">
        <v>3131</v>
      </c>
      <c r="G12" s="49">
        <v>1533780</v>
      </c>
      <c r="H12" s="73">
        <v>3115</v>
      </c>
      <c r="I12" s="52">
        <v>3082</v>
      </c>
      <c r="J12" s="51">
        <v>1845323.0699999998</v>
      </c>
      <c r="K12" s="52">
        <v>18</v>
      </c>
      <c r="L12" s="51">
        <v>4952.6900000000005</v>
      </c>
      <c r="M12" s="52">
        <v>371</v>
      </c>
      <c r="N12" s="49">
        <v>134641.87</v>
      </c>
      <c r="O12" s="75">
        <v>347</v>
      </c>
      <c r="P12" s="54">
        <v>446184.93999999965</v>
      </c>
      <c r="Q12" s="54">
        <v>2038.9300000000003</v>
      </c>
      <c r="R12" s="53">
        <f t="shared" si="2"/>
        <v>76689</v>
      </c>
      <c r="S12" s="51">
        <v>1845323.0699999998</v>
      </c>
    </row>
    <row r="13" spans="1:19" ht="15" x14ac:dyDescent="0.25">
      <c r="A13" s="28"/>
      <c r="B13" s="45" t="str">
        <f t="shared" si="0"/>
        <v>Dec-2022</v>
      </c>
      <c r="C13" s="57">
        <v>44902</v>
      </c>
      <c r="D13" s="43">
        <f t="shared" si="1"/>
        <v>1210</v>
      </c>
      <c r="E13" s="76">
        <v>5554</v>
      </c>
      <c r="F13" s="50">
        <v>3445</v>
      </c>
      <c r="G13" s="49">
        <v>1682131</v>
      </c>
      <c r="H13" s="73">
        <v>3420</v>
      </c>
      <c r="I13" s="52">
        <v>3376</v>
      </c>
      <c r="J13" s="51">
        <v>2048559.7599999998</v>
      </c>
      <c r="K13" s="52">
        <v>18</v>
      </c>
      <c r="L13" s="51">
        <v>4921.5</v>
      </c>
      <c r="M13" s="52">
        <v>355</v>
      </c>
      <c r="N13" s="49">
        <v>128598.89</v>
      </c>
      <c r="O13" s="75">
        <v>332</v>
      </c>
      <c r="P13" s="54">
        <v>495027.6499999981</v>
      </c>
      <c r="Q13" s="54">
        <v>2209.63</v>
      </c>
      <c r="R13" s="53">
        <f t="shared" si="2"/>
        <v>84106.55</v>
      </c>
      <c r="S13" s="51">
        <v>2048559.76</v>
      </c>
    </row>
    <row r="14" spans="1:19" ht="15" x14ac:dyDescent="0.25">
      <c r="A14" s="28"/>
      <c r="B14" s="45" t="str">
        <f t="shared" si="0"/>
        <v>Dec-2022</v>
      </c>
      <c r="C14" s="57">
        <v>44903</v>
      </c>
      <c r="D14" s="43">
        <f t="shared" si="1"/>
        <v>1209</v>
      </c>
      <c r="E14" s="76">
        <v>5409</v>
      </c>
      <c r="F14" s="50">
        <v>4382</v>
      </c>
      <c r="G14" s="49">
        <v>2151140</v>
      </c>
      <c r="H14" s="73">
        <v>4362</v>
      </c>
      <c r="I14" s="52">
        <v>4318</v>
      </c>
      <c r="J14" s="51">
        <v>2692329.59</v>
      </c>
      <c r="K14" s="52">
        <v>21</v>
      </c>
      <c r="L14" s="51">
        <v>5414.89</v>
      </c>
      <c r="M14" s="52">
        <v>326</v>
      </c>
      <c r="N14" s="49">
        <v>107890.24000000001</v>
      </c>
      <c r="O14" s="75">
        <v>296</v>
      </c>
      <c r="P14" s="54">
        <v>649079.82999999984</v>
      </c>
      <c r="Q14" s="54">
        <v>1661.9600000000003</v>
      </c>
      <c r="R14" s="53">
        <f t="shared" si="2"/>
        <v>107557</v>
      </c>
      <c r="S14" s="51">
        <v>2692329.59</v>
      </c>
    </row>
    <row r="15" spans="1:19" ht="15" x14ac:dyDescent="0.25">
      <c r="A15" s="28"/>
      <c r="B15" s="45" t="str">
        <f t="shared" si="0"/>
        <v>Dec-2022</v>
      </c>
      <c r="C15" s="57">
        <v>44904</v>
      </c>
      <c r="D15" s="43">
        <f t="shared" si="1"/>
        <v>1208</v>
      </c>
      <c r="E15" s="76">
        <v>6080</v>
      </c>
      <c r="F15" s="50">
        <v>5225</v>
      </c>
      <c r="G15" s="49">
        <v>2594676</v>
      </c>
      <c r="H15" s="73">
        <v>5206</v>
      </c>
      <c r="I15" s="52">
        <v>5191</v>
      </c>
      <c r="J15" s="51">
        <v>3254965.7899999996</v>
      </c>
      <c r="K15" s="52">
        <v>26</v>
      </c>
      <c r="L15" s="51">
        <v>8980.5399999999991</v>
      </c>
      <c r="M15" s="52">
        <v>316</v>
      </c>
      <c r="N15" s="49">
        <v>124371.26</v>
      </c>
      <c r="O15" s="75">
        <v>295</v>
      </c>
      <c r="P15" s="54">
        <v>784661.05000000016</v>
      </c>
      <c r="Q15" s="54">
        <v>2634.7399999999993</v>
      </c>
      <c r="R15" s="53">
        <f t="shared" si="2"/>
        <v>129733.8</v>
      </c>
      <c r="S15" s="51">
        <v>3254965.7899999996</v>
      </c>
    </row>
    <row r="16" spans="1:19" ht="15" x14ac:dyDescent="0.25">
      <c r="A16" s="28"/>
      <c r="B16" s="45" t="str">
        <f t="shared" si="0"/>
        <v>Dec-2022</v>
      </c>
      <c r="C16" s="57">
        <v>44905</v>
      </c>
      <c r="D16" s="43">
        <f t="shared" si="1"/>
        <v>1207</v>
      </c>
      <c r="E16" s="76">
        <v>6996</v>
      </c>
      <c r="F16" s="50">
        <v>6002</v>
      </c>
      <c r="G16" s="49">
        <v>2983103</v>
      </c>
      <c r="H16" s="73">
        <v>5987</v>
      </c>
      <c r="I16" s="52">
        <v>5973</v>
      </c>
      <c r="J16" s="51">
        <v>3813772.1499999985</v>
      </c>
      <c r="K16" s="52">
        <v>17</v>
      </c>
      <c r="L16" s="51">
        <v>6466.15</v>
      </c>
      <c r="M16" s="52">
        <v>241</v>
      </c>
      <c r="N16" s="49">
        <v>86302.16</v>
      </c>
      <c r="O16" s="75">
        <v>218</v>
      </c>
      <c r="P16" s="54">
        <v>916971.31000000099</v>
      </c>
      <c r="Q16" s="54">
        <v>1060.56</v>
      </c>
      <c r="R16" s="53">
        <f t="shared" si="2"/>
        <v>149155.15</v>
      </c>
      <c r="S16" s="51">
        <v>3813772.1499999985</v>
      </c>
    </row>
    <row r="17" spans="1:19" ht="15" x14ac:dyDescent="0.25">
      <c r="A17" s="28"/>
      <c r="B17" s="45" t="str">
        <f t="shared" si="0"/>
        <v>Dec-2022</v>
      </c>
      <c r="C17" s="57">
        <v>44906</v>
      </c>
      <c r="D17" s="43">
        <f t="shared" si="1"/>
        <v>1206</v>
      </c>
      <c r="E17" s="76">
        <v>8052</v>
      </c>
      <c r="F17" s="50">
        <v>7138</v>
      </c>
      <c r="G17" s="49">
        <v>3550350</v>
      </c>
      <c r="H17" s="73">
        <v>7120</v>
      </c>
      <c r="I17" s="52">
        <v>7107</v>
      </c>
      <c r="J17" s="51">
        <v>4577054.0200000042</v>
      </c>
      <c r="K17" s="52">
        <v>23</v>
      </c>
      <c r="L17" s="51">
        <v>8135.3199999999979</v>
      </c>
      <c r="M17" s="52">
        <v>186</v>
      </c>
      <c r="N17" s="49">
        <v>73066.31</v>
      </c>
      <c r="O17" s="75">
        <v>177</v>
      </c>
      <c r="P17" s="54">
        <v>1099770.3300000005</v>
      </c>
      <c r="Q17" s="54">
        <v>1342.9199999999998</v>
      </c>
      <c r="R17" s="53">
        <f t="shared" si="2"/>
        <v>177517.5</v>
      </c>
      <c r="S17" s="51">
        <v>4577054.0200000042</v>
      </c>
    </row>
    <row r="18" spans="1:19" ht="15" x14ac:dyDescent="0.25">
      <c r="A18" s="28"/>
      <c r="B18" s="45" t="str">
        <f t="shared" si="0"/>
        <v>Dec-2022</v>
      </c>
      <c r="C18" s="57">
        <v>44907</v>
      </c>
      <c r="D18" s="43">
        <f t="shared" si="1"/>
        <v>1205</v>
      </c>
      <c r="E18" s="76">
        <v>8533</v>
      </c>
      <c r="F18" s="50">
        <v>7388</v>
      </c>
      <c r="G18" s="49">
        <v>3672784</v>
      </c>
      <c r="H18" s="73">
        <v>7374</v>
      </c>
      <c r="I18" s="52">
        <v>7358</v>
      </c>
      <c r="J18" s="51">
        <v>4740705.1400000025</v>
      </c>
      <c r="K18" s="52">
        <v>16</v>
      </c>
      <c r="L18" s="51">
        <v>5812.66</v>
      </c>
      <c r="M18" s="52">
        <v>177</v>
      </c>
      <c r="N18" s="49">
        <v>70020.649999999994</v>
      </c>
      <c r="O18" s="75">
        <v>171</v>
      </c>
      <c r="P18" s="54">
        <v>1137941.7900000003</v>
      </c>
      <c r="Q18" s="54">
        <v>860.70999999999992</v>
      </c>
      <c r="R18" s="53">
        <f t="shared" si="2"/>
        <v>183639.2</v>
      </c>
      <c r="S18" s="51">
        <v>4740705.1400000025</v>
      </c>
    </row>
    <row r="19" spans="1:19" ht="15" x14ac:dyDescent="0.25">
      <c r="A19" s="28"/>
      <c r="B19" s="45" t="str">
        <f t="shared" si="0"/>
        <v>Dec-2022</v>
      </c>
      <c r="C19" s="57">
        <v>44908</v>
      </c>
      <c r="D19" s="43">
        <f t="shared" si="1"/>
        <v>1204</v>
      </c>
      <c r="E19" s="76">
        <v>8054</v>
      </c>
      <c r="F19" s="50">
        <v>6799</v>
      </c>
      <c r="G19" s="49">
        <v>3386535</v>
      </c>
      <c r="H19" s="73">
        <v>6788</v>
      </c>
      <c r="I19" s="52">
        <v>6779</v>
      </c>
      <c r="J19" s="51">
        <v>4341979.3699999982</v>
      </c>
      <c r="K19" s="52">
        <v>17</v>
      </c>
      <c r="L19" s="51">
        <v>4124.8100000000004</v>
      </c>
      <c r="M19" s="52">
        <v>246</v>
      </c>
      <c r="N19" s="49">
        <v>87433.56</v>
      </c>
      <c r="O19" s="75">
        <v>225</v>
      </c>
      <c r="P19" s="54">
        <v>1042877.9299999988</v>
      </c>
      <c r="Q19" s="54">
        <v>2364.5900000000015</v>
      </c>
      <c r="R19" s="53">
        <f t="shared" si="2"/>
        <v>169326.75</v>
      </c>
      <c r="S19" s="51">
        <v>4341979.3699999982</v>
      </c>
    </row>
    <row r="20" spans="1:19" ht="15" x14ac:dyDescent="0.25">
      <c r="A20" s="28"/>
      <c r="B20" s="45" t="str">
        <f t="shared" si="0"/>
        <v>Dec-2022</v>
      </c>
      <c r="C20" s="57">
        <v>44909</v>
      </c>
      <c r="D20" s="43">
        <f t="shared" si="1"/>
        <v>1203</v>
      </c>
      <c r="E20" s="76">
        <v>10217</v>
      </c>
      <c r="F20" s="50">
        <v>8280</v>
      </c>
      <c r="G20" s="49">
        <v>4130675</v>
      </c>
      <c r="H20" s="73">
        <v>8271</v>
      </c>
      <c r="I20" s="52">
        <v>8268</v>
      </c>
      <c r="J20" s="51">
        <v>5315911.829999988</v>
      </c>
      <c r="K20" s="52">
        <v>14</v>
      </c>
      <c r="L20" s="51">
        <v>5302.88</v>
      </c>
      <c r="M20" s="52">
        <v>225</v>
      </c>
      <c r="N20" s="49">
        <v>90513.600000000006</v>
      </c>
      <c r="O20" s="75">
        <v>215</v>
      </c>
      <c r="P20" s="54">
        <v>1275750.4299999957</v>
      </c>
      <c r="Q20" s="54">
        <v>2523.0199999999991</v>
      </c>
      <c r="R20" s="53">
        <f t="shared" si="2"/>
        <v>206533.75</v>
      </c>
      <c r="S20" s="51">
        <v>5315911.8299999898</v>
      </c>
    </row>
    <row r="21" spans="1:19" ht="15" x14ac:dyDescent="0.25">
      <c r="A21" s="28"/>
      <c r="B21" s="45" t="str">
        <f t="shared" si="0"/>
        <v>Dec-2022</v>
      </c>
      <c r="C21" s="57">
        <v>44910</v>
      </c>
      <c r="D21" s="43">
        <f t="shared" si="1"/>
        <v>1202</v>
      </c>
      <c r="E21" s="76">
        <v>7434</v>
      </c>
      <c r="F21" s="50">
        <v>6472</v>
      </c>
      <c r="G21" s="49">
        <v>3223439</v>
      </c>
      <c r="H21" s="73">
        <v>6461</v>
      </c>
      <c r="I21" s="52">
        <v>6453</v>
      </c>
      <c r="J21" s="51">
        <v>4135922.8200000017</v>
      </c>
      <c r="K21" s="52">
        <v>18</v>
      </c>
      <c r="L21" s="51">
        <v>5686.01</v>
      </c>
      <c r="M21" s="52">
        <v>219</v>
      </c>
      <c r="N21" s="49">
        <v>80282.63</v>
      </c>
      <c r="O21" s="75">
        <v>202</v>
      </c>
      <c r="P21" s="54">
        <v>992766.44999999902</v>
      </c>
      <c r="Q21" s="54">
        <v>3038.4899999999984</v>
      </c>
      <c r="R21" s="53">
        <f t="shared" si="2"/>
        <v>161171.95000000001</v>
      </c>
      <c r="S21" s="51">
        <v>4135922.8200000017</v>
      </c>
    </row>
    <row r="22" spans="1:19" ht="15" x14ac:dyDescent="0.25">
      <c r="A22" s="28"/>
      <c r="B22" s="45" t="str">
        <f t="shared" si="0"/>
        <v>Dec-2022</v>
      </c>
      <c r="C22" s="57">
        <v>44911</v>
      </c>
      <c r="D22" s="43">
        <f t="shared" si="1"/>
        <v>1201</v>
      </c>
      <c r="E22" s="76">
        <v>186</v>
      </c>
      <c r="F22" s="50">
        <v>325</v>
      </c>
      <c r="G22" s="49">
        <v>150955</v>
      </c>
      <c r="H22" s="73">
        <v>320</v>
      </c>
      <c r="I22" s="52">
        <v>305</v>
      </c>
      <c r="J22" s="51">
        <v>145409.6400000001</v>
      </c>
      <c r="K22" s="52">
        <v>11</v>
      </c>
      <c r="L22" s="51">
        <v>4075.5</v>
      </c>
      <c r="M22" s="52">
        <v>108</v>
      </c>
      <c r="N22" s="49">
        <v>40996.25</v>
      </c>
      <c r="O22" s="75">
        <v>99</v>
      </c>
      <c r="P22" s="54">
        <v>35450.890000000007</v>
      </c>
      <c r="Q22" s="54">
        <v>692.92999999999984</v>
      </c>
      <c r="R22" s="53">
        <f t="shared" si="2"/>
        <v>7547.75</v>
      </c>
      <c r="S22" s="51">
        <v>145409.6400000001</v>
      </c>
    </row>
    <row r="23" spans="1:19" ht="15" x14ac:dyDescent="0.25">
      <c r="A23" s="28"/>
      <c r="B23" s="45" t="str">
        <f t="shared" si="0"/>
        <v>Dec-2022</v>
      </c>
      <c r="C23" s="57">
        <v>44912</v>
      </c>
      <c r="D23" s="43">
        <f t="shared" si="1"/>
        <v>1200</v>
      </c>
      <c r="E23" s="76">
        <v>142</v>
      </c>
      <c r="F23" s="50">
        <v>267</v>
      </c>
      <c r="G23" s="49">
        <v>128736</v>
      </c>
      <c r="H23" s="73">
        <v>261</v>
      </c>
      <c r="I23" s="52">
        <v>259</v>
      </c>
      <c r="J23" s="51">
        <v>121002.47</v>
      </c>
      <c r="K23" s="52">
        <v>8</v>
      </c>
      <c r="L23" s="51">
        <v>2280.33</v>
      </c>
      <c r="M23" s="52">
        <v>84</v>
      </c>
      <c r="N23" s="49">
        <v>37143.99</v>
      </c>
      <c r="O23" s="75">
        <v>81</v>
      </c>
      <c r="P23" s="54">
        <v>29410.460000000006</v>
      </c>
      <c r="Q23" s="54">
        <v>501.12</v>
      </c>
      <c r="R23" s="53">
        <f t="shared" si="2"/>
        <v>6436.8</v>
      </c>
      <c r="S23" s="51">
        <v>121002.47</v>
      </c>
    </row>
    <row r="24" spans="1:19" ht="15" x14ac:dyDescent="0.25">
      <c r="A24" s="28"/>
      <c r="B24" s="45" t="str">
        <f t="shared" si="0"/>
        <v>Dec-2022</v>
      </c>
      <c r="C24" s="57">
        <v>44913</v>
      </c>
      <c r="D24" s="43">
        <f t="shared" si="1"/>
        <v>1199</v>
      </c>
      <c r="E24" s="76">
        <v>140</v>
      </c>
      <c r="F24" s="50">
        <v>216</v>
      </c>
      <c r="G24" s="49">
        <v>99510</v>
      </c>
      <c r="H24" s="73">
        <v>212</v>
      </c>
      <c r="I24" s="52">
        <v>201</v>
      </c>
      <c r="J24" s="51">
        <v>82944.56</v>
      </c>
      <c r="K24" s="52">
        <v>6</v>
      </c>
      <c r="L24" s="51">
        <v>1450.15</v>
      </c>
      <c r="M24" s="52">
        <v>89</v>
      </c>
      <c r="N24" s="49">
        <v>36755.599999999999</v>
      </c>
      <c r="O24" s="75">
        <v>85</v>
      </c>
      <c r="P24" s="54">
        <v>20190.16</v>
      </c>
      <c r="Q24" s="54">
        <v>373.72999999999996</v>
      </c>
      <c r="R24" s="53">
        <f t="shared" si="2"/>
        <v>4975.5</v>
      </c>
      <c r="S24" s="51">
        <v>82944.56</v>
      </c>
    </row>
    <row r="25" spans="1:19" ht="15" x14ac:dyDescent="0.25">
      <c r="A25" s="28"/>
      <c r="B25" s="45" t="str">
        <f t="shared" si="0"/>
        <v>Dec-2022</v>
      </c>
      <c r="C25" s="57">
        <v>44914</v>
      </c>
      <c r="D25" s="43">
        <f t="shared" si="1"/>
        <v>1198</v>
      </c>
      <c r="E25" s="76">
        <v>153</v>
      </c>
      <c r="F25" s="50">
        <v>240</v>
      </c>
      <c r="G25" s="49">
        <v>117450</v>
      </c>
      <c r="H25" s="73">
        <v>240</v>
      </c>
      <c r="I25" s="52">
        <v>235</v>
      </c>
      <c r="J25" s="51">
        <v>112966.03999999998</v>
      </c>
      <c r="K25" s="52">
        <v>2</v>
      </c>
      <c r="L25" s="51">
        <v>975.11</v>
      </c>
      <c r="M25" s="52">
        <v>75</v>
      </c>
      <c r="N25" s="49">
        <v>31926.17</v>
      </c>
      <c r="O25" s="75">
        <v>74</v>
      </c>
      <c r="P25" s="54">
        <v>27442.209999999995</v>
      </c>
      <c r="Q25" s="54">
        <v>496.16999999999985</v>
      </c>
      <c r="R25" s="53">
        <f t="shared" si="2"/>
        <v>5872.5</v>
      </c>
      <c r="S25" s="51">
        <v>112966.03999999998</v>
      </c>
    </row>
    <row r="26" spans="1:19" ht="15" x14ac:dyDescent="0.25">
      <c r="A26" s="28"/>
      <c r="B26" s="45" t="str">
        <f t="shared" si="0"/>
        <v>Dec-2022</v>
      </c>
      <c r="C26" s="57">
        <v>44915</v>
      </c>
      <c r="D26" s="43">
        <f t="shared" si="1"/>
        <v>1197</v>
      </c>
      <c r="E26" s="76">
        <v>151</v>
      </c>
      <c r="F26" s="50">
        <v>293</v>
      </c>
      <c r="G26" s="49">
        <v>138781</v>
      </c>
      <c r="H26" s="73">
        <v>291</v>
      </c>
      <c r="I26" s="52">
        <v>281</v>
      </c>
      <c r="J26" s="51">
        <v>130162.09999999999</v>
      </c>
      <c r="K26" s="52">
        <v>3</v>
      </c>
      <c r="L26" s="51">
        <v>800.13</v>
      </c>
      <c r="M26" s="52">
        <v>104</v>
      </c>
      <c r="N26" s="49">
        <v>40506.339999999997</v>
      </c>
      <c r="O26" s="75">
        <v>100</v>
      </c>
      <c r="P26" s="54">
        <v>31887.440000000031</v>
      </c>
      <c r="Q26" s="54">
        <v>860.41</v>
      </c>
      <c r="R26" s="53">
        <f t="shared" si="2"/>
        <v>6939.05</v>
      </c>
      <c r="S26" s="51">
        <v>130162.09999999999</v>
      </c>
    </row>
    <row r="27" spans="1:19" ht="15" x14ac:dyDescent="0.25">
      <c r="A27" s="28"/>
      <c r="B27" s="45" t="str">
        <f t="shared" si="0"/>
        <v>Dec-2022</v>
      </c>
      <c r="C27" s="57">
        <v>44916</v>
      </c>
      <c r="D27" s="43">
        <f t="shared" si="1"/>
        <v>1196</v>
      </c>
      <c r="E27" s="76">
        <v>126</v>
      </c>
      <c r="F27" s="50">
        <v>289</v>
      </c>
      <c r="G27" s="49">
        <v>140710</v>
      </c>
      <c r="H27" s="73">
        <v>287</v>
      </c>
      <c r="I27" s="52">
        <v>286</v>
      </c>
      <c r="J27" s="51">
        <v>127985.18</v>
      </c>
      <c r="K27" s="52">
        <v>7</v>
      </c>
      <c r="L27" s="51">
        <v>1771.22</v>
      </c>
      <c r="M27" s="52">
        <v>107</v>
      </c>
      <c r="N27" s="49">
        <v>44351.72</v>
      </c>
      <c r="O27" s="75">
        <v>102</v>
      </c>
      <c r="P27" s="54">
        <v>31626.900000000009</v>
      </c>
      <c r="Q27" s="54">
        <v>1213.5600000000002</v>
      </c>
      <c r="R27" s="53">
        <f t="shared" si="2"/>
        <v>7035.5</v>
      </c>
      <c r="S27" s="51">
        <v>127985.18</v>
      </c>
    </row>
    <row r="28" spans="1:19" ht="15" x14ac:dyDescent="0.25">
      <c r="A28" s="28"/>
      <c r="B28" s="45" t="str">
        <f t="shared" si="0"/>
        <v>Dec-2022</v>
      </c>
      <c r="C28" s="57">
        <v>44917</v>
      </c>
      <c r="D28" s="43">
        <f t="shared" si="1"/>
        <v>1195</v>
      </c>
      <c r="E28" s="76">
        <v>123</v>
      </c>
      <c r="F28" s="50">
        <v>272</v>
      </c>
      <c r="G28" s="49">
        <v>129438</v>
      </c>
      <c r="H28" s="73">
        <v>266</v>
      </c>
      <c r="I28" s="52">
        <v>262</v>
      </c>
      <c r="J28" s="51">
        <v>116288.34999999999</v>
      </c>
      <c r="K28" s="52">
        <v>6</v>
      </c>
      <c r="L28" s="51">
        <v>1169.22</v>
      </c>
      <c r="M28" s="52">
        <v>102</v>
      </c>
      <c r="N28" s="49">
        <v>42074.71</v>
      </c>
      <c r="O28" s="75">
        <v>99</v>
      </c>
      <c r="P28" s="54">
        <v>28925.059999999987</v>
      </c>
      <c r="Q28" s="54">
        <v>1320.0700000000004</v>
      </c>
      <c r="R28" s="53">
        <f t="shared" si="2"/>
        <v>6471.9000000000005</v>
      </c>
      <c r="S28" s="51">
        <v>116288.34999999999</v>
      </c>
    </row>
    <row r="29" spans="1:19" ht="15" x14ac:dyDescent="0.25">
      <c r="A29" s="28"/>
      <c r="B29" s="45" t="str">
        <f t="shared" si="0"/>
        <v>Dec-2022</v>
      </c>
      <c r="C29" s="57">
        <v>44918</v>
      </c>
      <c r="D29" s="43">
        <f t="shared" si="1"/>
        <v>1194</v>
      </c>
      <c r="E29" s="76">
        <v>79</v>
      </c>
      <c r="F29" s="50">
        <v>216</v>
      </c>
      <c r="G29" s="49">
        <v>103029</v>
      </c>
      <c r="H29" s="73">
        <v>211</v>
      </c>
      <c r="I29" s="52">
        <v>208</v>
      </c>
      <c r="J29" s="51">
        <v>93344.829999999973</v>
      </c>
      <c r="K29" s="52">
        <v>5</v>
      </c>
      <c r="L29" s="51">
        <v>1645.1100000000001</v>
      </c>
      <c r="M29" s="52">
        <v>79</v>
      </c>
      <c r="N29" s="49">
        <v>32756.13</v>
      </c>
      <c r="O29" s="75">
        <v>74</v>
      </c>
      <c r="P29" s="54">
        <v>23071.960000000017</v>
      </c>
      <c r="Q29" s="54">
        <v>928.87999999999988</v>
      </c>
      <c r="R29" s="53">
        <f t="shared" si="2"/>
        <v>5151.4500000000007</v>
      </c>
      <c r="S29" s="51">
        <v>93344.829999999973</v>
      </c>
    </row>
    <row r="30" spans="1:19" ht="15" x14ac:dyDescent="0.25">
      <c r="A30" s="28"/>
      <c r="B30" s="45" t="str">
        <f t="shared" si="0"/>
        <v>Dec-2022</v>
      </c>
      <c r="C30" s="57">
        <v>44919</v>
      </c>
      <c r="D30" s="43">
        <f t="shared" si="1"/>
        <v>1193</v>
      </c>
      <c r="E30" s="76">
        <v>71</v>
      </c>
      <c r="F30" s="50">
        <v>226</v>
      </c>
      <c r="G30" s="49">
        <v>109026</v>
      </c>
      <c r="H30" s="73">
        <v>224</v>
      </c>
      <c r="I30" s="52">
        <v>221</v>
      </c>
      <c r="J30" s="51">
        <v>93616.780000000013</v>
      </c>
      <c r="K30" s="52">
        <v>7</v>
      </c>
      <c r="L30" s="51">
        <v>1712.22</v>
      </c>
      <c r="M30" s="52">
        <v>99</v>
      </c>
      <c r="N30" s="49">
        <v>38559.769999999997</v>
      </c>
      <c r="O30" s="75">
        <v>93</v>
      </c>
      <c r="P30" s="54">
        <v>23150.550000000021</v>
      </c>
      <c r="Q30" s="54">
        <v>1046.3599999999999</v>
      </c>
      <c r="R30" s="53">
        <f t="shared" si="2"/>
        <v>5451.3</v>
      </c>
      <c r="S30" s="51">
        <v>93616.780000000013</v>
      </c>
    </row>
    <row r="31" spans="1:19" ht="15" x14ac:dyDescent="0.25">
      <c r="A31" s="28"/>
      <c r="B31" s="45" t="str">
        <f t="shared" si="0"/>
        <v>Dec-2022</v>
      </c>
      <c r="C31" s="57">
        <v>44920</v>
      </c>
      <c r="D31" s="43">
        <f t="shared" si="1"/>
        <v>1192</v>
      </c>
      <c r="E31" s="76">
        <v>66</v>
      </c>
      <c r="F31" s="50">
        <v>142</v>
      </c>
      <c r="G31" s="49">
        <v>70550</v>
      </c>
      <c r="H31" s="73">
        <v>141</v>
      </c>
      <c r="I31" s="52">
        <v>141</v>
      </c>
      <c r="J31" s="51">
        <v>62127.299999999974</v>
      </c>
      <c r="K31" s="52">
        <v>4</v>
      </c>
      <c r="L31" s="51">
        <v>1520.22</v>
      </c>
      <c r="M31" s="52">
        <v>66</v>
      </c>
      <c r="N31" s="49">
        <v>24135.599999999999</v>
      </c>
      <c r="O31" s="75">
        <v>61</v>
      </c>
      <c r="P31" s="54">
        <v>15712.900000000005</v>
      </c>
      <c r="Q31" s="54">
        <v>1082.0600000000002</v>
      </c>
      <c r="R31" s="53">
        <f t="shared" si="2"/>
        <v>3527.5</v>
      </c>
      <c r="S31" s="51">
        <v>62127.299999999974</v>
      </c>
    </row>
    <row r="32" spans="1:19" ht="15" x14ac:dyDescent="0.25">
      <c r="A32" s="28"/>
      <c r="B32" s="45" t="str">
        <f t="shared" si="0"/>
        <v>Dec-2022</v>
      </c>
      <c r="C32" s="57">
        <v>44921</v>
      </c>
      <c r="D32" s="43">
        <f t="shared" si="1"/>
        <v>1191</v>
      </c>
      <c r="E32" s="76">
        <v>67</v>
      </c>
      <c r="F32" s="50">
        <v>160</v>
      </c>
      <c r="G32" s="49">
        <v>77835</v>
      </c>
      <c r="H32" s="73">
        <v>158</v>
      </c>
      <c r="I32" s="52">
        <v>156</v>
      </c>
      <c r="J32" s="51">
        <v>70736.799999999974</v>
      </c>
      <c r="K32" s="52"/>
      <c r="L32" s="51"/>
      <c r="M32" s="52">
        <v>58</v>
      </c>
      <c r="N32" s="49">
        <v>24581.61</v>
      </c>
      <c r="O32" s="75">
        <v>54</v>
      </c>
      <c r="P32" s="54">
        <v>17483.410000000018</v>
      </c>
      <c r="Q32" s="54">
        <v>730.57999999999993</v>
      </c>
      <c r="R32" s="53">
        <f t="shared" si="2"/>
        <v>3891.75</v>
      </c>
      <c r="S32" s="51">
        <v>70736.799999999974</v>
      </c>
    </row>
    <row r="33" spans="1:19" ht="15" x14ac:dyDescent="0.25">
      <c r="A33" s="28"/>
      <c r="B33" s="45" t="str">
        <f t="shared" si="0"/>
        <v>Dec-2022</v>
      </c>
      <c r="C33" s="57">
        <v>44922</v>
      </c>
      <c r="D33" s="43">
        <f t="shared" si="1"/>
        <v>1190</v>
      </c>
      <c r="E33" s="76">
        <v>86</v>
      </c>
      <c r="F33" s="50">
        <v>185</v>
      </c>
      <c r="G33" s="49">
        <v>88400</v>
      </c>
      <c r="H33" s="73">
        <v>182</v>
      </c>
      <c r="I33" s="52">
        <v>178</v>
      </c>
      <c r="J33" s="51">
        <v>78588.030000000115</v>
      </c>
      <c r="K33" s="52">
        <v>2</v>
      </c>
      <c r="L33" s="51">
        <v>880.11</v>
      </c>
      <c r="M33" s="52">
        <v>79</v>
      </c>
      <c r="N33" s="49">
        <v>29502.14</v>
      </c>
      <c r="O33" s="75">
        <v>69</v>
      </c>
      <c r="P33" s="54">
        <v>19690.170000000009</v>
      </c>
      <c r="Q33" s="54">
        <v>1119.42</v>
      </c>
      <c r="R33" s="53">
        <f t="shared" si="2"/>
        <v>4420</v>
      </c>
      <c r="S33" s="51">
        <v>78588.030000000115</v>
      </c>
    </row>
    <row r="34" spans="1:19" ht="15" x14ac:dyDescent="0.25">
      <c r="A34" s="28"/>
      <c r="B34" s="45" t="str">
        <f t="shared" si="0"/>
        <v>Dec-2022</v>
      </c>
      <c r="C34" s="57">
        <v>44923</v>
      </c>
      <c r="D34" s="43">
        <f t="shared" si="1"/>
        <v>1189</v>
      </c>
      <c r="E34" s="76">
        <v>76</v>
      </c>
      <c r="F34" s="50">
        <v>197</v>
      </c>
      <c r="G34" s="49">
        <v>94789</v>
      </c>
      <c r="H34" s="73">
        <v>197</v>
      </c>
      <c r="I34" s="52">
        <v>191</v>
      </c>
      <c r="J34" s="51">
        <v>75247.770000000019</v>
      </c>
      <c r="K34" s="52">
        <v>3</v>
      </c>
      <c r="L34" s="51">
        <v>975.11</v>
      </c>
      <c r="M34" s="52">
        <v>95</v>
      </c>
      <c r="N34" s="49">
        <v>38110.620000000003</v>
      </c>
      <c r="O34" s="75">
        <v>91</v>
      </c>
      <c r="P34" s="54">
        <v>18569.390000000018</v>
      </c>
      <c r="Q34" s="54">
        <v>769.49000000000012</v>
      </c>
      <c r="R34" s="53">
        <f t="shared" si="2"/>
        <v>4739.45</v>
      </c>
      <c r="S34" s="51">
        <v>75247.770000000019</v>
      </c>
    </row>
    <row r="35" spans="1:19" ht="15" x14ac:dyDescent="0.25">
      <c r="A35" s="28"/>
      <c r="B35" s="45" t="str">
        <f t="shared" si="0"/>
        <v>Dec-2022</v>
      </c>
      <c r="C35" s="57">
        <v>44924</v>
      </c>
      <c r="D35" s="43">
        <f t="shared" si="1"/>
        <v>1188</v>
      </c>
      <c r="E35" s="76">
        <v>84</v>
      </c>
      <c r="F35" s="50">
        <v>171</v>
      </c>
      <c r="G35" s="49">
        <v>83830</v>
      </c>
      <c r="H35" s="73">
        <v>171</v>
      </c>
      <c r="I35" s="52">
        <v>168</v>
      </c>
      <c r="J35" s="51">
        <v>78642.640000000014</v>
      </c>
      <c r="K35" s="52">
        <v>4</v>
      </c>
      <c r="L35" s="51">
        <v>1450.1100000000001</v>
      </c>
      <c r="M35" s="52">
        <v>61</v>
      </c>
      <c r="N35" s="49">
        <v>24405.71</v>
      </c>
      <c r="O35" s="75">
        <v>55</v>
      </c>
      <c r="P35" s="54">
        <v>19218.350000000002</v>
      </c>
      <c r="Q35" s="54">
        <v>667.53999999999985</v>
      </c>
      <c r="R35" s="53">
        <f t="shared" si="2"/>
        <v>4191.5</v>
      </c>
      <c r="S35" s="51">
        <v>78642.640000000014</v>
      </c>
    </row>
    <row r="36" spans="1:19" ht="15" x14ac:dyDescent="0.25">
      <c r="A36" s="28"/>
      <c r="B36" s="45" t="str">
        <f t="shared" si="0"/>
        <v>Dec-2022</v>
      </c>
      <c r="C36" s="57">
        <v>44925</v>
      </c>
      <c r="D36" s="43">
        <f t="shared" si="1"/>
        <v>1187</v>
      </c>
      <c r="E36" s="76">
        <v>76</v>
      </c>
      <c r="F36" s="50">
        <v>183</v>
      </c>
      <c r="G36" s="49">
        <v>86625</v>
      </c>
      <c r="H36" s="73">
        <v>179</v>
      </c>
      <c r="I36" s="52">
        <v>173</v>
      </c>
      <c r="J36" s="51">
        <v>77756.07000000008</v>
      </c>
      <c r="K36" s="52">
        <v>4</v>
      </c>
      <c r="L36" s="51">
        <v>1825.22</v>
      </c>
      <c r="M36" s="52">
        <v>66</v>
      </c>
      <c r="N36" s="49">
        <v>28165.93</v>
      </c>
      <c r="O36" s="75">
        <v>66</v>
      </c>
      <c r="P36" s="54">
        <v>19297.000000000011</v>
      </c>
      <c r="Q36" s="54">
        <v>943.70000000000039</v>
      </c>
      <c r="R36" s="53">
        <f t="shared" si="2"/>
        <v>4331.25</v>
      </c>
      <c r="S36" s="51">
        <v>77756.07000000008</v>
      </c>
    </row>
    <row r="37" spans="1:19" ht="15" x14ac:dyDescent="0.25">
      <c r="A37" s="28"/>
      <c r="B37" s="45" t="str">
        <f t="shared" si="0"/>
        <v>Dec-2022</v>
      </c>
      <c r="C37" s="57">
        <v>44926</v>
      </c>
      <c r="D37" s="43">
        <f t="shared" si="1"/>
        <v>1186</v>
      </c>
      <c r="E37" s="76">
        <v>72</v>
      </c>
      <c r="F37" s="50">
        <v>191</v>
      </c>
      <c r="G37" s="49">
        <v>90475</v>
      </c>
      <c r="H37" s="73">
        <v>188</v>
      </c>
      <c r="I37" s="52">
        <v>183</v>
      </c>
      <c r="J37" s="51">
        <v>69604.100000000006</v>
      </c>
      <c r="K37" s="52">
        <v>10</v>
      </c>
      <c r="L37" s="51">
        <v>2512.2200000000003</v>
      </c>
      <c r="M37" s="52">
        <v>96</v>
      </c>
      <c r="N37" s="49">
        <v>38270.79</v>
      </c>
      <c r="O37" s="75">
        <v>85</v>
      </c>
      <c r="P37" s="54">
        <v>17399.890000000003</v>
      </c>
      <c r="Q37" s="54">
        <v>965.36</v>
      </c>
      <c r="R37" s="53">
        <f t="shared" si="2"/>
        <v>4523.75</v>
      </c>
      <c r="S37" s="51">
        <v>69604.100000000006</v>
      </c>
    </row>
    <row r="38" spans="1:19" ht="15" x14ac:dyDescent="0.25">
      <c r="A38" s="28"/>
      <c r="B38" s="45" t="str">
        <f t="shared" si="0"/>
        <v>Jan-2023</v>
      </c>
      <c r="C38" s="57">
        <v>44927</v>
      </c>
      <c r="D38" s="43">
        <f t="shared" si="1"/>
        <v>1185</v>
      </c>
      <c r="E38" s="76">
        <v>53</v>
      </c>
      <c r="F38" s="50">
        <v>99</v>
      </c>
      <c r="G38" s="49">
        <v>48997</v>
      </c>
      <c r="H38" s="73">
        <v>99</v>
      </c>
      <c r="I38" s="52">
        <v>97</v>
      </c>
      <c r="J38" s="51">
        <v>36277.040000000015</v>
      </c>
      <c r="K38" s="52">
        <v>3</v>
      </c>
      <c r="L38" s="51">
        <v>1015.13</v>
      </c>
      <c r="M38" s="52">
        <v>50</v>
      </c>
      <c r="N38" s="49">
        <v>21706.47</v>
      </c>
      <c r="O38" s="75">
        <v>46</v>
      </c>
      <c r="P38" s="54">
        <v>8986.5100000000148</v>
      </c>
      <c r="Q38" s="54">
        <v>428.5</v>
      </c>
      <c r="R38" s="53">
        <f t="shared" si="2"/>
        <v>2449.85</v>
      </c>
      <c r="S38" s="51">
        <v>36277.040000000008</v>
      </c>
    </row>
    <row r="39" spans="1:19" ht="15" x14ac:dyDescent="0.25">
      <c r="A39" s="28"/>
      <c r="B39" s="45" t="str">
        <f t="shared" si="0"/>
        <v>Jan-2023</v>
      </c>
      <c r="C39" s="57">
        <v>44928</v>
      </c>
      <c r="D39" s="43">
        <f t="shared" si="1"/>
        <v>1184</v>
      </c>
      <c r="E39" s="76">
        <v>32</v>
      </c>
      <c r="F39" s="50">
        <v>131</v>
      </c>
      <c r="G39" s="49">
        <v>63008</v>
      </c>
      <c r="H39" s="73">
        <v>130</v>
      </c>
      <c r="I39" s="52">
        <v>126</v>
      </c>
      <c r="J39" s="51">
        <v>49668.329999999973</v>
      </c>
      <c r="K39" s="52"/>
      <c r="L39" s="51"/>
      <c r="M39" s="52">
        <v>59</v>
      </c>
      <c r="N39" s="49">
        <v>25866.39</v>
      </c>
      <c r="O39" s="75">
        <v>57</v>
      </c>
      <c r="P39" s="54">
        <v>12526.72</v>
      </c>
      <c r="Q39" s="54">
        <v>840.05000000000018</v>
      </c>
      <c r="R39" s="53">
        <f t="shared" si="2"/>
        <v>3150.4</v>
      </c>
      <c r="S39" s="51">
        <v>49668.329999999973</v>
      </c>
    </row>
    <row r="40" spans="1:19" ht="15" x14ac:dyDescent="0.25">
      <c r="A40" s="28"/>
      <c r="B40" s="45" t="str">
        <f t="shared" si="0"/>
        <v>Jan-2023</v>
      </c>
      <c r="C40" s="57">
        <v>44929</v>
      </c>
      <c r="D40" s="43">
        <f t="shared" si="1"/>
        <v>1183</v>
      </c>
      <c r="E40" s="76">
        <v>65</v>
      </c>
      <c r="F40" s="50">
        <v>176</v>
      </c>
      <c r="G40" s="49">
        <v>83950</v>
      </c>
      <c r="H40" s="73">
        <v>173</v>
      </c>
      <c r="I40" s="52">
        <v>170</v>
      </c>
      <c r="J40" s="51">
        <v>70302.299999999988</v>
      </c>
      <c r="K40" s="52"/>
      <c r="L40" s="51"/>
      <c r="M40" s="52">
        <v>69</v>
      </c>
      <c r="N40" s="49">
        <v>31089.62</v>
      </c>
      <c r="O40" s="75">
        <v>66</v>
      </c>
      <c r="P40" s="54">
        <v>17441.920000000002</v>
      </c>
      <c r="Q40" s="54">
        <v>863.49999999999977</v>
      </c>
      <c r="R40" s="53">
        <f t="shared" si="2"/>
        <v>4197.5</v>
      </c>
      <c r="S40" s="51">
        <v>70302.299999999988</v>
      </c>
    </row>
    <row r="41" spans="1:19" ht="15" x14ac:dyDescent="0.25">
      <c r="A41" s="28"/>
      <c r="B41" s="45" t="str">
        <f t="shared" si="0"/>
        <v>Jan-2023</v>
      </c>
      <c r="C41" s="57">
        <v>44930</v>
      </c>
      <c r="D41" s="43">
        <f t="shared" si="1"/>
        <v>1182</v>
      </c>
      <c r="E41" s="76">
        <v>78</v>
      </c>
      <c r="F41" s="50">
        <v>168</v>
      </c>
      <c r="G41" s="49">
        <v>80569</v>
      </c>
      <c r="H41" s="73">
        <v>167</v>
      </c>
      <c r="I41" s="52">
        <v>164</v>
      </c>
      <c r="J41" s="51">
        <v>74459.599999999991</v>
      </c>
      <c r="K41" s="52"/>
      <c r="L41" s="51"/>
      <c r="M41" s="52">
        <v>60</v>
      </c>
      <c r="N41" s="49">
        <v>24062.13</v>
      </c>
      <c r="O41" s="75">
        <v>56</v>
      </c>
      <c r="P41" s="54">
        <v>17952.730000000014</v>
      </c>
      <c r="Q41" s="54">
        <v>411.29</v>
      </c>
      <c r="R41" s="53">
        <f t="shared" si="2"/>
        <v>4028.4500000000003</v>
      </c>
      <c r="S41" s="51">
        <v>74459.599999999991</v>
      </c>
    </row>
    <row r="42" spans="1:19" ht="15" x14ac:dyDescent="0.25">
      <c r="A42" s="28"/>
      <c r="B42" s="45" t="str">
        <f t="shared" si="0"/>
        <v>Jan-2023</v>
      </c>
      <c r="C42" s="57">
        <v>44931</v>
      </c>
      <c r="D42" s="43">
        <f t="shared" si="1"/>
        <v>1181</v>
      </c>
      <c r="E42" s="76">
        <v>63</v>
      </c>
      <c r="F42" s="50">
        <v>173</v>
      </c>
      <c r="G42" s="49">
        <v>82449</v>
      </c>
      <c r="H42" s="73">
        <v>170</v>
      </c>
      <c r="I42" s="52">
        <v>165</v>
      </c>
      <c r="J42" s="51">
        <v>61189.62</v>
      </c>
      <c r="K42" s="52"/>
      <c r="L42" s="51"/>
      <c r="M42" s="52">
        <v>93</v>
      </c>
      <c r="N42" s="49">
        <v>36358.71</v>
      </c>
      <c r="O42" s="75">
        <v>84</v>
      </c>
      <c r="P42" s="54">
        <v>15099.330000000007</v>
      </c>
      <c r="Q42" s="54">
        <v>664.71999999999991</v>
      </c>
      <c r="R42" s="53">
        <f t="shared" si="2"/>
        <v>4122.45</v>
      </c>
      <c r="S42" s="51">
        <v>61189.62</v>
      </c>
    </row>
    <row r="43" spans="1:19" ht="15" x14ac:dyDescent="0.25">
      <c r="A43" s="28"/>
      <c r="B43" s="45" t="str">
        <f t="shared" si="0"/>
        <v>Jan-2023</v>
      </c>
      <c r="C43" s="57">
        <v>44932</v>
      </c>
      <c r="D43" s="43">
        <f t="shared" si="1"/>
        <v>1180</v>
      </c>
      <c r="E43" s="76">
        <v>55</v>
      </c>
      <c r="F43" s="50">
        <v>165</v>
      </c>
      <c r="G43" s="49">
        <v>81400</v>
      </c>
      <c r="H43" s="73">
        <v>164</v>
      </c>
      <c r="I43" s="52">
        <v>161</v>
      </c>
      <c r="J43" s="51">
        <v>62076.880000000005</v>
      </c>
      <c r="K43" s="52">
        <v>2</v>
      </c>
      <c r="L43" s="51">
        <v>970.11</v>
      </c>
      <c r="M43" s="52">
        <v>85</v>
      </c>
      <c r="N43" s="49">
        <v>34712.68</v>
      </c>
      <c r="O43" s="75">
        <v>83</v>
      </c>
      <c r="P43" s="54">
        <v>15389.560000000001</v>
      </c>
      <c r="Q43" s="54">
        <v>769.98999999999978</v>
      </c>
      <c r="R43" s="53">
        <f t="shared" si="2"/>
        <v>4070</v>
      </c>
      <c r="S43" s="51">
        <v>62076.880000000005</v>
      </c>
    </row>
    <row r="44" spans="1:19" ht="15" x14ac:dyDescent="0.25">
      <c r="A44" s="28"/>
      <c r="B44" s="45" t="str">
        <f t="shared" si="0"/>
        <v>Jan-2023</v>
      </c>
      <c r="C44" s="57">
        <v>44933</v>
      </c>
      <c r="D44" s="43">
        <f t="shared" si="1"/>
        <v>1179</v>
      </c>
      <c r="E44" s="76">
        <v>52</v>
      </c>
      <c r="F44" s="50">
        <v>125</v>
      </c>
      <c r="G44" s="49">
        <v>61419</v>
      </c>
      <c r="H44" s="73">
        <v>125</v>
      </c>
      <c r="I44" s="52">
        <v>123</v>
      </c>
      <c r="J44" s="51">
        <v>50475.349999999984</v>
      </c>
      <c r="K44" s="52">
        <v>1</v>
      </c>
      <c r="L44" s="51">
        <v>450</v>
      </c>
      <c r="M44" s="52">
        <v>55</v>
      </c>
      <c r="N44" s="49">
        <v>23475.22</v>
      </c>
      <c r="O44" s="75">
        <v>54</v>
      </c>
      <c r="P44" s="54">
        <v>12531.570000000002</v>
      </c>
      <c r="Q44" s="54">
        <v>658</v>
      </c>
      <c r="R44" s="53">
        <f t="shared" si="2"/>
        <v>3070.9500000000003</v>
      </c>
      <c r="S44" s="51">
        <v>50475.349999999984</v>
      </c>
    </row>
    <row r="45" spans="1:19" ht="15" x14ac:dyDescent="0.25">
      <c r="A45" s="28"/>
      <c r="B45" s="45" t="str">
        <f t="shared" si="0"/>
        <v>Jan-2023</v>
      </c>
      <c r="C45" s="57">
        <v>44934</v>
      </c>
      <c r="D45" s="43">
        <f t="shared" si="1"/>
        <v>1178</v>
      </c>
      <c r="E45" s="76">
        <v>41</v>
      </c>
      <c r="F45" s="50">
        <v>103</v>
      </c>
      <c r="G45" s="49">
        <v>47599</v>
      </c>
      <c r="H45" s="73">
        <v>102</v>
      </c>
      <c r="I45" s="52">
        <v>96</v>
      </c>
      <c r="J45" s="51">
        <v>40636.529999999977</v>
      </c>
      <c r="K45" s="52">
        <v>1</v>
      </c>
      <c r="L45" s="51">
        <v>500.11</v>
      </c>
      <c r="M45" s="52">
        <v>44</v>
      </c>
      <c r="N45" s="49">
        <v>16816.53</v>
      </c>
      <c r="O45" s="75">
        <v>41</v>
      </c>
      <c r="P45" s="54">
        <v>9854.0600000000086</v>
      </c>
      <c r="Q45" s="54">
        <v>302.96999999999997</v>
      </c>
      <c r="R45" s="53">
        <f t="shared" si="2"/>
        <v>2379.9500000000003</v>
      </c>
      <c r="S45" s="51">
        <v>40636.529999999977</v>
      </c>
    </row>
    <row r="46" spans="1:19" ht="15" x14ac:dyDescent="0.25">
      <c r="A46" s="28"/>
      <c r="B46" s="45" t="str">
        <f t="shared" si="0"/>
        <v>Jan-2023</v>
      </c>
      <c r="C46" s="57">
        <v>44935</v>
      </c>
      <c r="D46" s="43">
        <f t="shared" si="1"/>
        <v>1177</v>
      </c>
      <c r="E46" s="76">
        <v>55</v>
      </c>
      <c r="F46" s="50">
        <v>148</v>
      </c>
      <c r="G46" s="49">
        <v>71917</v>
      </c>
      <c r="H46" s="73">
        <v>146</v>
      </c>
      <c r="I46" s="52">
        <v>143</v>
      </c>
      <c r="J46" s="51">
        <v>61162.700000000012</v>
      </c>
      <c r="K46" s="52">
        <v>4</v>
      </c>
      <c r="L46" s="51">
        <v>1375.1100000000001</v>
      </c>
      <c r="M46" s="52">
        <v>67</v>
      </c>
      <c r="N46" s="49">
        <v>25740.63</v>
      </c>
      <c r="O46" s="75">
        <v>63</v>
      </c>
      <c r="P46" s="54">
        <v>14986.330000000002</v>
      </c>
      <c r="Q46" s="54">
        <v>654.02999999999986</v>
      </c>
      <c r="R46" s="53">
        <f t="shared" si="2"/>
        <v>3595.8500000000004</v>
      </c>
      <c r="S46" s="51">
        <v>61162.700000000012</v>
      </c>
    </row>
    <row r="47" spans="1:19" ht="15" x14ac:dyDescent="0.25">
      <c r="A47" s="28"/>
      <c r="B47" s="45" t="str">
        <f t="shared" si="0"/>
        <v>Jan-2023</v>
      </c>
      <c r="C47" s="57">
        <v>44936</v>
      </c>
      <c r="D47" s="43">
        <f t="shared" si="1"/>
        <v>1176</v>
      </c>
      <c r="E47" s="76">
        <v>55</v>
      </c>
      <c r="F47" s="50">
        <v>137</v>
      </c>
      <c r="G47" s="49">
        <v>65274.5</v>
      </c>
      <c r="H47" s="73">
        <v>137</v>
      </c>
      <c r="I47" s="52">
        <v>133</v>
      </c>
      <c r="J47" s="51">
        <v>51472.380000000005</v>
      </c>
      <c r="K47" s="52">
        <v>2</v>
      </c>
      <c r="L47" s="51">
        <v>340.55</v>
      </c>
      <c r="M47" s="52">
        <v>61</v>
      </c>
      <c r="N47" s="49">
        <v>26393.56</v>
      </c>
      <c r="O47" s="75">
        <v>61</v>
      </c>
      <c r="P47" s="54">
        <v>12591.440000000004</v>
      </c>
      <c r="Q47" s="54">
        <v>481.82000000000005</v>
      </c>
      <c r="R47" s="53">
        <f t="shared" si="2"/>
        <v>3263.7250000000004</v>
      </c>
      <c r="S47" s="51">
        <v>51472.380000000005</v>
      </c>
    </row>
    <row r="48" spans="1:19" ht="15" x14ac:dyDescent="0.25">
      <c r="A48" s="28"/>
      <c r="B48" s="45" t="str">
        <f t="shared" si="0"/>
        <v>Jan-2023</v>
      </c>
      <c r="C48" s="57">
        <v>44937</v>
      </c>
      <c r="D48" s="43">
        <f t="shared" si="1"/>
        <v>1175</v>
      </c>
      <c r="E48" s="76">
        <v>46</v>
      </c>
      <c r="F48" s="50">
        <v>123</v>
      </c>
      <c r="G48" s="49">
        <v>59369</v>
      </c>
      <c r="H48" s="73">
        <v>122</v>
      </c>
      <c r="I48" s="52">
        <v>119</v>
      </c>
      <c r="J48" s="51">
        <v>47333.279999999984</v>
      </c>
      <c r="K48" s="52"/>
      <c r="L48" s="51"/>
      <c r="M48" s="52">
        <v>52</v>
      </c>
      <c r="N48" s="49">
        <v>23444.32</v>
      </c>
      <c r="O48" s="75">
        <v>49</v>
      </c>
      <c r="P48" s="54">
        <v>11408.600000000008</v>
      </c>
      <c r="Q48" s="54">
        <v>288.94</v>
      </c>
      <c r="R48" s="53">
        <f t="shared" si="2"/>
        <v>2968.4500000000003</v>
      </c>
      <c r="S48" s="51">
        <v>47333.279999999984</v>
      </c>
    </row>
    <row r="49" spans="1:19" ht="15" x14ac:dyDescent="0.25">
      <c r="A49" s="28"/>
      <c r="B49" s="45" t="str">
        <f t="shared" si="0"/>
        <v>Jan-2023</v>
      </c>
      <c r="C49" s="57">
        <v>44938</v>
      </c>
      <c r="D49" s="43">
        <f t="shared" si="1"/>
        <v>1174</v>
      </c>
      <c r="E49" s="76">
        <v>53</v>
      </c>
      <c r="F49" s="50">
        <v>149</v>
      </c>
      <c r="G49" s="49">
        <v>69404</v>
      </c>
      <c r="H49" s="73">
        <v>148</v>
      </c>
      <c r="I49" s="52">
        <v>143</v>
      </c>
      <c r="J49" s="51">
        <v>63649.820000000007</v>
      </c>
      <c r="K49" s="52">
        <v>2</v>
      </c>
      <c r="L49" s="51">
        <v>970.11</v>
      </c>
      <c r="M49" s="52">
        <v>58</v>
      </c>
      <c r="N49" s="49">
        <v>21124.79</v>
      </c>
      <c r="O49" s="75">
        <v>56</v>
      </c>
      <c r="P49" s="54">
        <v>15370.61</v>
      </c>
      <c r="Q49" s="54">
        <v>429.52999999999992</v>
      </c>
      <c r="R49" s="53">
        <f t="shared" si="2"/>
        <v>3470.2000000000003</v>
      </c>
      <c r="S49" s="51">
        <v>63649.820000000007</v>
      </c>
    </row>
    <row r="50" spans="1:19" ht="15" x14ac:dyDescent="0.25">
      <c r="A50" s="28"/>
      <c r="B50" s="45" t="str">
        <f t="shared" si="0"/>
        <v>Jan-2023</v>
      </c>
      <c r="C50" s="57">
        <v>44939</v>
      </c>
      <c r="D50" s="43">
        <f t="shared" si="1"/>
        <v>1173</v>
      </c>
      <c r="E50" s="76">
        <v>48</v>
      </c>
      <c r="F50" s="50">
        <v>165</v>
      </c>
      <c r="G50" s="49">
        <v>76000</v>
      </c>
      <c r="H50" s="73">
        <v>162</v>
      </c>
      <c r="I50" s="52">
        <v>153</v>
      </c>
      <c r="J50" s="51">
        <v>59472.419999999991</v>
      </c>
      <c r="K50" s="52">
        <v>3</v>
      </c>
      <c r="L50" s="51">
        <v>950</v>
      </c>
      <c r="M50" s="52">
        <v>76</v>
      </c>
      <c r="N50" s="49">
        <v>31166.35</v>
      </c>
      <c r="O50" s="75">
        <v>73</v>
      </c>
      <c r="P50" s="54">
        <v>14638.769999999993</v>
      </c>
      <c r="Q50" s="54">
        <v>726.91999999999962</v>
      </c>
      <c r="R50" s="53">
        <f t="shared" si="2"/>
        <v>3800</v>
      </c>
      <c r="S50" s="51">
        <v>59472.419999999991</v>
      </c>
    </row>
    <row r="51" spans="1:19" ht="15" x14ac:dyDescent="0.25">
      <c r="A51" s="28"/>
      <c r="B51" s="45" t="str">
        <f t="shared" si="0"/>
        <v>Jan-2023</v>
      </c>
      <c r="C51" s="57">
        <v>44940</v>
      </c>
      <c r="D51" s="43">
        <f t="shared" si="1"/>
        <v>1172</v>
      </c>
      <c r="E51" s="76">
        <v>49</v>
      </c>
      <c r="F51" s="50">
        <v>133</v>
      </c>
      <c r="G51" s="49">
        <v>64450</v>
      </c>
      <c r="H51" s="73">
        <v>132</v>
      </c>
      <c r="I51" s="52">
        <v>128</v>
      </c>
      <c r="J51" s="51">
        <v>41789.520000000011</v>
      </c>
      <c r="K51" s="52">
        <v>1</v>
      </c>
      <c r="L51" s="51">
        <v>470</v>
      </c>
      <c r="M51" s="52">
        <v>79</v>
      </c>
      <c r="N51" s="49">
        <v>33043.24</v>
      </c>
      <c r="O51" s="75">
        <v>74</v>
      </c>
      <c r="P51" s="54">
        <v>10382.759999999987</v>
      </c>
      <c r="Q51" s="54">
        <v>610.9</v>
      </c>
      <c r="R51" s="53">
        <f t="shared" si="2"/>
        <v>3222.5</v>
      </c>
      <c r="S51" s="51">
        <v>41789.520000000011</v>
      </c>
    </row>
    <row r="52" spans="1:19" ht="15" x14ac:dyDescent="0.25">
      <c r="A52" s="28"/>
      <c r="B52" s="45" t="str">
        <f t="shared" si="0"/>
        <v>Jan-2023</v>
      </c>
      <c r="C52" s="57">
        <v>44941</v>
      </c>
      <c r="D52" s="43">
        <f t="shared" si="1"/>
        <v>1171</v>
      </c>
      <c r="E52" s="76">
        <v>47</v>
      </c>
      <c r="F52" s="50">
        <v>124</v>
      </c>
      <c r="G52" s="49">
        <v>58370</v>
      </c>
      <c r="H52" s="73">
        <v>124</v>
      </c>
      <c r="I52" s="52">
        <v>116</v>
      </c>
      <c r="J52" s="51">
        <v>39274.510000000024</v>
      </c>
      <c r="K52" s="52">
        <v>3</v>
      </c>
      <c r="L52" s="51">
        <v>1250</v>
      </c>
      <c r="M52" s="52">
        <v>76</v>
      </c>
      <c r="N52" s="49">
        <v>29216.52</v>
      </c>
      <c r="O52" s="75">
        <v>70</v>
      </c>
      <c r="P52" s="54">
        <v>10121.029999999988</v>
      </c>
      <c r="Q52" s="54">
        <v>1000.91</v>
      </c>
      <c r="R52" s="53">
        <f t="shared" si="2"/>
        <v>2918.5</v>
      </c>
      <c r="S52" s="51">
        <v>39274.510000000031</v>
      </c>
    </row>
    <row r="53" spans="1:19" ht="15" x14ac:dyDescent="0.25">
      <c r="A53" s="28"/>
      <c r="B53" s="45" t="str">
        <f t="shared" si="0"/>
        <v>Jan-2023</v>
      </c>
      <c r="C53" s="57">
        <v>44942</v>
      </c>
      <c r="D53" s="43">
        <f t="shared" si="1"/>
        <v>1170</v>
      </c>
      <c r="E53" s="76">
        <v>46</v>
      </c>
      <c r="F53" s="50">
        <v>104</v>
      </c>
      <c r="G53" s="49">
        <v>50979</v>
      </c>
      <c r="H53" s="73">
        <v>102</v>
      </c>
      <c r="I53" s="52">
        <v>102</v>
      </c>
      <c r="J53" s="51">
        <v>39030.710000000006</v>
      </c>
      <c r="K53" s="52">
        <v>3</v>
      </c>
      <c r="L53" s="51">
        <v>790.11</v>
      </c>
      <c r="M53" s="52">
        <v>52</v>
      </c>
      <c r="N53" s="49">
        <v>21538.63</v>
      </c>
      <c r="O53" s="75">
        <v>50</v>
      </c>
      <c r="P53" s="54">
        <v>9590.3399999999892</v>
      </c>
      <c r="Q53" s="54">
        <v>482.38000000000005</v>
      </c>
      <c r="R53" s="53">
        <f t="shared" si="2"/>
        <v>2548.9500000000003</v>
      </c>
      <c r="S53" s="51">
        <v>39030.710000000006</v>
      </c>
    </row>
    <row r="54" spans="1:19" ht="15" x14ac:dyDescent="0.25">
      <c r="A54" s="28"/>
      <c r="B54" s="45" t="str">
        <f t="shared" si="0"/>
        <v>Jan-2023</v>
      </c>
      <c r="C54" s="57">
        <v>44943</v>
      </c>
      <c r="D54" s="43">
        <f t="shared" si="1"/>
        <v>1169</v>
      </c>
      <c r="E54" s="76">
        <v>54</v>
      </c>
      <c r="F54" s="50">
        <v>134</v>
      </c>
      <c r="G54" s="49">
        <v>62825</v>
      </c>
      <c r="H54" s="73">
        <v>130</v>
      </c>
      <c r="I54" s="52">
        <v>126</v>
      </c>
      <c r="J54" s="51">
        <v>53597.390000000007</v>
      </c>
      <c r="K54" s="52"/>
      <c r="L54" s="51"/>
      <c r="M54" s="52">
        <v>54</v>
      </c>
      <c r="N54" s="49">
        <v>22224.48</v>
      </c>
      <c r="O54" s="75">
        <v>51</v>
      </c>
      <c r="P54" s="54">
        <v>12996.870000000004</v>
      </c>
      <c r="Q54" s="54">
        <v>472.95</v>
      </c>
      <c r="R54" s="53">
        <f t="shared" si="2"/>
        <v>3141.25</v>
      </c>
      <c r="S54" s="51">
        <v>53597.390000000007</v>
      </c>
    </row>
    <row r="55" spans="1:19" ht="15" x14ac:dyDescent="0.25">
      <c r="A55" s="28"/>
      <c r="B55" s="45" t="str">
        <f t="shared" si="0"/>
        <v>Jan-2023</v>
      </c>
      <c r="C55" s="57">
        <v>44944</v>
      </c>
      <c r="D55" s="43">
        <f t="shared" si="1"/>
        <v>1168</v>
      </c>
      <c r="E55" s="76">
        <v>61</v>
      </c>
      <c r="F55" s="50">
        <v>141</v>
      </c>
      <c r="G55" s="49">
        <v>59940</v>
      </c>
      <c r="H55" s="73">
        <v>135</v>
      </c>
      <c r="I55" s="52">
        <v>119</v>
      </c>
      <c r="J55" s="51">
        <v>44272.450000000048</v>
      </c>
      <c r="K55" s="52">
        <v>9</v>
      </c>
      <c r="L55" s="51">
        <v>2077.11</v>
      </c>
      <c r="M55" s="52">
        <v>75</v>
      </c>
      <c r="N55" s="49">
        <v>26543.42</v>
      </c>
      <c r="O55" s="75">
        <v>70</v>
      </c>
      <c r="P55" s="54">
        <v>10875.870000000012</v>
      </c>
      <c r="Q55" s="54">
        <v>544.79000000000008</v>
      </c>
      <c r="R55" s="53">
        <f t="shared" si="2"/>
        <v>2997</v>
      </c>
      <c r="S55" s="51">
        <v>44272.450000000048</v>
      </c>
    </row>
    <row r="56" spans="1:19" ht="15" x14ac:dyDescent="0.25">
      <c r="A56" s="28"/>
      <c r="B56" s="45" t="str">
        <f t="shared" si="0"/>
        <v>Jan-2023</v>
      </c>
      <c r="C56" s="57">
        <v>44945</v>
      </c>
      <c r="D56" s="43">
        <f t="shared" si="1"/>
        <v>1167</v>
      </c>
      <c r="E56" s="76">
        <v>64</v>
      </c>
      <c r="F56" s="50">
        <v>135</v>
      </c>
      <c r="G56" s="49">
        <v>62443</v>
      </c>
      <c r="H56" s="73">
        <v>134</v>
      </c>
      <c r="I56" s="52">
        <v>127</v>
      </c>
      <c r="J56" s="51">
        <v>58221.169999999991</v>
      </c>
      <c r="K56" s="52">
        <v>1</v>
      </c>
      <c r="L56" s="51">
        <v>100.02</v>
      </c>
      <c r="M56" s="52">
        <v>46</v>
      </c>
      <c r="N56" s="49">
        <v>18140.669999999998</v>
      </c>
      <c r="O56" s="75">
        <v>46</v>
      </c>
      <c r="P56" s="54">
        <v>13918.840000000002</v>
      </c>
      <c r="Q56" s="54">
        <v>313.52</v>
      </c>
      <c r="R56" s="53">
        <f t="shared" si="2"/>
        <v>3122.15</v>
      </c>
      <c r="S56" s="51">
        <v>58221.169999999991</v>
      </c>
    </row>
    <row r="57" spans="1:19" ht="15" x14ac:dyDescent="0.25">
      <c r="A57" s="28"/>
      <c r="B57" s="45" t="str">
        <f t="shared" si="0"/>
        <v>Jan-2023</v>
      </c>
      <c r="C57" s="57">
        <v>44946</v>
      </c>
      <c r="D57" s="43">
        <f t="shared" si="1"/>
        <v>1166</v>
      </c>
      <c r="E57" s="76">
        <v>36</v>
      </c>
      <c r="F57" s="50">
        <v>120</v>
      </c>
      <c r="G57" s="49">
        <v>53950</v>
      </c>
      <c r="H57" s="73">
        <v>118</v>
      </c>
      <c r="I57" s="52">
        <v>108</v>
      </c>
      <c r="J57" s="51">
        <v>43535.179999999964</v>
      </c>
      <c r="K57" s="52">
        <v>6</v>
      </c>
      <c r="L57" s="51">
        <v>1430.21</v>
      </c>
      <c r="M57" s="52">
        <v>53</v>
      </c>
      <c r="N57" s="49">
        <v>20948.990000000002</v>
      </c>
      <c r="O57" s="75">
        <v>48</v>
      </c>
      <c r="P57" s="54">
        <v>10534.169999999991</v>
      </c>
      <c r="Q57" s="54">
        <v>379.41</v>
      </c>
      <c r="R57" s="53">
        <f t="shared" si="2"/>
        <v>2697.5</v>
      </c>
      <c r="S57" s="51">
        <v>43535.179999999957</v>
      </c>
    </row>
    <row r="58" spans="1:19" ht="15" x14ac:dyDescent="0.25">
      <c r="A58" s="28"/>
      <c r="B58" s="45" t="str">
        <f t="shared" si="0"/>
        <v>Jan-2023</v>
      </c>
      <c r="C58" s="57">
        <v>44947</v>
      </c>
      <c r="D58" s="43">
        <f t="shared" si="1"/>
        <v>1165</v>
      </c>
      <c r="E58" s="76">
        <v>49</v>
      </c>
      <c r="F58" s="50">
        <v>115</v>
      </c>
      <c r="G58" s="49">
        <v>54890</v>
      </c>
      <c r="H58" s="73">
        <v>115</v>
      </c>
      <c r="I58" s="52">
        <v>111</v>
      </c>
      <c r="J58" s="51">
        <v>44299.450000000063</v>
      </c>
      <c r="K58" s="52">
        <v>2</v>
      </c>
      <c r="L58" s="51">
        <v>975.11</v>
      </c>
      <c r="M58" s="52">
        <v>55</v>
      </c>
      <c r="N58" s="49">
        <v>21265.1</v>
      </c>
      <c r="O58" s="75">
        <v>50</v>
      </c>
      <c r="P58" s="54">
        <v>10674.549999999997</v>
      </c>
      <c r="Q58" s="54">
        <v>346.27000000000004</v>
      </c>
      <c r="R58" s="53">
        <f t="shared" si="2"/>
        <v>2744.5</v>
      </c>
      <c r="S58" s="51">
        <v>44299.450000000055</v>
      </c>
    </row>
    <row r="59" spans="1:19" ht="15" x14ac:dyDescent="0.25">
      <c r="A59" s="28"/>
      <c r="B59" s="45" t="str">
        <f t="shared" si="0"/>
        <v>Jan-2023</v>
      </c>
      <c r="C59" s="57">
        <v>44948</v>
      </c>
      <c r="D59" s="43">
        <f t="shared" si="1"/>
        <v>1164</v>
      </c>
      <c r="E59" s="76">
        <v>41</v>
      </c>
      <c r="F59" s="50">
        <v>109</v>
      </c>
      <c r="G59" s="49">
        <v>53370</v>
      </c>
      <c r="H59" s="73">
        <v>109</v>
      </c>
      <c r="I59" s="52">
        <v>108</v>
      </c>
      <c r="J59" s="51">
        <v>41010.349999999991</v>
      </c>
      <c r="K59" s="52">
        <v>4</v>
      </c>
      <c r="L59" s="51">
        <v>533</v>
      </c>
      <c r="M59" s="52">
        <v>58</v>
      </c>
      <c r="N59" s="49">
        <v>22405.64</v>
      </c>
      <c r="O59" s="75">
        <v>55</v>
      </c>
      <c r="P59" s="54">
        <v>10045.989999999996</v>
      </c>
      <c r="Q59" s="54">
        <v>528.94000000000017</v>
      </c>
      <c r="R59" s="53">
        <f t="shared" si="2"/>
        <v>2668.5</v>
      </c>
      <c r="S59" s="51">
        <v>41010.349999999984</v>
      </c>
    </row>
    <row r="60" spans="1:19" ht="15" x14ac:dyDescent="0.25">
      <c r="A60" s="28"/>
      <c r="B60" s="45" t="str">
        <f t="shared" si="0"/>
        <v>Jan-2023</v>
      </c>
      <c r="C60" s="57">
        <v>44949</v>
      </c>
      <c r="D60" s="43">
        <f t="shared" si="1"/>
        <v>1163</v>
      </c>
      <c r="E60" s="76">
        <v>54</v>
      </c>
      <c r="F60" s="50">
        <v>120</v>
      </c>
      <c r="G60" s="49">
        <v>55060</v>
      </c>
      <c r="H60" s="73">
        <v>118</v>
      </c>
      <c r="I60" s="52">
        <v>108</v>
      </c>
      <c r="J60" s="51">
        <v>49225.380000000012</v>
      </c>
      <c r="K60" s="52">
        <v>2</v>
      </c>
      <c r="L60" s="51">
        <v>735</v>
      </c>
      <c r="M60" s="52">
        <v>54</v>
      </c>
      <c r="N60" s="49">
        <v>17740.560000000001</v>
      </c>
      <c r="O60" s="75">
        <v>49</v>
      </c>
      <c r="P60" s="54">
        <v>11905.939999999991</v>
      </c>
      <c r="Q60" s="54">
        <v>503.86</v>
      </c>
      <c r="R60" s="53">
        <f t="shared" si="2"/>
        <v>2753</v>
      </c>
      <c r="S60" s="51">
        <v>49225.379999999983</v>
      </c>
    </row>
    <row r="61" spans="1:19" ht="15" x14ac:dyDescent="0.25">
      <c r="A61" s="28"/>
      <c r="B61" s="45" t="str">
        <f t="shared" si="0"/>
        <v>Jan-2023</v>
      </c>
      <c r="C61" s="57">
        <v>44950</v>
      </c>
      <c r="D61" s="43">
        <f t="shared" si="1"/>
        <v>1162</v>
      </c>
      <c r="E61" s="76">
        <v>34</v>
      </c>
      <c r="F61" s="50">
        <v>112</v>
      </c>
      <c r="G61" s="49">
        <v>53069</v>
      </c>
      <c r="H61" s="73">
        <v>108</v>
      </c>
      <c r="I61" s="52">
        <v>106</v>
      </c>
      <c r="J61" s="51">
        <v>41388.160000000003</v>
      </c>
      <c r="K61" s="52">
        <v>6</v>
      </c>
      <c r="L61" s="51">
        <v>2200.04</v>
      </c>
      <c r="M61" s="52">
        <v>58</v>
      </c>
      <c r="N61" s="49">
        <v>21724.85</v>
      </c>
      <c r="O61" s="75">
        <v>53</v>
      </c>
      <c r="P61" s="54">
        <v>10044.00999999998</v>
      </c>
      <c r="Q61" s="54">
        <v>420.59999999999991</v>
      </c>
      <c r="R61" s="53">
        <f t="shared" si="2"/>
        <v>2653.4500000000003</v>
      </c>
      <c r="S61" s="51">
        <v>41388.160000000003</v>
      </c>
    </row>
    <row r="62" spans="1:19" ht="15" x14ac:dyDescent="0.25">
      <c r="A62" s="28"/>
      <c r="B62" s="45" t="str">
        <f t="shared" si="0"/>
        <v>Jan-2023</v>
      </c>
      <c r="C62" s="57">
        <v>44951</v>
      </c>
      <c r="D62" s="43">
        <f t="shared" si="1"/>
        <v>1161</v>
      </c>
      <c r="E62" s="76">
        <v>33</v>
      </c>
      <c r="F62" s="50">
        <v>100</v>
      </c>
      <c r="G62" s="49">
        <v>47420</v>
      </c>
      <c r="H62" s="73">
        <v>97</v>
      </c>
      <c r="I62" s="52">
        <v>97</v>
      </c>
      <c r="J62" s="51">
        <v>38066.51</v>
      </c>
      <c r="K62" s="52">
        <v>1</v>
      </c>
      <c r="L62" s="51">
        <v>400</v>
      </c>
      <c r="M62" s="52">
        <v>48</v>
      </c>
      <c r="N62" s="49">
        <v>18658.97</v>
      </c>
      <c r="O62" s="75">
        <v>46</v>
      </c>
      <c r="P62" s="54">
        <v>9305.4800000000068</v>
      </c>
      <c r="Q62" s="54">
        <v>472.78999999999996</v>
      </c>
      <c r="R62" s="53">
        <f t="shared" si="2"/>
        <v>2371</v>
      </c>
      <c r="S62" s="51">
        <v>38066.51</v>
      </c>
    </row>
    <row r="63" spans="1:19" ht="15" x14ac:dyDescent="0.25">
      <c r="A63" s="28"/>
      <c r="B63" s="45" t="str">
        <f t="shared" si="0"/>
        <v>Jan-2023</v>
      </c>
      <c r="C63" s="57">
        <v>44952</v>
      </c>
      <c r="D63" s="43">
        <f t="shared" si="1"/>
        <v>1160</v>
      </c>
      <c r="E63" s="76">
        <v>32</v>
      </c>
      <c r="F63" s="50">
        <v>131</v>
      </c>
      <c r="G63" s="49">
        <v>59780</v>
      </c>
      <c r="H63" s="73">
        <v>130</v>
      </c>
      <c r="I63" s="52">
        <v>118</v>
      </c>
      <c r="J63" s="51">
        <v>44251.360000000022</v>
      </c>
      <c r="K63" s="52">
        <v>2</v>
      </c>
      <c r="L63" s="51">
        <v>925</v>
      </c>
      <c r="M63" s="52">
        <v>72</v>
      </c>
      <c r="N63" s="49">
        <v>26370.05</v>
      </c>
      <c r="O63" s="75">
        <v>68</v>
      </c>
      <c r="P63" s="54">
        <v>10841.410000000003</v>
      </c>
      <c r="Q63" s="54">
        <v>563.14999999999986</v>
      </c>
      <c r="R63" s="53">
        <f t="shared" si="2"/>
        <v>2989</v>
      </c>
      <c r="S63" s="51">
        <v>44251.360000000022</v>
      </c>
    </row>
    <row r="64" spans="1:19" ht="15" x14ac:dyDescent="0.25">
      <c r="A64" s="28"/>
      <c r="B64" s="45" t="str">
        <f t="shared" si="0"/>
        <v>Jan-2023</v>
      </c>
      <c r="C64" s="57">
        <v>44953</v>
      </c>
      <c r="D64" s="43">
        <f t="shared" si="1"/>
        <v>1159</v>
      </c>
      <c r="E64" s="76">
        <v>38</v>
      </c>
      <c r="F64" s="50">
        <v>120</v>
      </c>
      <c r="G64" s="49">
        <v>56224</v>
      </c>
      <c r="H64" s="73">
        <v>118</v>
      </c>
      <c r="I64" s="52">
        <v>112</v>
      </c>
      <c r="J64" s="51">
        <v>46218.079999999987</v>
      </c>
      <c r="K64" s="52">
        <v>3</v>
      </c>
      <c r="L64" s="51">
        <v>580</v>
      </c>
      <c r="M64" s="52">
        <v>49</v>
      </c>
      <c r="N64" s="49">
        <v>21192.91</v>
      </c>
      <c r="O64" s="75">
        <v>47</v>
      </c>
      <c r="P64" s="54">
        <v>11186.989999999996</v>
      </c>
      <c r="Q64" s="54">
        <v>448.06999999999994</v>
      </c>
      <c r="R64" s="53">
        <f t="shared" si="2"/>
        <v>2811.2000000000003</v>
      </c>
      <c r="S64" s="51">
        <v>46218.079999999987</v>
      </c>
    </row>
    <row r="65" spans="1:19" ht="15" x14ac:dyDescent="0.25">
      <c r="A65" s="28"/>
      <c r="B65" s="45" t="str">
        <f t="shared" si="0"/>
        <v>Jan-2023</v>
      </c>
      <c r="C65" s="57">
        <v>44954</v>
      </c>
      <c r="D65" s="43">
        <f t="shared" si="1"/>
        <v>1158</v>
      </c>
      <c r="E65" s="76">
        <v>44</v>
      </c>
      <c r="F65" s="50">
        <v>88</v>
      </c>
      <c r="G65" s="49">
        <v>42368</v>
      </c>
      <c r="H65" s="73">
        <v>88</v>
      </c>
      <c r="I65" s="52">
        <v>87</v>
      </c>
      <c r="J65" s="51">
        <v>33383.289999999964</v>
      </c>
      <c r="K65" s="52">
        <v>2</v>
      </c>
      <c r="L65" s="51">
        <v>975.11</v>
      </c>
      <c r="M65" s="52">
        <v>41</v>
      </c>
      <c r="N65" s="49">
        <v>16961.419999999998</v>
      </c>
      <c r="O65" s="75">
        <v>40</v>
      </c>
      <c r="P65" s="54">
        <v>7976.71</v>
      </c>
      <c r="Q65" s="54">
        <v>209.05999999999997</v>
      </c>
      <c r="R65" s="53">
        <f t="shared" si="2"/>
        <v>2118.4</v>
      </c>
      <c r="S65" s="51">
        <v>33383.289999999964</v>
      </c>
    </row>
    <row r="66" spans="1:19" ht="15" x14ac:dyDescent="0.25">
      <c r="A66" s="28"/>
      <c r="B66" s="45" t="str">
        <f t="shared" si="0"/>
        <v>Jan-2023</v>
      </c>
      <c r="C66" s="57">
        <v>44955</v>
      </c>
      <c r="D66" s="43">
        <f t="shared" si="1"/>
        <v>1157</v>
      </c>
      <c r="E66" s="76">
        <v>30</v>
      </c>
      <c r="F66" s="50">
        <v>81</v>
      </c>
      <c r="G66" s="49">
        <v>38955</v>
      </c>
      <c r="H66" s="73">
        <v>78</v>
      </c>
      <c r="I66" s="52">
        <v>77</v>
      </c>
      <c r="J66" s="51">
        <v>37999.020000000033</v>
      </c>
      <c r="K66" s="52"/>
      <c r="L66" s="51"/>
      <c r="M66" s="52">
        <v>28</v>
      </c>
      <c r="N66" s="49">
        <v>10088.450000000001</v>
      </c>
      <c r="O66" s="75">
        <v>28</v>
      </c>
      <c r="P66" s="54">
        <v>9132.4700000000012</v>
      </c>
      <c r="Q66" s="54">
        <v>353.41</v>
      </c>
      <c r="R66" s="53">
        <f t="shared" si="2"/>
        <v>1947.75</v>
      </c>
      <c r="S66" s="51">
        <v>37999.020000000033</v>
      </c>
    </row>
    <row r="67" spans="1:19" ht="15" x14ac:dyDescent="0.25">
      <c r="A67" s="28"/>
      <c r="B67" s="45" t="str">
        <f t="shared" si="0"/>
        <v>Jan-2023</v>
      </c>
      <c r="C67" s="57">
        <v>44956</v>
      </c>
      <c r="D67" s="43">
        <f t="shared" si="1"/>
        <v>1156</v>
      </c>
      <c r="E67" s="76">
        <v>50</v>
      </c>
      <c r="F67" s="50">
        <v>115</v>
      </c>
      <c r="G67" s="49">
        <v>53990</v>
      </c>
      <c r="H67" s="73">
        <v>112</v>
      </c>
      <c r="I67" s="52">
        <v>107</v>
      </c>
      <c r="J67" s="51">
        <v>47621.140000000072</v>
      </c>
      <c r="K67" s="52">
        <v>6</v>
      </c>
      <c r="L67" s="51">
        <v>600</v>
      </c>
      <c r="M67" s="52">
        <v>58</v>
      </c>
      <c r="N67" s="49">
        <v>17718.91</v>
      </c>
      <c r="O67" s="75">
        <v>49</v>
      </c>
      <c r="P67" s="54">
        <v>11350.049999999994</v>
      </c>
      <c r="Q67" s="54">
        <v>288.45000000000005</v>
      </c>
      <c r="R67" s="53">
        <f t="shared" si="2"/>
        <v>2699.5</v>
      </c>
      <c r="S67" s="51">
        <v>47621.140000000065</v>
      </c>
    </row>
    <row r="68" spans="1:19" ht="15" x14ac:dyDescent="0.25">
      <c r="A68" s="28"/>
      <c r="B68" s="45" t="str">
        <f t="shared" si="0"/>
        <v>Jan-2023</v>
      </c>
      <c r="C68" s="57">
        <v>44957</v>
      </c>
      <c r="D68" s="43">
        <f t="shared" si="1"/>
        <v>1155</v>
      </c>
      <c r="E68" s="76">
        <v>46</v>
      </c>
      <c r="F68" s="50">
        <v>107</v>
      </c>
      <c r="G68" s="49">
        <v>50475</v>
      </c>
      <c r="H68" s="73">
        <v>106</v>
      </c>
      <c r="I68" s="52">
        <v>101</v>
      </c>
      <c r="J68" s="51">
        <v>37278.50999999998</v>
      </c>
      <c r="K68" s="52">
        <v>2</v>
      </c>
      <c r="L68" s="51">
        <v>970.11</v>
      </c>
      <c r="M68" s="52">
        <v>56</v>
      </c>
      <c r="N68" s="49">
        <v>22241.11</v>
      </c>
      <c r="O68" s="75">
        <v>51</v>
      </c>
      <c r="P68" s="54">
        <v>9044.6199999999899</v>
      </c>
      <c r="Q68" s="54">
        <v>444.62</v>
      </c>
      <c r="R68" s="53">
        <f t="shared" si="2"/>
        <v>2523.75</v>
      </c>
      <c r="S68" s="51">
        <v>37278.50999999998</v>
      </c>
    </row>
    <row r="69" spans="1:19" ht="15" x14ac:dyDescent="0.25">
      <c r="A69" s="28"/>
      <c r="B69" s="45" t="str">
        <f t="shared" ref="B69:B132" si="3">TEXT(C69,"MMM-YYYY")</f>
        <v>Feb-2023</v>
      </c>
      <c r="C69" s="57">
        <v>44958</v>
      </c>
      <c r="D69" s="43">
        <f t="shared" ref="D69:D132" si="4">$A$1-C69</f>
        <v>1154</v>
      </c>
      <c r="E69" s="76">
        <v>28</v>
      </c>
      <c r="F69" s="50">
        <v>106</v>
      </c>
      <c r="G69" s="49">
        <v>49750</v>
      </c>
      <c r="H69" s="73">
        <v>106</v>
      </c>
      <c r="I69" s="52">
        <v>99</v>
      </c>
      <c r="J69" s="51">
        <v>34300.170000000027</v>
      </c>
      <c r="K69" s="52">
        <v>1</v>
      </c>
      <c r="L69" s="51">
        <v>100</v>
      </c>
      <c r="M69" s="52">
        <v>60</v>
      </c>
      <c r="N69" s="49">
        <v>23858.47</v>
      </c>
      <c r="O69" s="75">
        <v>56</v>
      </c>
      <c r="P69" s="54">
        <v>8408.6399999999958</v>
      </c>
      <c r="Q69" s="54">
        <v>473.15000000000015</v>
      </c>
      <c r="R69" s="53">
        <f t="shared" ref="R69:R132" si="5">G69*5%</f>
        <v>2487.5</v>
      </c>
      <c r="S69" s="51">
        <v>34300.170000000027</v>
      </c>
    </row>
    <row r="70" spans="1:19" ht="15" x14ac:dyDescent="0.25">
      <c r="A70" s="28"/>
      <c r="B70" s="45" t="str">
        <f t="shared" si="3"/>
        <v>Feb-2023</v>
      </c>
      <c r="C70" s="57">
        <v>44959</v>
      </c>
      <c r="D70" s="43">
        <f t="shared" si="4"/>
        <v>1153</v>
      </c>
      <c r="E70" s="76">
        <v>42</v>
      </c>
      <c r="F70" s="50">
        <v>103</v>
      </c>
      <c r="G70" s="49">
        <v>49880</v>
      </c>
      <c r="H70" s="73">
        <v>102</v>
      </c>
      <c r="I70" s="52">
        <v>102</v>
      </c>
      <c r="J70" s="51">
        <v>38238.439999999995</v>
      </c>
      <c r="K70" s="52">
        <v>1</v>
      </c>
      <c r="L70" s="51">
        <v>500.11</v>
      </c>
      <c r="M70" s="52">
        <v>48</v>
      </c>
      <c r="N70" s="49">
        <v>20695.39</v>
      </c>
      <c r="O70" s="75">
        <v>48</v>
      </c>
      <c r="P70" s="54">
        <v>9053.8300000000127</v>
      </c>
      <c r="Q70" s="54">
        <v>175.73</v>
      </c>
      <c r="R70" s="53">
        <f t="shared" si="5"/>
        <v>2494</v>
      </c>
      <c r="S70" s="51">
        <v>38238.439999999995</v>
      </c>
    </row>
    <row r="71" spans="1:19" ht="15" x14ac:dyDescent="0.25">
      <c r="A71" s="28"/>
      <c r="B71" s="45" t="str">
        <f t="shared" si="3"/>
        <v>Feb-2023</v>
      </c>
      <c r="C71" s="57">
        <v>44960</v>
      </c>
      <c r="D71" s="43">
        <f t="shared" si="4"/>
        <v>1152</v>
      </c>
      <c r="E71" s="76">
        <v>38</v>
      </c>
      <c r="F71" s="50">
        <v>115</v>
      </c>
      <c r="G71" s="49">
        <v>55167.78</v>
      </c>
      <c r="H71" s="73">
        <v>114</v>
      </c>
      <c r="I71" s="52">
        <v>107</v>
      </c>
      <c r="J71" s="51">
        <v>35205.879999999983</v>
      </c>
      <c r="K71" s="52">
        <v>2</v>
      </c>
      <c r="L71" s="51">
        <v>518.39</v>
      </c>
      <c r="M71" s="52">
        <v>72</v>
      </c>
      <c r="N71" s="49">
        <v>28486.86</v>
      </c>
      <c r="O71" s="75">
        <v>66</v>
      </c>
      <c r="P71" s="54">
        <v>8524.9599999999991</v>
      </c>
      <c r="Q71" s="54">
        <v>383.97999999999996</v>
      </c>
      <c r="R71" s="53">
        <f t="shared" si="5"/>
        <v>2758.3890000000001</v>
      </c>
      <c r="S71" s="51">
        <v>35205.879999999983</v>
      </c>
    </row>
    <row r="72" spans="1:19" ht="15" x14ac:dyDescent="0.25">
      <c r="A72" s="28"/>
      <c r="B72" s="45" t="str">
        <f t="shared" si="3"/>
        <v>Feb-2023</v>
      </c>
      <c r="C72" s="57">
        <v>44961</v>
      </c>
      <c r="D72" s="43">
        <f t="shared" si="4"/>
        <v>1151</v>
      </c>
      <c r="E72" s="76">
        <v>50</v>
      </c>
      <c r="F72" s="50">
        <v>132</v>
      </c>
      <c r="G72" s="49">
        <v>64530</v>
      </c>
      <c r="H72" s="73">
        <v>130</v>
      </c>
      <c r="I72" s="52">
        <v>127</v>
      </c>
      <c r="J72" s="51">
        <v>44070.18</v>
      </c>
      <c r="K72" s="52">
        <v>6</v>
      </c>
      <c r="L72" s="51">
        <v>1860.1100000000001</v>
      </c>
      <c r="M72" s="52">
        <v>86</v>
      </c>
      <c r="N72" s="49">
        <v>31279.15</v>
      </c>
      <c r="O72" s="75">
        <v>79</v>
      </c>
      <c r="P72" s="54">
        <v>10819.330000000007</v>
      </c>
      <c r="Q72" s="54">
        <v>644.43999999999994</v>
      </c>
      <c r="R72" s="53">
        <f t="shared" si="5"/>
        <v>3226.5</v>
      </c>
      <c r="S72" s="51">
        <v>44070.179999999986</v>
      </c>
    </row>
    <row r="73" spans="1:19" ht="15" x14ac:dyDescent="0.25">
      <c r="A73" s="28"/>
      <c r="B73" s="45" t="str">
        <f t="shared" si="3"/>
        <v>Feb-2023</v>
      </c>
      <c r="C73" s="57">
        <v>44962</v>
      </c>
      <c r="D73" s="43">
        <f t="shared" si="4"/>
        <v>1150</v>
      </c>
      <c r="E73" s="76">
        <v>40</v>
      </c>
      <c r="F73" s="50">
        <v>98</v>
      </c>
      <c r="G73" s="49">
        <v>49000</v>
      </c>
      <c r="H73" s="73">
        <v>98</v>
      </c>
      <c r="I73" s="52">
        <v>96</v>
      </c>
      <c r="J73" s="51">
        <v>28794.630000000012</v>
      </c>
      <c r="K73" s="52">
        <v>5</v>
      </c>
      <c r="L73" s="51">
        <v>1541</v>
      </c>
      <c r="M73" s="52">
        <v>59</v>
      </c>
      <c r="N73" s="49">
        <v>27143.18</v>
      </c>
      <c r="O73" s="75">
        <v>59</v>
      </c>
      <c r="P73" s="54">
        <v>6937.8100000000049</v>
      </c>
      <c r="Q73" s="54">
        <v>272.16000000000008</v>
      </c>
      <c r="R73" s="53">
        <f t="shared" si="5"/>
        <v>2450</v>
      </c>
      <c r="S73" s="51">
        <v>28794.630000000008</v>
      </c>
    </row>
    <row r="74" spans="1:19" ht="15" x14ac:dyDescent="0.25">
      <c r="A74" s="28"/>
      <c r="B74" s="45" t="str">
        <f t="shared" si="3"/>
        <v>Feb-2023</v>
      </c>
      <c r="C74" s="57">
        <v>44963</v>
      </c>
      <c r="D74" s="43">
        <f t="shared" si="4"/>
        <v>1149</v>
      </c>
      <c r="E74" s="76">
        <v>35</v>
      </c>
      <c r="F74" s="50">
        <v>127</v>
      </c>
      <c r="G74" s="49">
        <v>61104</v>
      </c>
      <c r="H74" s="73">
        <v>126</v>
      </c>
      <c r="I74" s="52">
        <v>120</v>
      </c>
      <c r="J74" s="51">
        <v>37423.880000000005</v>
      </c>
      <c r="K74" s="52">
        <v>5</v>
      </c>
      <c r="L74" s="51">
        <v>1150.24</v>
      </c>
      <c r="M74" s="52">
        <v>99</v>
      </c>
      <c r="N74" s="49">
        <v>32828.51</v>
      </c>
      <c r="O74" s="75">
        <v>75</v>
      </c>
      <c r="P74" s="54">
        <v>9148.389999999994</v>
      </c>
      <c r="Q74" s="54">
        <v>495.6</v>
      </c>
      <c r="R74" s="53">
        <f t="shared" si="5"/>
        <v>3055.2000000000003</v>
      </c>
      <c r="S74" s="51">
        <v>37423.880000000005</v>
      </c>
    </row>
    <row r="75" spans="1:19" ht="15" x14ac:dyDescent="0.25">
      <c r="A75" s="28"/>
      <c r="B75" s="45" t="str">
        <f t="shared" si="3"/>
        <v>Feb-2023</v>
      </c>
      <c r="C75" s="57">
        <v>44964</v>
      </c>
      <c r="D75" s="43">
        <f t="shared" si="4"/>
        <v>1148</v>
      </c>
      <c r="E75" s="76">
        <v>34</v>
      </c>
      <c r="F75" s="50">
        <v>90</v>
      </c>
      <c r="G75" s="49">
        <v>43678</v>
      </c>
      <c r="H75" s="73">
        <v>89</v>
      </c>
      <c r="I75" s="52">
        <v>88</v>
      </c>
      <c r="J75" s="51">
        <v>33848.119999999988</v>
      </c>
      <c r="K75" s="52">
        <v>6</v>
      </c>
      <c r="L75" s="51">
        <v>2500.5500000000002</v>
      </c>
      <c r="M75" s="52">
        <v>47</v>
      </c>
      <c r="N75" s="49">
        <v>17958.330000000002</v>
      </c>
      <c r="O75" s="75">
        <v>43</v>
      </c>
      <c r="P75" s="54">
        <v>8128.4499999999944</v>
      </c>
      <c r="Q75" s="54">
        <v>315.52999999999997</v>
      </c>
      <c r="R75" s="53">
        <f t="shared" si="5"/>
        <v>2183.9</v>
      </c>
      <c r="S75" s="51">
        <v>33848.119999999995</v>
      </c>
    </row>
    <row r="76" spans="1:19" ht="15" x14ac:dyDescent="0.25">
      <c r="A76" s="28"/>
      <c r="B76" s="45" t="str">
        <f t="shared" si="3"/>
        <v>Feb-2023</v>
      </c>
      <c r="C76" s="57">
        <v>44965</v>
      </c>
      <c r="D76" s="43">
        <f t="shared" si="4"/>
        <v>1147</v>
      </c>
      <c r="E76" s="76">
        <v>39</v>
      </c>
      <c r="F76" s="50">
        <v>91</v>
      </c>
      <c r="G76" s="49">
        <v>42920</v>
      </c>
      <c r="H76" s="73">
        <v>90</v>
      </c>
      <c r="I76" s="52">
        <v>86</v>
      </c>
      <c r="J76" s="51">
        <v>33323.790000000037</v>
      </c>
      <c r="K76" s="52">
        <v>2</v>
      </c>
      <c r="L76" s="51">
        <v>1000.22</v>
      </c>
      <c r="M76" s="52">
        <v>46</v>
      </c>
      <c r="N76" s="49">
        <v>17516.28</v>
      </c>
      <c r="O76" s="75">
        <v>45</v>
      </c>
      <c r="P76" s="54">
        <v>7920.0699999999933</v>
      </c>
      <c r="Q76" s="54">
        <v>270.24</v>
      </c>
      <c r="R76" s="53">
        <f t="shared" si="5"/>
        <v>2146</v>
      </c>
      <c r="S76" s="51">
        <v>33323.790000000037</v>
      </c>
    </row>
    <row r="77" spans="1:19" ht="15" x14ac:dyDescent="0.25">
      <c r="A77" s="28"/>
      <c r="B77" s="45" t="str">
        <f t="shared" si="3"/>
        <v>Feb-2023</v>
      </c>
      <c r="C77" s="57">
        <v>44966</v>
      </c>
      <c r="D77" s="43">
        <f t="shared" si="4"/>
        <v>1146</v>
      </c>
      <c r="E77" s="76">
        <v>45</v>
      </c>
      <c r="F77" s="50">
        <v>97</v>
      </c>
      <c r="G77" s="49">
        <v>46308</v>
      </c>
      <c r="H77" s="73">
        <v>97</v>
      </c>
      <c r="I77" s="52">
        <v>94</v>
      </c>
      <c r="J77" s="51">
        <v>29428.410000000014</v>
      </c>
      <c r="K77" s="52">
        <v>3</v>
      </c>
      <c r="L77" s="51">
        <v>580.02</v>
      </c>
      <c r="M77" s="52">
        <v>67</v>
      </c>
      <c r="N77" s="49">
        <v>23821.63</v>
      </c>
      <c r="O77" s="75">
        <v>62</v>
      </c>
      <c r="P77" s="54">
        <v>6942.0399999999991</v>
      </c>
      <c r="Q77" s="54">
        <v>133.99000000000004</v>
      </c>
      <c r="R77" s="53">
        <f t="shared" si="5"/>
        <v>2315.4</v>
      </c>
      <c r="S77" s="51">
        <v>29428.410000000014</v>
      </c>
    </row>
    <row r="78" spans="1:19" ht="15" x14ac:dyDescent="0.25">
      <c r="A78" s="28"/>
      <c r="B78" s="45" t="str">
        <f t="shared" si="3"/>
        <v>Feb-2023</v>
      </c>
      <c r="C78" s="57">
        <v>44967</v>
      </c>
      <c r="D78" s="43">
        <f t="shared" si="4"/>
        <v>1145</v>
      </c>
      <c r="E78" s="76">
        <v>43</v>
      </c>
      <c r="F78" s="50">
        <v>92</v>
      </c>
      <c r="G78" s="49">
        <v>44690</v>
      </c>
      <c r="H78" s="73">
        <v>92</v>
      </c>
      <c r="I78" s="52">
        <v>91</v>
      </c>
      <c r="J78" s="51">
        <v>29312.049999999985</v>
      </c>
      <c r="K78" s="52">
        <v>6</v>
      </c>
      <c r="L78" s="51">
        <v>1710</v>
      </c>
      <c r="M78" s="52">
        <v>61</v>
      </c>
      <c r="N78" s="49">
        <v>22558.92</v>
      </c>
      <c r="O78" s="75">
        <v>56</v>
      </c>
      <c r="P78" s="54">
        <v>7180.9699999999912</v>
      </c>
      <c r="Q78" s="54">
        <v>421.09000000000003</v>
      </c>
      <c r="R78" s="53">
        <f t="shared" si="5"/>
        <v>2234.5</v>
      </c>
      <c r="S78" s="51">
        <v>29312.049999999985</v>
      </c>
    </row>
    <row r="79" spans="1:19" ht="15" x14ac:dyDescent="0.25">
      <c r="A79" s="28"/>
      <c r="B79" s="45" t="str">
        <f t="shared" si="3"/>
        <v>Feb-2023</v>
      </c>
      <c r="C79" s="57">
        <v>44968</v>
      </c>
      <c r="D79" s="43">
        <f t="shared" si="4"/>
        <v>1144</v>
      </c>
      <c r="E79" s="76">
        <v>34</v>
      </c>
      <c r="F79" s="50">
        <v>100</v>
      </c>
      <c r="G79" s="49">
        <v>46047</v>
      </c>
      <c r="H79" s="73">
        <v>97</v>
      </c>
      <c r="I79" s="52">
        <v>89</v>
      </c>
      <c r="J79" s="51">
        <v>32009.829999999976</v>
      </c>
      <c r="K79" s="52"/>
      <c r="L79" s="51"/>
      <c r="M79" s="52">
        <v>51</v>
      </c>
      <c r="N79" s="49">
        <v>21652.75</v>
      </c>
      <c r="O79" s="75">
        <v>47</v>
      </c>
      <c r="P79" s="54">
        <v>7615.5800000000081</v>
      </c>
      <c r="Q79" s="54">
        <v>253.53</v>
      </c>
      <c r="R79" s="53">
        <f t="shared" si="5"/>
        <v>2302.35</v>
      </c>
      <c r="S79" s="51">
        <v>32009.829999999976</v>
      </c>
    </row>
    <row r="80" spans="1:19" ht="15" x14ac:dyDescent="0.25">
      <c r="A80" s="28"/>
      <c r="B80" s="45" t="str">
        <f t="shared" si="3"/>
        <v>Feb-2023</v>
      </c>
      <c r="C80" s="57">
        <v>44969</v>
      </c>
      <c r="D80" s="43">
        <f t="shared" si="4"/>
        <v>1143</v>
      </c>
      <c r="E80" s="76">
        <v>32</v>
      </c>
      <c r="F80" s="50">
        <v>96</v>
      </c>
      <c r="G80" s="49">
        <v>44685</v>
      </c>
      <c r="H80" s="73">
        <v>93</v>
      </c>
      <c r="I80" s="52">
        <v>90</v>
      </c>
      <c r="J80" s="51">
        <v>34024.320000000022</v>
      </c>
      <c r="K80" s="52">
        <v>5</v>
      </c>
      <c r="L80" s="51">
        <v>1645.22</v>
      </c>
      <c r="M80" s="52">
        <v>49</v>
      </c>
      <c r="N80" s="49">
        <v>18918.66</v>
      </c>
      <c r="O80" s="75">
        <v>45</v>
      </c>
      <c r="P80" s="54">
        <v>8257.9800000000014</v>
      </c>
      <c r="Q80" s="54">
        <v>529.29999999999995</v>
      </c>
      <c r="R80" s="53">
        <f t="shared" si="5"/>
        <v>2234.25</v>
      </c>
      <c r="S80" s="51">
        <v>34024.320000000029</v>
      </c>
    </row>
    <row r="81" spans="1:19" ht="15" x14ac:dyDescent="0.25">
      <c r="A81" s="28"/>
      <c r="B81" s="45" t="str">
        <f t="shared" si="3"/>
        <v>Feb-2023</v>
      </c>
      <c r="C81" s="57">
        <v>44970</v>
      </c>
      <c r="D81" s="43">
        <f t="shared" si="4"/>
        <v>1142</v>
      </c>
      <c r="E81" s="76">
        <v>33</v>
      </c>
      <c r="F81" s="50">
        <v>72</v>
      </c>
      <c r="G81" s="49">
        <v>34930</v>
      </c>
      <c r="H81" s="73">
        <v>72</v>
      </c>
      <c r="I81" s="52">
        <v>71</v>
      </c>
      <c r="J81" s="51">
        <v>28329.450000000004</v>
      </c>
      <c r="K81" s="52">
        <v>4</v>
      </c>
      <c r="L81" s="51">
        <v>1670.1999999999998</v>
      </c>
      <c r="M81" s="52">
        <v>42</v>
      </c>
      <c r="N81" s="49">
        <v>13414.99</v>
      </c>
      <c r="O81" s="75">
        <v>35</v>
      </c>
      <c r="P81" s="54">
        <v>6814.4400000000014</v>
      </c>
      <c r="Q81" s="54">
        <v>290.11</v>
      </c>
      <c r="R81" s="53">
        <f t="shared" si="5"/>
        <v>1746.5</v>
      </c>
      <c r="S81" s="51">
        <v>28329.450000000004</v>
      </c>
    </row>
    <row r="82" spans="1:19" ht="15" x14ac:dyDescent="0.25">
      <c r="A82" s="28"/>
      <c r="B82" s="45" t="str">
        <f t="shared" si="3"/>
        <v>Feb-2023</v>
      </c>
      <c r="C82" s="57">
        <v>44971</v>
      </c>
      <c r="D82" s="43">
        <f t="shared" si="4"/>
        <v>1141</v>
      </c>
      <c r="E82" s="76">
        <v>26</v>
      </c>
      <c r="F82" s="50">
        <v>79</v>
      </c>
      <c r="G82" s="49">
        <v>38659</v>
      </c>
      <c r="H82" s="73">
        <v>78</v>
      </c>
      <c r="I82" s="52">
        <v>73</v>
      </c>
      <c r="J82" s="51">
        <v>24740.209999999981</v>
      </c>
      <c r="K82" s="52">
        <v>2</v>
      </c>
      <c r="L82" s="51">
        <v>975.11</v>
      </c>
      <c r="M82" s="52">
        <v>41</v>
      </c>
      <c r="N82" s="49">
        <v>19803.650000000001</v>
      </c>
      <c r="O82" s="75">
        <v>40</v>
      </c>
      <c r="P82" s="54">
        <v>5884.8600000000015</v>
      </c>
      <c r="Q82" s="54">
        <v>190.68</v>
      </c>
      <c r="R82" s="53">
        <f t="shared" si="5"/>
        <v>1932.95</v>
      </c>
      <c r="S82" s="51">
        <v>24740.209999999977</v>
      </c>
    </row>
    <row r="83" spans="1:19" ht="15" x14ac:dyDescent="0.25">
      <c r="A83" s="28"/>
      <c r="B83" s="45" t="str">
        <f t="shared" si="3"/>
        <v>Feb-2023</v>
      </c>
      <c r="C83" s="57">
        <v>44972</v>
      </c>
      <c r="D83" s="43">
        <f t="shared" si="4"/>
        <v>1140</v>
      </c>
      <c r="E83" s="76">
        <v>32</v>
      </c>
      <c r="F83" s="50">
        <v>244</v>
      </c>
      <c r="G83" s="49">
        <v>122360</v>
      </c>
      <c r="H83" s="73">
        <v>241</v>
      </c>
      <c r="I83" s="52">
        <v>234</v>
      </c>
      <c r="J83" s="51">
        <v>78241.480000000098</v>
      </c>
      <c r="K83" s="52">
        <v>6</v>
      </c>
      <c r="L83" s="51">
        <v>2175.37</v>
      </c>
      <c r="M83" s="52">
        <v>151</v>
      </c>
      <c r="N83" s="49">
        <v>63420.12</v>
      </c>
      <c r="O83" s="75">
        <v>140</v>
      </c>
      <c r="P83" s="54">
        <v>19301.600000000039</v>
      </c>
      <c r="Q83" s="54">
        <v>1497.15</v>
      </c>
      <c r="R83" s="53">
        <f t="shared" si="5"/>
        <v>6118</v>
      </c>
      <c r="S83" s="51">
        <v>78241.480000000098</v>
      </c>
    </row>
    <row r="84" spans="1:19" ht="15" x14ac:dyDescent="0.25">
      <c r="A84" s="28"/>
      <c r="B84" s="45" t="str">
        <f t="shared" si="3"/>
        <v>Feb-2023</v>
      </c>
      <c r="C84" s="57">
        <v>44973</v>
      </c>
      <c r="D84" s="43">
        <f t="shared" si="4"/>
        <v>1139</v>
      </c>
      <c r="E84" s="76">
        <v>53</v>
      </c>
      <c r="F84" s="50">
        <v>209</v>
      </c>
      <c r="G84" s="49">
        <v>108430</v>
      </c>
      <c r="H84" s="73">
        <v>204</v>
      </c>
      <c r="I84" s="52">
        <v>197</v>
      </c>
      <c r="J84" s="51">
        <v>66581.539999999994</v>
      </c>
      <c r="K84" s="52">
        <v>9</v>
      </c>
      <c r="L84" s="51">
        <v>4038.6600000000003</v>
      </c>
      <c r="M84" s="52">
        <v>141</v>
      </c>
      <c r="N84" s="49">
        <v>57777.34</v>
      </c>
      <c r="O84" s="75">
        <v>124</v>
      </c>
      <c r="P84" s="54">
        <v>15928.879999999992</v>
      </c>
      <c r="Q84" s="54">
        <v>665.29000000000019</v>
      </c>
      <c r="R84" s="53">
        <f t="shared" si="5"/>
        <v>5421.5</v>
      </c>
      <c r="S84" s="51">
        <v>66581.540000000008</v>
      </c>
    </row>
    <row r="85" spans="1:19" ht="15" x14ac:dyDescent="0.25">
      <c r="A85" s="28"/>
      <c r="B85" s="45" t="str">
        <f t="shared" si="3"/>
        <v>Feb-2023</v>
      </c>
      <c r="C85" s="57">
        <v>44974</v>
      </c>
      <c r="D85" s="43">
        <f t="shared" si="4"/>
        <v>1138</v>
      </c>
      <c r="E85" s="76">
        <v>54</v>
      </c>
      <c r="F85" s="50">
        <v>166</v>
      </c>
      <c r="G85" s="49">
        <v>86370</v>
      </c>
      <c r="H85" s="73">
        <v>166</v>
      </c>
      <c r="I85" s="52">
        <v>159</v>
      </c>
      <c r="J85" s="51">
        <v>58999.260000000017</v>
      </c>
      <c r="K85" s="52">
        <v>5</v>
      </c>
      <c r="L85" s="51">
        <v>1026.22</v>
      </c>
      <c r="M85" s="52">
        <v>95</v>
      </c>
      <c r="N85" s="49">
        <v>41824.160000000003</v>
      </c>
      <c r="O85" s="75">
        <v>88</v>
      </c>
      <c r="P85" s="54">
        <v>14453.419999999998</v>
      </c>
      <c r="Q85" s="54">
        <v>933.08000000000027</v>
      </c>
      <c r="R85" s="53">
        <f t="shared" si="5"/>
        <v>4318.5</v>
      </c>
      <c r="S85" s="51">
        <v>58999.260000000017</v>
      </c>
    </row>
    <row r="86" spans="1:19" ht="15" x14ac:dyDescent="0.25">
      <c r="A86" s="28"/>
      <c r="B86" s="45" t="str">
        <f t="shared" si="3"/>
        <v>Feb-2023</v>
      </c>
      <c r="C86" s="57">
        <v>44975</v>
      </c>
      <c r="D86" s="43">
        <f t="shared" si="4"/>
        <v>1137</v>
      </c>
      <c r="E86" s="76">
        <v>53</v>
      </c>
      <c r="F86" s="50">
        <v>141</v>
      </c>
      <c r="G86" s="49">
        <v>76169</v>
      </c>
      <c r="H86" s="73">
        <v>140</v>
      </c>
      <c r="I86" s="52">
        <v>135</v>
      </c>
      <c r="J86" s="51">
        <v>47735.49</v>
      </c>
      <c r="K86" s="52">
        <v>5</v>
      </c>
      <c r="L86" s="51">
        <v>2875.53</v>
      </c>
      <c r="M86" s="52">
        <v>94</v>
      </c>
      <c r="N86" s="49">
        <v>39748.31</v>
      </c>
      <c r="O86" s="75">
        <v>84</v>
      </c>
      <c r="P86" s="54">
        <v>11314.799999999997</v>
      </c>
      <c r="Q86" s="54">
        <v>362.74000000000007</v>
      </c>
      <c r="R86" s="53">
        <f t="shared" si="5"/>
        <v>3808.4500000000003</v>
      </c>
      <c r="S86" s="51">
        <v>47735.49</v>
      </c>
    </row>
    <row r="87" spans="1:19" ht="15" x14ac:dyDescent="0.25">
      <c r="A87" s="28"/>
      <c r="B87" s="45" t="str">
        <f t="shared" si="3"/>
        <v>Feb-2023</v>
      </c>
      <c r="C87" s="57">
        <v>44976</v>
      </c>
      <c r="D87" s="43">
        <f t="shared" si="4"/>
        <v>1136</v>
      </c>
      <c r="E87" s="76">
        <v>40</v>
      </c>
      <c r="F87" s="50">
        <v>114</v>
      </c>
      <c r="G87" s="49">
        <v>60960</v>
      </c>
      <c r="H87" s="73">
        <v>111</v>
      </c>
      <c r="I87" s="52">
        <v>107</v>
      </c>
      <c r="J87" s="51">
        <v>34855.410000000011</v>
      </c>
      <c r="K87" s="52">
        <v>7</v>
      </c>
      <c r="L87" s="51">
        <v>2102.1999999999998</v>
      </c>
      <c r="M87" s="52">
        <v>82</v>
      </c>
      <c r="N87" s="49">
        <v>34669.83</v>
      </c>
      <c r="O87" s="75">
        <v>73</v>
      </c>
      <c r="P87" s="54">
        <v>8565.2400000000034</v>
      </c>
      <c r="Q87" s="54">
        <v>600.22</v>
      </c>
      <c r="R87" s="53">
        <f t="shared" si="5"/>
        <v>3048</v>
      </c>
      <c r="S87" s="51">
        <v>34855.410000000011</v>
      </c>
    </row>
    <row r="88" spans="1:19" ht="15" x14ac:dyDescent="0.25">
      <c r="A88" s="28"/>
      <c r="B88" s="45" t="str">
        <f t="shared" si="3"/>
        <v>Feb-2023</v>
      </c>
      <c r="C88" s="57">
        <v>44977</v>
      </c>
      <c r="D88" s="43">
        <f t="shared" si="4"/>
        <v>1135</v>
      </c>
      <c r="E88" s="76">
        <v>49</v>
      </c>
      <c r="F88" s="50">
        <v>122</v>
      </c>
      <c r="G88" s="49">
        <v>63460</v>
      </c>
      <c r="H88" s="73">
        <v>120</v>
      </c>
      <c r="I88" s="52">
        <v>115</v>
      </c>
      <c r="J88" s="51">
        <v>47671.69000000001</v>
      </c>
      <c r="K88" s="52">
        <v>1</v>
      </c>
      <c r="L88" s="51">
        <v>450</v>
      </c>
      <c r="M88" s="52">
        <v>50</v>
      </c>
      <c r="N88" s="49">
        <v>27174.14</v>
      </c>
      <c r="O88" s="75">
        <v>47</v>
      </c>
      <c r="P88" s="54">
        <v>11385.830000000007</v>
      </c>
      <c r="Q88" s="54">
        <v>478.63</v>
      </c>
      <c r="R88" s="53">
        <f t="shared" si="5"/>
        <v>3173</v>
      </c>
      <c r="S88" s="51">
        <v>47671.690000000017</v>
      </c>
    </row>
    <row r="89" spans="1:19" ht="15" x14ac:dyDescent="0.25">
      <c r="A89" s="28"/>
      <c r="B89" s="45" t="str">
        <f t="shared" si="3"/>
        <v>Feb-2023</v>
      </c>
      <c r="C89" s="57">
        <v>44978</v>
      </c>
      <c r="D89" s="43">
        <f t="shared" si="4"/>
        <v>1134</v>
      </c>
      <c r="E89" s="76">
        <v>57</v>
      </c>
      <c r="F89" s="50">
        <v>150</v>
      </c>
      <c r="G89" s="49">
        <v>79870</v>
      </c>
      <c r="H89" s="73">
        <v>148</v>
      </c>
      <c r="I89" s="52">
        <v>149</v>
      </c>
      <c r="J89" s="51">
        <v>53112.720000000045</v>
      </c>
      <c r="K89" s="52">
        <v>8</v>
      </c>
      <c r="L89" s="51">
        <v>4270.880000000001</v>
      </c>
      <c r="M89" s="52">
        <v>88</v>
      </c>
      <c r="N89" s="49">
        <v>39494.61</v>
      </c>
      <c r="O89" s="75">
        <v>79</v>
      </c>
      <c r="P89" s="54">
        <v>12737.330000000014</v>
      </c>
      <c r="Q89" s="54">
        <v>592.06000000000006</v>
      </c>
      <c r="R89" s="53">
        <f t="shared" si="5"/>
        <v>3993.5</v>
      </c>
      <c r="S89" s="51">
        <v>53112.720000000059</v>
      </c>
    </row>
    <row r="90" spans="1:19" ht="15" x14ac:dyDescent="0.25">
      <c r="A90" s="28"/>
      <c r="B90" s="45" t="str">
        <f t="shared" si="3"/>
        <v>Feb-2023</v>
      </c>
      <c r="C90" s="57">
        <v>44979</v>
      </c>
      <c r="D90" s="43">
        <f t="shared" si="4"/>
        <v>1133</v>
      </c>
      <c r="E90" s="76">
        <v>40</v>
      </c>
      <c r="F90" s="50">
        <v>84</v>
      </c>
      <c r="G90" s="49">
        <v>44460</v>
      </c>
      <c r="H90" s="73">
        <v>84</v>
      </c>
      <c r="I90" s="52">
        <v>83</v>
      </c>
      <c r="J90" s="51">
        <v>35689.009999999951</v>
      </c>
      <c r="K90" s="52">
        <v>10</v>
      </c>
      <c r="L90" s="51">
        <v>2800.33</v>
      </c>
      <c r="M90" s="52">
        <v>48</v>
      </c>
      <c r="N90" s="49">
        <v>17065.68</v>
      </c>
      <c r="O90" s="75">
        <v>40</v>
      </c>
      <c r="P90" s="54">
        <v>8294.69</v>
      </c>
      <c r="Q90" s="54">
        <v>128.46</v>
      </c>
      <c r="R90" s="53">
        <f t="shared" si="5"/>
        <v>2223</v>
      </c>
      <c r="S90" s="51">
        <v>35689.009999999958</v>
      </c>
    </row>
    <row r="91" spans="1:19" ht="15" x14ac:dyDescent="0.25">
      <c r="A91" s="28"/>
      <c r="B91" s="45" t="str">
        <f t="shared" si="3"/>
        <v>Feb-2023</v>
      </c>
      <c r="C91" s="57">
        <v>44980</v>
      </c>
      <c r="D91" s="43">
        <f t="shared" si="4"/>
        <v>1132</v>
      </c>
      <c r="E91" s="76">
        <v>37</v>
      </c>
      <c r="F91" s="50">
        <v>114</v>
      </c>
      <c r="G91" s="49">
        <v>62280</v>
      </c>
      <c r="H91" s="73">
        <v>112</v>
      </c>
      <c r="I91" s="52">
        <v>114</v>
      </c>
      <c r="J91" s="51">
        <v>35808.250000000022</v>
      </c>
      <c r="K91" s="52">
        <v>5</v>
      </c>
      <c r="L91" s="51">
        <v>2975.55</v>
      </c>
      <c r="M91" s="52">
        <v>73</v>
      </c>
      <c r="N91" s="49">
        <v>35031.54</v>
      </c>
      <c r="O91" s="75">
        <v>69</v>
      </c>
      <c r="P91" s="54">
        <v>8559.7899999999991</v>
      </c>
      <c r="Q91" s="54">
        <v>436.94</v>
      </c>
      <c r="R91" s="53">
        <f t="shared" si="5"/>
        <v>3114</v>
      </c>
      <c r="S91" s="51">
        <v>35808.250000000029</v>
      </c>
    </row>
    <row r="92" spans="1:19" ht="15" x14ac:dyDescent="0.25">
      <c r="A92" s="28"/>
      <c r="B92" s="45" t="str">
        <f t="shared" si="3"/>
        <v>Feb-2023</v>
      </c>
      <c r="C92" s="57">
        <v>44981</v>
      </c>
      <c r="D92" s="43">
        <f t="shared" si="4"/>
        <v>1131</v>
      </c>
      <c r="E92" s="76">
        <v>62</v>
      </c>
      <c r="F92" s="50">
        <v>131</v>
      </c>
      <c r="G92" s="49">
        <v>64020</v>
      </c>
      <c r="H92" s="73">
        <v>128</v>
      </c>
      <c r="I92" s="52">
        <v>123</v>
      </c>
      <c r="J92" s="51">
        <v>55990.389999999985</v>
      </c>
      <c r="K92" s="52">
        <v>4</v>
      </c>
      <c r="L92" s="51">
        <v>832</v>
      </c>
      <c r="M92" s="52">
        <v>54</v>
      </c>
      <c r="N92" s="49">
        <v>21196.66</v>
      </c>
      <c r="O92" s="75">
        <v>48</v>
      </c>
      <c r="P92" s="54">
        <v>13167.050000000003</v>
      </c>
      <c r="Q92" s="54">
        <v>396.16</v>
      </c>
      <c r="R92" s="53">
        <f t="shared" si="5"/>
        <v>3201</v>
      </c>
      <c r="S92" s="51">
        <v>55990.389999999985</v>
      </c>
    </row>
    <row r="93" spans="1:19" ht="15" x14ac:dyDescent="0.25">
      <c r="A93" s="28"/>
      <c r="B93" s="45" t="str">
        <f t="shared" si="3"/>
        <v>Feb-2023</v>
      </c>
      <c r="C93" s="57">
        <v>44982</v>
      </c>
      <c r="D93" s="43">
        <f t="shared" si="4"/>
        <v>1130</v>
      </c>
      <c r="E93" s="76">
        <v>38</v>
      </c>
      <c r="F93" s="50">
        <v>110</v>
      </c>
      <c r="G93" s="49">
        <v>56790</v>
      </c>
      <c r="H93" s="73">
        <v>109</v>
      </c>
      <c r="I93" s="52">
        <v>107</v>
      </c>
      <c r="J93" s="51">
        <v>44297.63999999997</v>
      </c>
      <c r="K93" s="52">
        <v>2</v>
      </c>
      <c r="L93" s="51">
        <v>300.06</v>
      </c>
      <c r="M93" s="52">
        <v>51</v>
      </c>
      <c r="N93" s="49">
        <v>22795.34</v>
      </c>
      <c r="O93" s="75">
        <v>49</v>
      </c>
      <c r="P93" s="54">
        <v>10302.980000000003</v>
      </c>
      <c r="Q93" s="54">
        <v>187.91000000000003</v>
      </c>
      <c r="R93" s="53">
        <f t="shared" si="5"/>
        <v>2839.5</v>
      </c>
      <c r="S93" s="51">
        <v>44297.639999999963</v>
      </c>
    </row>
    <row r="94" spans="1:19" ht="15" x14ac:dyDescent="0.25">
      <c r="A94" s="28"/>
      <c r="B94" s="45" t="str">
        <f t="shared" si="3"/>
        <v>Feb-2023</v>
      </c>
      <c r="C94" s="57">
        <v>44983</v>
      </c>
      <c r="D94" s="43">
        <f t="shared" si="4"/>
        <v>1129</v>
      </c>
      <c r="E94" s="76">
        <v>31</v>
      </c>
      <c r="F94" s="50">
        <v>80</v>
      </c>
      <c r="G94" s="49">
        <v>38510</v>
      </c>
      <c r="H94" s="73">
        <v>80</v>
      </c>
      <c r="I94" s="52">
        <v>76</v>
      </c>
      <c r="J94" s="51">
        <v>29783.320000000022</v>
      </c>
      <c r="K94" s="52"/>
      <c r="L94" s="51"/>
      <c r="M94" s="52">
        <v>33</v>
      </c>
      <c r="N94" s="49">
        <v>15766.42</v>
      </c>
      <c r="O94" s="75">
        <v>33</v>
      </c>
      <c r="P94" s="54">
        <v>7039.7399999999952</v>
      </c>
      <c r="Q94" s="54">
        <v>244.33999999999997</v>
      </c>
      <c r="R94" s="53">
        <f t="shared" si="5"/>
        <v>1925.5</v>
      </c>
      <c r="S94" s="51">
        <v>29783.320000000022</v>
      </c>
    </row>
    <row r="95" spans="1:19" ht="15" x14ac:dyDescent="0.25">
      <c r="A95" s="28"/>
      <c r="B95" s="45" t="str">
        <f t="shared" si="3"/>
        <v>Feb-2023</v>
      </c>
      <c r="C95" s="57">
        <v>44984</v>
      </c>
      <c r="D95" s="43">
        <f t="shared" si="4"/>
        <v>1128</v>
      </c>
      <c r="E95" s="76">
        <v>53</v>
      </c>
      <c r="F95" s="50">
        <v>121</v>
      </c>
      <c r="G95" s="49">
        <v>62670</v>
      </c>
      <c r="H95" s="73">
        <v>120</v>
      </c>
      <c r="I95" s="52">
        <v>118</v>
      </c>
      <c r="J95" s="51">
        <v>47313.69999999999</v>
      </c>
      <c r="K95" s="52">
        <v>8</v>
      </c>
      <c r="L95" s="51">
        <v>2575.37</v>
      </c>
      <c r="M95" s="52">
        <v>59</v>
      </c>
      <c r="N95" s="49">
        <v>26310.880000000001</v>
      </c>
      <c r="O95" s="75">
        <v>57</v>
      </c>
      <c r="P95" s="54">
        <v>10954.580000000005</v>
      </c>
      <c r="Q95" s="54">
        <v>166.09999999999997</v>
      </c>
      <c r="R95" s="53">
        <f t="shared" si="5"/>
        <v>3133.5</v>
      </c>
      <c r="S95" s="51">
        <v>47313.69999999999</v>
      </c>
    </row>
    <row r="96" spans="1:19" ht="15" x14ac:dyDescent="0.25">
      <c r="A96" s="28"/>
      <c r="B96" s="45" t="str">
        <f t="shared" si="3"/>
        <v>Feb-2023</v>
      </c>
      <c r="C96" s="57">
        <v>44985</v>
      </c>
      <c r="D96" s="43">
        <f t="shared" si="4"/>
        <v>1127</v>
      </c>
      <c r="E96" s="76">
        <v>43</v>
      </c>
      <c r="F96" s="50">
        <v>57</v>
      </c>
      <c r="G96" s="49">
        <v>30169</v>
      </c>
      <c r="H96" s="73">
        <v>56</v>
      </c>
      <c r="I96" s="52">
        <v>56</v>
      </c>
      <c r="J96" s="51">
        <v>25223.499999999989</v>
      </c>
      <c r="K96" s="52"/>
      <c r="L96" s="51"/>
      <c r="M96" s="52">
        <v>49</v>
      </c>
      <c r="N96" s="49">
        <v>10922.24</v>
      </c>
      <c r="O96" s="75">
        <v>48</v>
      </c>
      <c r="P96" s="54">
        <v>5976.74</v>
      </c>
      <c r="Q96" s="54">
        <v>238.15</v>
      </c>
      <c r="R96" s="53">
        <f t="shared" si="5"/>
        <v>1508.45</v>
      </c>
      <c r="S96" s="51">
        <v>25223.499999999989</v>
      </c>
    </row>
    <row r="97" spans="1:19" ht="15" x14ac:dyDescent="0.25">
      <c r="A97" s="28"/>
      <c r="B97" s="45" t="str">
        <f t="shared" si="3"/>
        <v>Mar-2023</v>
      </c>
      <c r="C97" s="57">
        <v>44986</v>
      </c>
      <c r="D97" s="43">
        <f t="shared" si="4"/>
        <v>1126</v>
      </c>
      <c r="E97" s="76">
        <v>46</v>
      </c>
      <c r="F97" s="50">
        <v>104</v>
      </c>
      <c r="G97" s="49">
        <v>51320</v>
      </c>
      <c r="H97" s="73">
        <v>97</v>
      </c>
      <c r="I97" s="52">
        <v>96</v>
      </c>
      <c r="J97" s="51">
        <v>42085.439999999995</v>
      </c>
      <c r="K97" s="52">
        <v>2</v>
      </c>
      <c r="L97" s="51">
        <v>1095.22</v>
      </c>
      <c r="M97" s="52">
        <v>64</v>
      </c>
      <c r="N97" s="49">
        <v>19280.95</v>
      </c>
      <c r="O97" s="75">
        <v>50</v>
      </c>
      <c r="P97" s="54">
        <v>10046.390000000005</v>
      </c>
      <c r="Q97" s="54">
        <v>464.80999999999995</v>
      </c>
      <c r="R97" s="53">
        <f t="shared" si="5"/>
        <v>2566</v>
      </c>
      <c r="S97" s="51">
        <v>42085.439999999988</v>
      </c>
    </row>
    <row r="98" spans="1:19" ht="15" x14ac:dyDescent="0.25">
      <c r="A98" s="28"/>
      <c r="B98" s="45" t="str">
        <f t="shared" si="3"/>
        <v>Mar-2023</v>
      </c>
      <c r="C98" s="57">
        <v>44987</v>
      </c>
      <c r="D98" s="43">
        <f t="shared" si="4"/>
        <v>1125</v>
      </c>
      <c r="E98" s="76">
        <v>116</v>
      </c>
      <c r="F98" s="50">
        <v>83</v>
      </c>
      <c r="G98" s="49">
        <v>45680</v>
      </c>
      <c r="H98" s="73">
        <v>79</v>
      </c>
      <c r="I98" s="52">
        <v>81</v>
      </c>
      <c r="J98" s="51">
        <v>18687.339999999997</v>
      </c>
      <c r="K98" s="52">
        <v>5</v>
      </c>
      <c r="L98" s="51">
        <v>2550.5</v>
      </c>
      <c r="M98" s="52">
        <v>69</v>
      </c>
      <c r="N98" s="49">
        <v>31582.28</v>
      </c>
      <c r="O98" s="75">
        <v>66</v>
      </c>
      <c r="P98" s="54">
        <v>4589.6199999999981</v>
      </c>
      <c r="Q98" s="54">
        <v>368.26000000000005</v>
      </c>
      <c r="R98" s="53">
        <f t="shared" si="5"/>
        <v>2284</v>
      </c>
      <c r="S98" s="51">
        <v>18687.339999999993</v>
      </c>
    </row>
    <row r="99" spans="1:19" ht="15" x14ac:dyDescent="0.25">
      <c r="A99" s="28"/>
      <c r="B99" s="45" t="str">
        <f t="shared" si="3"/>
        <v>Mar-2023</v>
      </c>
      <c r="C99" s="57">
        <v>44988</v>
      </c>
      <c r="D99" s="43">
        <f t="shared" si="4"/>
        <v>1124</v>
      </c>
      <c r="E99" s="76">
        <v>57</v>
      </c>
      <c r="F99" s="50">
        <v>25</v>
      </c>
      <c r="G99" s="49">
        <v>13376</v>
      </c>
      <c r="H99" s="73">
        <v>25</v>
      </c>
      <c r="I99" s="52">
        <v>25</v>
      </c>
      <c r="J99" s="51">
        <v>8903.6</v>
      </c>
      <c r="K99" s="52"/>
      <c r="L99" s="51"/>
      <c r="M99" s="52">
        <v>19</v>
      </c>
      <c r="N99" s="49">
        <v>6549.36</v>
      </c>
      <c r="O99" s="75">
        <v>17</v>
      </c>
      <c r="P99" s="54">
        <v>2076.9599999999996</v>
      </c>
      <c r="Q99" s="54">
        <v>49.359999999999992</v>
      </c>
      <c r="R99" s="53">
        <f t="shared" si="5"/>
        <v>668.80000000000007</v>
      </c>
      <c r="S99" s="51">
        <v>8903.6</v>
      </c>
    </row>
    <row r="100" spans="1:19" ht="15" x14ac:dyDescent="0.25">
      <c r="A100" s="28"/>
      <c r="B100" s="45" t="str">
        <f t="shared" si="3"/>
        <v>Mar-2023</v>
      </c>
      <c r="C100" s="57">
        <v>44989</v>
      </c>
      <c r="D100" s="43">
        <f t="shared" si="4"/>
        <v>1123</v>
      </c>
      <c r="E100" s="76">
        <v>42</v>
      </c>
      <c r="F100" s="50">
        <v>5</v>
      </c>
      <c r="G100" s="49">
        <v>3700</v>
      </c>
      <c r="H100" s="73">
        <v>4</v>
      </c>
      <c r="I100" s="52">
        <v>5</v>
      </c>
      <c r="J100" s="51">
        <v>0</v>
      </c>
      <c r="K100" s="52">
        <v>1</v>
      </c>
      <c r="L100" s="51">
        <v>100.02</v>
      </c>
      <c r="M100" s="52">
        <v>6</v>
      </c>
      <c r="N100" s="49">
        <v>3767.51</v>
      </c>
      <c r="O100" s="75">
        <v>6</v>
      </c>
      <c r="P100" s="54">
        <v>67.510000000000005</v>
      </c>
      <c r="Q100" s="54">
        <v>67.510000000000005</v>
      </c>
      <c r="R100" s="53">
        <f t="shared" si="5"/>
        <v>185</v>
      </c>
      <c r="S100" s="51"/>
    </row>
    <row r="101" spans="1:19" ht="15" x14ac:dyDescent="0.25">
      <c r="A101" s="28"/>
      <c r="B101" s="45" t="str">
        <f t="shared" si="3"/>
        <v>Mar-2023</v>
      </c>
      <c r="C101" s="57">
        <v>44990</v>
      </c>
      <c r="D101" s="43">
        <f t="shared" si="4"/>
        <v>1122</v>
      </c>
      <c r="E101" s="76">
        <v>35</v>
      </c>
      <c r="F101" s="50">
        <v>1</v>
      </c>
      <c r="G101" s="49">
        <v>500</v>
      </c>
      <c r="H101" s="73">
        <v>1</v>
      </c>
      <c r="I101" s="52">
        <v>1</v>
      </c>
      <c r="J101" s="51">
        <v>646.99</v>
      </c>
      <c r="K101" s="52"/>
      <c r="L101" s="51"/>
      <c r="M101" s="52"/>
      <c r="N101" s="49"/>
      <c r="O101" s="75"/>
      <c r="P101" s="54">
        <v>146.99</v>
      </c>
      <c r="Q101" s="54">
        <v>0</v>
      </c>
      <c r="R101" s="53">
        <f t="shared" si="5"/>
        <v>25</v>
      </c>
      <c r="S101" s="51">
        <v>646.99</v>
      </c>
    </row>
    <row r="102" spans="1:19" ht="15" x14ac:dyDescent="0.25">
      <c r="A102" s="28"/>
      <c r="B102" s="45" t="str">
        <f t="shared" si="3"/>
        <v>Mar-2023</v>
      </c>
      <c r="C102" s="57">
        <v>44991</v>
      </c>
      <c r="D102" s="43">
        <f t="shared" si="4"/>
        <v>1121</v>
      </c>
      <c r="E102" s="76">
        <v>27</v>
      </c>
      <c r="F102" s="50">
        <v>146</v>
      </c>
      <c r="G102" s="49">
        <v>79810</v>
      </c>
      <c r="H102" s="73">
        <v>145</v>
      </c>
      <c r="I102" s="52">
        <v>146</v>
      </c>
      <c r="J102" s="51">
        <v>43135.35000000002</v>
      </c>
      <c r="K102" s="52">
        <v>1</v>
      </c>
      <c r="L102" s="51">
        <v>100.02</v>
      </c>
      <c r="M102" s="52">
        <v>106</v>
      </c>
      <c r="N102" s="49">
        <v>47708.61</v>
      </c>
      <c r="O102" s="75">
        <v>103</v>
      </c>
      <c r="P102" s="54">
        <v>11033.959999999985</v>
      </c>
      <c r="Q102" s="54">
        <v>1402.9500000000007</v>
      </c>
      <c r="R102" s="53">
        <f t="shared" si="5"/>
        <v>3990.5</v>
      </c>
      <c r="S102" s="51">
        <v>43135.350000000028</v>
      </c>
    </row>
    <row r="103" spans="1:19" ht="15" x14ac:dyDescent="0.25">
      <c r="A103" s="28"/>
      <c r="B103" s="45" t="str">
        <f t="shared" si="3"/>
        <v>Mar-2023</v>
      </c>
      <c r="C103" s="57">
        <v>44992</v>
      </c>
      <c r="D103" s="43">
        <f t="shared" si="4"/>
        <v>1120</v>
      </c>
      <c r="E103" s="76">
        <v>28</v>
      </c>
      <c r="F103" s="50">
        <v>109</v>
      </c>
      <c r="G103" s="49">
        <v>60770</v>
      </c>
      <c r="H103" s="73">
        <v>109</v>
      </c>
      <c r="I103" s="52">
        <v>109</v>
      </c>
      <c r="J103" s="51">
        <v>35967.959999999992</v>
      </c>
      <c r="K103" s="52">
        <v>2</v>
      </c>
      <c r="L103" s="51">
        <v>800.11</v>
      </c>
      <c r="M103" s="52">
        <v>78</v>
      </c>
      <c r="N103" s="49">
        <v>33316.629999999997</v>
      </c>
      <c r="O103" s="75">
        <v>72</v>
      </c>
      <c r="P103" s="54">
        <v>8514.5899999999929</v>
      </c>
      <c r="Q103" s="54">
        <v>344.27</v>
      </c>
      <c r="R103" s="53">
        <f t="shared" si="5"/>
        <v>3038.5</v>
      </c>
      <c r="S103" s="51">
        <v>35967.959999999985</v>
      </c>
    </row>
    <row r="104" spans="1:19" ht="15" x14ac:dyDescent="0.25">
      <c r="A104" s="28"/>
      <c r="B104" s="45" t="str">
        <f t="shared" si="3"/>
        <v>Mar-2023</v>
      </c>
      <c r="C104" s="57">
        <v>44993</v>
      </c>
      <c r="D104" s="43">
        <f t="shared" si="4"/>
        <v>1119</v>
      </c>
      <c r="E104" s="76">
        <v>36</v>
      </c>
      <c r="F104" s="50">
        <v>60</v>
      </c>
      <c r="G104" s="49">
        <v>34260</v>
      </c>
      <c r="H104" s="73">
        <v>60</v>
      </c>
      <c r="I104" s="52">
        <v>60</v>
      </c>
      <c r="J104" s="51">
        <v>20045.899999999998</v>
      </c>
      <c r="K104" s="52"/>
      <c r="L104" s="51"/>
      <c r="M104" s="52">
        <v>44</v>
      </c>
      <c r="N104" s="49">
        <v>19141.71</v>
      </c>
      <c r="O104" s="75">
        <v>35</v>
      </c>
      <c r="P104" s="54">
        <v>4927.6099999999988</v>
      </c>
      <c r="Q104" s="54">
        <v>394.59999999999991</v>
      </c>
      <c r="R104" s="53">
        <f t="shared" si="5"/>
        <v>1713</v>
      </c>
      <c r="S104" s="51">
        <v>20045.899999999998</v>
      </c>
    </row>
    <row r="105" spans="1:19" ht="15" x14ac:dyDescent="0.25">
      <c r="A105" s="28"/>
      <c r="B105" s="45" t="str">
        <f t="shared" si="3"/>
        <v>Mar-2023</v>
      </c>
      <c r="C105" s="57">
        <v>44994</v>
      </c>
      <c r="D105" s="43">
        <f t="shared" si="4"/>
        <v>1118</v>
      </c>
      <c r="E105" s="76">
        <v>41</v>
      </c>
      <c r="F105" s="50">
        <v>139</v>
      </c>
      <c r="G105" s="49">
        <v>75575</v>
      </c>
      <c r="H105" s="73">
        <v>139</v>
      </c>
      <c r="I105" s="52">
        <v>139</v>
      </c>
      <c r="J105" s="51">
        <v>57989.970000000023</v>
      </c>
      <c r="K105" s="52">
        <v>2</v>
      </c>
      <c r="L105" s="51">
        <v>1275.1799999999998</v>
      </c>
      <c r="M105" s="52">
        <v>73</v>
      </c>
      <c r="N105" s="49">
        <v>31193.08</v>
      </c>
      <c r="O105" s="75">
        <v>69</v>
      </c>
      <c r="P105" s="54">
        <v>13608.050000000003</v>
      </c>
      <c r="Q105" s="54">
        <v>490.24</v>
      </c>
      <c r="R105" s="53">
        <f t="shared" si="5"/>
        <v>3778.75</v>
      </c>
      <c r="S105" s="51">
        <v>57989.970000000023</v>
      </c>
    </row>
    <row r="106" spans="1:19" ht="15" x14ac:dyDescent="0.25">
      <c r="A106" s="28"/>
      <c r="B106" s="45" t="str">
        <f t="shared" si="3"/>
        <v>Mar-2023</v>
      </c>
      <c r="C106" s="57">
        <v>44995</v>
      </c>
      <c r="D106" s="43">
        <f t="shared" si="4"/>
        <v>1117</v>
      </c>
      <c r="E106" s="76">
        <v>39</v>
      </c>
      <c r="F106" s="50">
        <v>119</v>
      </c>
      <c r="G106" s="49">
        <v>63995</v>
      </c>
      <c r="H106" s="73">
        <v>117</v>
      </c>
      <c r="I106" s="52">
        <v>119</v>
      </c>
      <c r="J106" s="51">
        <v>42988.639999999948</v>
      </c>
      <c r="K106" s="52">
        <v>8</v>
      </c>
      <c r="L106" s="51">
        <v>3407.44</v>
      </c>
      <c r="M106" s="52">
        <v>84</v>
      </c>
      <c r="N106" s="49">
        <v>31147.94</v>
      </c>
      <c r="O106" s="75">
        <v>77</v>
      </c>
      <c r="P106" s="54">
        <v>10141.580000000002</v>
      </c>
      <c r="Q106" s="54">
        <v>430.59999999999997</v>
      </c>
      <c r="R106" s="53">
        <f t="shared" si="5"/>
        <v>3199.75</v>
      </c>
      <c r="S106" s="51">
        <v>42988.639999999948</v>
      </c>
    </row>
    <row r="107" spans="1:19" ht="15" x14ac:dyDescent="0.25">
      <c r="A107" s="28"/>
      <c r="B107" s="45" t="str">
        <f t="shared" si="3"/>
        <v>Mar-2023</v>
      </c>
      <c r="C107" s="57">
        <v>44996</v>
      </c>
      <c r="D107" s="43">
        <f t="shared" si="4"/>
        <v>1116</v>
      </c>
      <c r="E107" s="76">
        <v>31</v>
      </c>
      <c r="F107" s="50">
        <v>97</v>
      </c>
      <c r="G107" s="49">
        <v>50950</v>
      </c>
      <c r="H107" s="73">
        <v>97</v>
      </c>
      <c r="I107" s="52">
        <v>97</v>
      </c>
      <c r="J107" s="51">
        <v>36867.369999999974</v>
      </c>
      <c r="K107" s="52"/>
      <c r="L107" s="51"/>
      <c r="M107" s="52">
        <v>54</v>
      </c>
      <c r="N107" s="49">
        <v>22778.12</v>
      </c>
      <c r="O107" s="75">
        <v>52</v>
      </c>
      <c r="P107" s="54">
        <v>8695.4900000000016</v>
      </c>
      <c r="Q107" s="54">
        <v>398.64</v>
      </c>
      <c r="R107" s="53">
        <f t="shared" si="5"/>
        <v>2547.5</v>
      </c>
      <c r="S107" s="51">
        <v>36867.369999999974</v>
      </c>
    </row>
    <row r="108" spans="1:19" ht="15" x14ac:dyDescent="0.25">
      <c r="A108" s="28"/>
      <c r="B108" s="45" t="str">
        <f t="shared" si="3"/>
        <v>Mar-2023</v>
      </c>
      <c r="C108" s="57">
        <v>44997</v>
      </c>
      <c r="D108" s="43">
        <f t="shared" si="4"/>
        <v>1115</v>
      </c>
      <c r="E108" s="76">
        <v>38</v>
      </c>
      <c r="F108" s="50">
        <v>85</v>
      </c>
      <c r="G108" s="49">
        <v>42950</v>
      </c>
      <c r="H108" s="73">
        <v>85</v>
      </c>
      <c r="I108" s="52">
        <v>85</v>
      </c>
      <c r="J108" s="51">
        <v>31651.580000000038</v>
      </c>
      <c r="K108" s="52"/>
      <c r="L108" s="51"/>
      <c r="M108" s="52">
        <v>43</v>
      </c>
      <c r="N108" s="49">
        <v>18646.169999999998</v>
      </c>
      <c r="O108" s="75">
        <v>41</v>
      </c>
      <c r="P108" s="54">
        <v>7347.7499999999973</v>
      </c>
      <c r="Q108" s="54">
        <v>196.26</v>
      </c>
      <c r="R108" s="53">
        <f t="shared" si="5"/>
        <v>2147.5</v>
      </c>
      <c r="S108" s="51">
        <v>31651.580000000034</v>
      </c>
    </row>
    <row r="109" spans="1:19" ht="15" x14ac:dyDescent="0.25">
      <c r="A109" s="28"/>
      <c r="B109" s="45" t="str">
        <f t="shared" si="3"/>
        <v>Mar-2023</v>
      </c>
      <c r="C109" s="57">
        <v>44998</v>
      </c>
      <c r="D109" s="43">
        <f t="shared" si="4"/>
        <v>1114</v>
      </c>
      <c r="E109" s="76">
        <v>27</v>
      </c>
      <c r="F109" s="50">
        <v>97</v>
      </c>
      <c r="G109" s="49">
        <v>51920</v>
      </c>
      <c r="H109" s="73">
        <v>94</v>
      </c>
      <c r="I109" s="52">
        <v>96</v>
      </c>
      <c r="J109" s="51">
        <v>33684.49000000002</v>
      </c>
      <c r="K109" s="52">
        <v>9</v>
      </c>
      <c r="L109" s="51">
        <v>2570.38</v>
      </c>
      <c r="M109" s="52">
        <v>67</v>
      </c>
      <c r="N109" s="49">
        <v>26050.22</v>
      </c>
      <c r="O109" s="75">
        <v>59</v>
      </c>
      <c r="P109" s="54">
        <v>7814.7099999999964</v>
      </c>
      <c r="Q109" s="54">
        <v>199.3</v>
      </c>
      <c r="R109" s="53">
        <f t="shared" si="5"/>
        <v>2596</v>
      </c>
      <c r="S109" s="51">
        <v>33684.49000000002</v>
      </c>
    </row>
    <row r="110" spans="1:19" ht="15" x14ac:dyDescent="0.25">
      <c r="A110" s="28"/>
      <c r="B110" s="45" t="str">
        <f t="shared" si="3"/>
        <v>Mar-2023</v>
      </c>
      <c r="C110" s="57">
        <v>44999</v>
      </c>
      <c r="D110" s="43">
        <f t="shared" si="4"/>
        <v>1113</v>
      </c>
      <c r="E110" s="76">
        <v>31</v>
      </c>
      <c r="F110" s="50">
        <v>190</v>
      </c>
      <c r="G110" s="49">
        <v>99246</v>
      </c>
      <c r="H110" s="73">
        <v>189</v>
      </c>
      <c r="I110" s="52">
        <v>190</v>
      </c>
      <c r="J110" s="51">
        <v>76164.340000000011</v>
      </c>
      <c r="K110" s="52">
        <v>5</v>
      </c>
      <c r="L110" s="51">
        <v>1001.04</v>
      </c>
      <c r="M110" s="52">
        <v>111</v>
      </c>
      <c r="N110" s="49">
        <v>41158.199999999997</v>
      </c>
      <c r="O110" s="75">
        <v>98</v>
      </c>
      <c r="P110" s="54">
        <v>18076.539999999972</v>
      </c>
      <c r="Q110" s="54">
        <v>938.50999999999988</v>
      </c>
      <c r="R110" s="53">
        <f t="shared" si="5"/>
        <v>4962.3</v>
      </c>
      <c r="S110" s="51">
        <v>76164.340000000011</v>
      </c>
    </row>
    <row r="111" spans="1:19" ht="15" x14ac:dyDescent="0.25">
      <c r="A111" s="28"/>
      <c r="B111" s="45" t="str">
        <f t="shared" si="3"/>
        <v>Mar-2023</v>
      </c>
      <c r="C111" s="57">
        <v>45000</v>
      </c>
      <c r="D111" s="43">
        <f t="shared" si="4"/>
        <v>1112</v>
      </c>
      <c r="E111" s="76">
        <v>410</v>
      </c>
      <c r="F111" s="50">
        <v>240</v>
      </c>
      <c r="G111" s="49">
        <v>125800</v>
      </c>
      <c r="H111" s="73">
        <v>239</v>
      </c>
      <c r="I111" s="52">
        <v>239</v>
      </c>
      <c r="J111" s="51">
        <v>116253.65000000014</v>
      </c>
      <c r="K111" s="52">
        <v>5</v>
      </c>
      <c r="L111" s="51">
        <v>1405</v>
      </c>
      <c r="M111" s="52">
        <v>91</v>
      </c>
      <c r="N111" s="49">
        <v>36607.800000000003</v>
      </c>
      <c r="O111" s="75">
        <v>84</v>
      </c>
      <c r="P111" s="54">
        <v>27061.450000000015</v>
      </c>
      <c r="Q111" s="54">
        <v>923.12000000000023</v>
      </c>
      <c r="R111" s="53">
        <f t="shared" si="5"/>
        <v>6290</v>
      </c>
      <c r="S111" s="51">
        <v>116253.65000000014</v>
      </c>
    </row>
    <row r="112" spans="1:19" ht="15" x14ac:dyDescent="0.25">
      <c r="A112" s="28"/>
      <c r="B112" s="45" t="str">
        <f t="shared" si="3"/>
        <v>Mar-2023</v>
      </c>
      <c r="C112" s="57">
        <v>45001</v>
      </c>
      <c r="D112" s="43">
        <f t="shared" si="4"/>
        <v>1111</v>
      </c>
      <c r="E112" s="76">
        <v>706</v>
      </c>
      <c r="F112" s="50">
        <v>521</v>
      </c>
      <c r="G112" s="49">
        <v>267035</v>
      </c>
      <c r="H112" s="73">
        <v>519</v>
      </c>
      <c r="I112" s="52">
        <v>520</v>
      </c>
      <c r="J112" s="51">
        <v>262369.75999999995</v>
      </c>
      <c r="K112" s="52">
        <v>16</v>
      </c>
      <c r="L112" s="51">
        <v>4882.24</v>
      </c>
      <c r="M112" s="52">
        <v>178</v>
      </c>
      <c r="N112" s="49">
        <v>65507.29</v>
      </c>
      <c r="O112" s="75">
        <v>160</v>
      </c>
      <c r="P112" s="54">
        <v>60842.049999999945</v>
      </c>
      <c r="Q112" s="54">
        <v>1991.4799999999998</v>
      </c>
      <c r="R112" s="53">
        <f t="shared" si="5"/>
        <v>13351.75</v>
      </c>
      <c r="S112" s="51">
        <v>262369.75999999995</v>
      </c>
    </row>
    <row r="113" spans="1:19" ht="15" x14ac:dyDescent="0.25">
      <c r="A113" s="28"/>
      <c r="B113" s="45" t="str">
        <f t="shared" si="3"/>
        <v>Mar-2023</v>
      </c>
      <c r="C113" s="57">
        <v>45002</v>
      </c>
      <c r="D113" s="43">
        <f t="shared" si="4"/>
        <v>1110</v>
      </c>
      <c r="E113" s="76">
        <v>247</v>
      </c>
      <c r="F113" s="50">
        <v>277</v>
      </c>
      <c r="G113" s="49">
        <v>141140</v>
      </c>
      <c r="H113" s="73">
        <v>277</v>
      </c>
      <c r="I113" s="52">
        <v>277</v>
      </c>
      <c r="J113" s="51">
        <v>121402.43999999993</v>
      </c>
      <c r="K113" s="52">
        <v>6</v>
      </c>
      <c r="L113" s="51">
        <v>1975.19</v>
      </c>
      <c r="M113" s="52">
        <v>135</v>
      </c>
      <c r="N113" s="49">
        <v>48230.58</v>
      </c>
      <c r="O113" s="75">
        <v>124</v>
      </c>
      <c r="P113" s="54">
        <v>28493.020000000004</v>
      </c>
      <c r="Q113" s="54">
        <v>1237.0600000000002</v>
      </c>
      <c r="R113" s="53">
        <f t="shared" si="5"/>
        <v>7057</v>
      </c>
      <c r="S113" s="51">
        <v>121402.43999999993</v>
      </c>
    </row>
    <row r="114" spans="1:19" ht="15" x14ac:dyDescent="0.25">
      <c r="A114" s="28"/>
      <c r="B114" s="45" t="str">
        <f t="shared" si="3"/>
        <v>Mar-2023</v>
      </c>
      <c r="C114" s="57">
        <v>45003</v>
      </c>
      <c r="D114" s="43">
        <f t="shared" si="4"/>
        <v>1109</v>
      </c>
      <c r="E114" s="76">
        <v>124</v>
      </c>
      <c r="F114" s="50">
        <v>194</v>
      </c>
      <c r="G114" s="49">
        <v>97820</v>
      </c>
      <c r="H114" s="73">
        <v>194</v>
      </c>
      <c r="I114" s="52">
        <v>194</v>
      </c>
      <c r="J114" s="51">
        <v>78458.300000000032</v>
      </c>
      <c r="K114" s="52">
        <v>4</v>
      </c>
      <c r="L114" s="51">
        <v>1268</v>
      </c>
      <c r="M114" s="52">
        <v>108</v>
      </c>
      <c r="N114" s="49">
        <v>37730.65</v>
      </c>
      <c r="O114" s="75">
        <v>102</v>
      </c>
      <c r="P114" s="54">
        <v>18368.950000000023</v>
      </c>
      <c r="Q114" s="54">
        <v>739.37</v>
      </c>
      <c r="R114" s="53">
        <f t="shared" si="5"/>
        <v>4891</v>
      </c>
      <c r="S114" s="51">
        <v>78458.300000000032</v>
      </c>
    </row>
    <row r="115" spans="1:19" ht="15" x14ac:dyDescent="0.25">
      <c r="A115" s="28"/>
      <c r="B115" s="45" t="str">
        <f t="shared" si="3"/>
        <v>Mar-2023</v>
      </c>
      <c r="C115" s="57">
        <v>45004</v>
      </c>
      <c r="D115" s="43">
        <f t="shared" si="4"/>
        <v>1108</v>
      </c>
      <c r="E115" s="76">
        <v>108</v>
      </c>
      <c r="F115" s="50">
        <v>140</v>
      </c>
      <c r="G115" s="49">
        <v>71315</v>
      </c>
      <c r="H115" s="73">
        <v>140</v>
      </c>
      <c r="I115" s="52">
        <v>140</v>
      </c>
      <c r="J115" s="51">
        <v>60972.240000000013</v>
      </c>
      <c r="K115" s="52">
        <v>6</v>
      </c>
      <c r="L115" s="51">
        <v>1800.1100000000001</v>
      </c>
      <c r="M115" s="52">
        <v>67</v>
      </c>
      <c r="N115" s="49">
        <v>24392.560000000001</v>
      </c>
      <c r="O115" s="75">
        <v>58</v>
      </c>
      <c r="P115" s="54">
        <v>14049.800000000005</v>
      </c>
      <c r="Q115" s="54">
        <v>351.1</v>
      </c>
      <c r="R115" s="53">
        <f t="shared" si="5"/>
        <v>3565.75</v>
      </c>
      <c r="S115" s="51">
        <v>60972.240000000013</v>
      </c>
    </row>
    <row r="116" spans="1:19" ht="15" x14ac:dyDescent="0.25">
      <c r="A116" s="28"/>
      <c r="B116" s="45" t="str">
        <f t="shared" si="3"/>
        <v>Mar-2023</v>
      </c>
      <c r="C116" s="57">
        <v>45005</v>
      </c>
      <c r="D116" s="43">
        <f t="shared" si="4"/>
        <v>1107</v>
      </c>
      <c r="E116" s="76">
        <v>80</v>
      </c>
      <c r="F116" s="50">
        <v>123</v>
      </c>
      <c r="G116" s="49">
        <v>62742</v>
      </c>
      <c r="H116" s="73">
        <v>123</v>
      </c>
      <c r="I116" s="52">
        <v>123</v>
      </c>
      <c r="J116" s="51">
        <v>53205.080000000016</v>
      </c>
      <c r="K116" s="52">
        <v>5</v>
      </c>
      <c r="L116" s="51">
        <v>1035</v>
      </c>
      <c r="M116" s="52">
        <v>68</v>
      </c>
      <c r="N116" s="49">
        <v>22016.32</v>
      </c>
      <c r="O116" s="75">
        <v>60</v>
      </c>
      <c r="P116" s="54">
        <v>12479.4</v>
      </c>
      <c r="Q116" s="54">
        <v>513.65000000000009</v>
      </c>
      <c r="R116" s="53">
        <f t="shared" si="5"/>
        <v>3137.1000000000004</v>
      </c>
      <c r="S116" s="51">
        <v>53205.080000000016</v>
      </c>
    </row>
    <row r="117" spans="1:19" ht="15" x14ac:dyDescent="0.25">
      <c r="A117" s="28"/>
      <c r="B117" s="45" t="str">
        <f t="shared" si="3"/>
        <v>Mar-2023</v>
      </c>
      <c r="C117" s="57">
        <v>45006</v>
      </c>
      <c r="D117" s="43">
        <f t="shared" si="4"/>
        <v>1106</v>
      </c>
      <c r="E117" s="76">
        <v>88</v>
      </c>
      <c r="F117" s="50">
        <v>139</v>
      </c>
      <c r="G117" s="49">
        <v>72275</v>
      </c>
      <c r="H117" s="73">
        <v>133</v>
      </c>
      <c r="I117" s="52">
        <v>139</v>
      </c>
      <c r="J117" s="51">
        <v>53059.369999999981</v>
      </c>
      <c r="K117" s="52">
        <v>11</v>
      </c>
      <c r="L117" s="51">
        <v>6266.08</v>
      </c>
      <c r="M117" s="52">
        <v>73</v>
      </c>
      <c r="N117" s="49">
        <v>31772.49</v>
      </c>
      <c r="O117" s="75">
        <v>70</v>
      </c>
      <c r="P117" s="54">
        <v>12556.860000000004</v>
      </c>
      <c r="Q117" s="54">
        <v>649.82000000000005</v>
      </c>
      <c r="R117" s="53">
        <f t="shared" si="5"/>
        <v>3613.75</v>
      </c>
      <c r="S117" s="51">
        <v>53059.369999999981</v>
      </c>
    </row>
    <row r="118" spans="1:19" ht="15" x14ac:dyDescent="0.25">
      <c r="A118" s="28"/>
      <c r="B118" s="45" t="str">
        <f t="shared" si="3"/>
        <v>Mar-2023</v>
      </c>
      <c r="C118" s="57">
        <v>45007</v>
      </c>
      <c r="D118" s="43">
        <f t="shared" si="4"/>
        <v>1105</v>
      </c>
      <c r="E118" s="76">
        <v>58</v>
      </c>
      <c r="F118" s="50">
        <v>120</v>
      </c>
      <c r="G118" s="49">
        <v>64325</v>
      </c>
      <c r="H118" s="73">
        <v>120</v>
      </c>
      <c r="I118" s="52">
        <v>120</v>
      </c>
      <c r="J118" s="51">
        <v>46173.099999999962</v>
      </c>
      <c r="K118" s="52">
        <v>6</v>
      </c>
      <c r="L118" s="51">
        <v>1100</v>
      </c>
      <c r="M118" s="52">
        <v>85</v>
      </c>
      <c r="N118" s="49">
        <v>29108.87</v>
      </c>
      <c r="O118" s="75">
        <v>79</v>
      </c>
      <c r="P118" s="54">
        <v>10956.969999999996</v>
      </c>
      <c r="Q118" s="54">
        <v>650.26</v>
      </c>
      <c r="R118" s="53">
        <f t="shared" si="5"/>
        <v>3216.25</v>
      </c>
      <c r="S118" s="51">
        <v>46173.099999999962</v>
      </c>
    </row>
    <row r="119" spans="1:19" ht="15" x14ac:dyDescent="0.25">
      <c r="A119" s="28"/>
      <c r="B119" s="45" t="str">
        <f t="shared" si="3"/>
        <v>Mar-2023</v>
      </c>
      <c r="C119" s="57">
        <v>45008</v>
      </c>
      <c r="D119" s="43">
        <f t="shared" si="4"/>
        <v>1104</v>
      </c>
      <c r="E119" s="76">
        <v>56</v>
      </c>
      <c r="F119" s="50">
        <v>127</v>
      </c>
      <c r="G119" s="49">
        <v>66950</v>
      </c>
      <c r="H119" s="73">
        <v>126</v>
      </c>
      <c r="I119" s="52">
        <v>127</v>
      </c>
      <c r="J119" s="51">
        <v>52315.829999999973</v>
      </c>
      <c r="K119" s="52">
        <v>3</v>
      </c>
      <c r="L119" s="51">
        <v>900.02</v>
      </c>
      <c r="M119" s="52">
        <v>67</v>
      </c>
      <c r="N119" s="49">
        <v>26982.97</v>
      </c>
      <c r="O119" s="75">
        <v>63</v>
      </c>
      <c r="P119" s="54">
        <v>12348.800000000001</v>
      </c>
      <c r="Q119" s="54">
        <v>686.01</v>
      </c>
      <c r="R119" s="53">
        <f t="shared" si="5"/>
        <v>3347.5</v>
      </c>
      <c r="S119" s="51">
        <v>52315.829999999973</v>
      </c>
    </row>
    <row r="120" spans="1:19" ht="15" x14ac:dyDescent="0.25">
      <c r="A120" s="28"/>
      <c r="B120" s="45" t="str">
        <f t="shared" si="3"/>
        <v>Mar-2023</v>
      </c>
      <c r="C120" s="57">
        <v>45009</v>
      </c>
      <c r="D120" s="43">
        <f t="shared" si="4"/>
        <v>1103</v>
      </c>
      <c r="E120" s="76">
        <v>65</v>
      </c>
      <c r="F120" s="50">
        <v>103</v>
      </c>
      <c r="G120" s="49">
        <v>53645</v>
      </c>
      <c r="H120" s="73">
        <v>103</v>
      </c>
      <c r="I120" s="52">
        <v>103</v>
      </c>
      <c r="J120" s="51">
        <v>39963.009999999987</v>
      </c>
      <c r="K120" s="52"/>
      <c r="L120" s="51"/>
      <c r="M120" s="52">
        <v>54</v>
      </c>
      <c r="N120" s="49">
        <v>23181.66</v>
      </c>
      <c r="O120" s="75">
        <v>51</v>
      </c>
      <c r="P120" s="54">
        <v>9499.670000000011</v>
      </c>
      <c r="Q120" s="54">
        <v>558.35</v>
      </c>
      <c r="R120" s="53">
        <f t="shared" si="5"/>
        <v>2682.25</v>
      </c>
      <c r="S120" s="51">
        <v>39963.00999999998</v>
      </c>
    </row>
    <row r="121" spans="1:19" ht="15" x14ac:dyDescent="0.25">
      <c r="A121" s="28"/>
      <c r="B121" s="45" t="str">
        <f t="shared" si="3"/>
        <v>Mar-2023</v>
      </c>
      <c r="C121" s="57">
        <v>45010</v>
      </c>
      <c r="D121" s="43">
        <f t="shared" si="4"/>
        <v>1102</v>
      </c>
      <c r="E121" s="76">
        <v>47</v>
      </c>
      <c r="F121" s="50">
        <v>96</v>
      </c>
      <c r="G121" s="49">
        <v>51550</v>
      </c>
      <c r="H121" s="73">
        <v>95</v>
      </c>
      <c r="I121" s="52">
        <v>96</v>
      </c>
      <c r="J121" s="51">
        <v>35205.269999999982</v>
      </c>
      <c r="K121" s="52">
        <v>4</v>
      </c>
      <c r="L121" s="51">
        <v>1545.13</v>
      </c>
      <c r="M121" s="52">
        <v>52</v>
      </c>
      <c r="N121" s="49">
        <v>25042.13</v>
      </c>
      <c r="O121" s="75">
        <v>50</v>
      </c>
      <c r="P121" s="54">
        <v>8697.4000000000087</v>
      </c>
      <c r="Q121" s="54">
        <v>843.75</v>
      </c>
      <c r="R121" s="53">
        <f t="shared" si="5"/>
        <v>2577.5</v>
      </c>
      <c r="S121" s="51">
        <v>35205.249999999985</v>
      </c>
    </row>
    <row r="122" spans="1:19" ht="15" x14ac:dyDescent="0.25">
      <c r="A122" s="28"/>
      <c r="B122" s="45" t="str">
        <f t="shared" si="3"/>
        <v>Mar-2023</v>
      </c>
      <c r="C122" s="57">
        <v>45011</v>
      </c>
      <c r="D122" s="43">
        <f t="shared" si="4"/>
        <v>1101</v>
      </c>
      <c r="E122" s="76">
        <v>44</v>
      </c>
      <c r="F122" s="50">
        <v>74</v>
      </c>
      <c r="G122" s="49">
        <v>37340</v>
      </c>
      <c r="H122" s="73">
        <v>74</v>
      </c>
      <c r="I122" s="52">
        <v>74</v>
      </c>
      <c r="J122" s="51">
        <v>29860.279999999977</v>
      </c>
      <c r="K122" s="52">
        <v>2</v>
      </c>
      <c r="L122" s="51">
        <v>290</v>
      </c>
      <c r="M122" s="52">
        <v>36</v>
      </c>
      <c r="N122" s="49">
        <v>14677.23</v>
      </c>
      <c r="O122" s="75">
        <v>35</v>
      </c>
      <c r="P122" s="54">
        <v>7197.5100000000029</v>
      </c>
      <c r="Q122" s="54">
        <v>548.11999999999989</v>
      </c>
      <c r="R122" s="53">
        <f t="shared" si="5"/>
        <v>1867</v>
      </c>
      <c r="S122" s="51">
        <v>29860.279999999981</v>
      </c>
    </row>
    <row r="123" spans="1:19" ht="15" x14ac:dyDescent="0.25">
      <c r="A123" s="28"/>
      <c r="B123" s="45" t="str">
        <f t="shared" si="3"/>
        <v>Mar-2023</v>
      </c>
      <c r="C123" s="57">
        <v>45012</v>
      </c>
      <c r="D123" s="43">
        <f t="shared" si="4"/>
        <v>1100</v>
      </c>
      <c r="E123" s="76">
        <v>57</v>
      </c>
      <c r="F123" s="50">
        <v>89</v>
      </c>
      <c r="G123" s="49">
        <v>48735</v>
      </c>
      <c r="H123" s="73">
        <v>89</v>
      </c>
      <c r="I123" s="52">
        <v>89</v>
      </c>
      <c r="J123" s="51">
        <v>36835.120000000003</v>
      </c>
      <c r="K123" s="52">
        <v>2</v>
      </c>
      <c r="L123" s="51">
        <v>901</v>
      </c>
      <c r="M123" s="52">
        <v>55</v>
      </c>
      <c r="N123" s="49">
        <v>20387.89</v>
      </c>
      <c r="O123" s="75">
        <v>43</v>
      </c>
      <c r="P123" s="54">
        <v>8488.0099999999984</v>
      </c>
      <c r="Q123" s="54">
        <v>265.89000000000004</v>
      </c>
      <c r="R123" s="53">
        <f t="shared" si="5"/>
        <v>2436.75</v>
      </c>
      <c r="S123" s="51">
        <v>36835.12000000001</v>
      </c>
    </row>
    <row r="124" spans="1:19" ht="15" x14ac:dyDescent="0.25">
      <c r="A124" s="28"/>
      <c r="B124" s="45" t="str">
        <f t="shared" si="3"/>
        <v>Mar-2023</v>
      </c>
      <c r="C124" s="57">
        <v>45013</v>
      </c>
      <c r="D124" s="43">
        <f t="shared" si="4"/>
        <v>1099</v>
      </c>
      <c r="E124" s="76">
        <v>287</v>
      </c>
      <c r="F124" s="50">
        <v>191</v>
      </c>
      <c r="G124" s="49">
        <v>94720</v>
      </c>
      <c r="H124" s="73">
        <v>191</v>
      </c>
      <c r="I124" s="52">
        <v>191</v>
      </c>
      <c r="J124" s="51">
        <v>80394.070000000022</v>
      </c>
      <c r="K124" s="52">
        <v>3</v>
      </c>
      <c r="L124" s="51">
        <v>1125</v>
      </c>
      <c r="M124" s="52">
        <v>91</v>
      </c>
      <c r="N124" s="49">
        <v>33363.32</v>
      </c>
      <c r="O124" s="75">
        <v>79</v>
      </c>
      <c r="P124" s="54">
        <v>19037.389999999989</v>
      </c>
      <c r="Q124" s="54">
        <v>1130.9899999999996</v>
      </c>
      <c r="R124" s="53">
        <f t="shared" si="5"/>
        <v>4736</v>
      </c>
      <c r="S124" s="51">
        <v>80394.070000000022</v>
      </c>
    </row>
    <row r="125" spans="1:19" ht="15" x14ac:dyDescent="0.25">
      <c r="A125" s="28"/>
      <c r="B125" s="45" t="str">
        <f t="shared" si="3"/>
        <v>Mar-2023</v>
      </c>
      <c r="C125" s="57">
        <v>45014</v>
      </c>
      <c r="D125" s="43">
        <f t="shared" si="4"/>
        <v>1098</v>
      </c>
      <c r="E125" s="76">
        <v>463</v>
      </c>
      <c r="F125" s="50">
        <v>252</v>
      </c>
      <c r="G125" s="49">
        <v>124320</v>
      </c>
      <c r="H125" s="73">
        <v>252</v>
      </c>
      <c r="I125" s="52">
        <v>252</v>
      </c>
      <c r="J125" s="51">
        <v>113725.10999999997</v>
      </c>
      <c r="K125" s="52">
        <v>4</v>
      </c>
      <c r="L125" s="51">
        <v>1320</v>
      </c>
      <c r="M125" s="52">
        <v>107</v>
      </c>
      <c r="N125" s="49">
        <v>36941.800000000003</v>
      </c>
      <c r="O125" s="75">
        <v>102</v>
      </c>
      <c r="P125" s="54">
        <v>26346.910000000022</v>
      </c>
      <c r="Q125" s="54">
        <v>981.28999999999985</v>
      </c>
      <c r="R125" s="53">
        <f t="shared" si="5"/>
        <v>6216</v>
      </c>
      <c r="S125" s="51">
        <v>113725.10999999997</v>
      </c>
    </row>
    <row r="126" spans="1:19" ht="15" x14ac:dyDescent="0.25">
      <c r="A126" s="28"/>
      <c r="B126" s="45" t="str">
        <f t="shared" si="3"/>
        <v>Mar-2023</v>
      </c>
      <c r="C126" s="57">
        <v>45015</v>
      </c>
      <c r="D126" s="43">
        <f t="shared" si="4"/>
        <v>1097</v>
      </c>
      <c r="E126" s="76">
        <v>273</v>
      </c>
      <c r="F126" s="50">
        <v>251</v>
      </c>
      <c r="G126" s="49">
        <v>126204</v>
      </c>
      <c r="H126" s="73">
        <v>251</v>
      </c>
      <c r="I126" s="52">
        <v>251</v>
      </c>
      <c r="J126" s="51">
        <v>120632.51999999995</v>
      </c>
      <c r="K126" s="52">
        <v>8</v>
      </c>
      <c r="L126" s="51">
        <v>2860</v>
      </c>
      <c r="M126" s="52">
        <v>98</v>
      </c>
      <c r="N126" s="49">
        <v>33171.089999999997</v>
      </c>
      <c r="O126" s="75">
        <v>87</v>
      </c>
      <c r="P126" s="54">
        <v>27598.510000000028</v>
      </c>
      <c r="Q126" s="54">
        <v>726.95999999999992</v>
      </c>
      <c r="R126" s="53">
        <f t="shared" si="5"/>
        <v>6310.2000000000007</v>
      </c>
      <c r="S126" s="51">
        <v>120631.30999999994</v>
      </c>
    </row>
    <row r="127" spans="1:19" ht="15" x14ac:dyDescent="0.25">
      <c r="A127" s="28"/>
      <c r="B127" s="45" t="str">
        <f t="shared" si="3"/>
        <v>Mar-2023</v>
      </c>
      <c r="C127" s="57">
        <v>45016</v>
      </c>
      <c r="D127" s="43">
        <f t="shared" si="4"/>
        <v>1096</v>
      </c>
      <c r="E127" s="76">
        <v>121</v>
      </c>
      <c r="F127" s="50">
        <v>138</v>
      </c>
      <c r="G127" s="49">
        <v>69300</v>
      </c>
      <c r="H127" s="73">
        <v>138</v>
      </c>
      <c r="I127" s="52">
        <v>138</v>
      </c>
      <c r="J127" s="51">
        <v>60157.320000000007</v>
      </c>
      <c r="K127" s="52">
        <v>2</v>
      </c>
      <c r="L127" s="51">
        <v>495</v>
      </c>
      <c r="M127" s="52">
        <v>74</v>
      </c>
      <c r="N127" s="49">
        <v>22827.05</v>
      </c>
      <c r="O127" s="75">
        <v>67</v>
      </c>
      <c r="P127" s="54">
        <v>13684.370000000003</v>
      </c>
      <c r="Q127" s="54">
        <v>253.35000000000002</v>
      </c>
      <c r="R127" s="53">
        <f t="shared" si="5"/>
        <v>3465</v>
      </c>
      <c r="S127" s="51">
        <v>60157.320000000007</v>
      </c>
    </row>
    <row r="128" spans="1:19" ht="15" x14ac:dyDescent="0.25">
      <c r="A128" s="28"/>
      <c r="B128" s="45" t="str">
        <f t="shared" si="3"/>
        <v>Apr-2023</v>
      </c>
      <c r="C128" s="57">
        <v>45017</v>
      </c>
      <c r="D128" s="43">
        <f t="shared" si="4"/>
        <v>1095</v>
      </c>
      <c r="E128" s="76">
        <v>58</v>
      </c>
      <c r="F128" s="50">
        <v>107</v>
      </c>
      <c r="G128" s="49">
        <v>56750</v>
      </c>
      <c r="H128" s="73">
        <v>106</v>
      </c>
      <c r="I128" s="52">
        <v>107</v>
      </c>
      <c r="J128" s="51">
        <v>38624.090000000018</v>
      </c>
      <c r="K128" s="52">
        <v>7</v>
      </c>
      <c r="L128" s="51">
        <v>1510.1100000000001</v>
      </c>
      <c r="M128" s="52">
        <v>73</v>
      </c>
      <c r="N128" s="49">
        <v>27494.75</v>
      </c>
      <c r="O128" s="75">
        <v>65</v>
      </c>
      <c r="P128" s="54">
        <v>9368.8399999999801</v>
      </c>
      <c r="Q128" s="54">
        <v>867.85</v>
      </c>
      <c r="R128" s="53">
        <f t="shared" si="5"/>
        <v>2837.5</v>
      </c>
      <c r="S128" s="51">
        <v>38624.089999999997</v>
      </c>
    </row>
    <row r="129" spans="1:19" ht="15" x14ac:dyDescent="0.25">
      <c r="A129" s="28"/>
      <c r="B129" s="45" t="str">
        <f t="shared" si="3"/>
        <v>Apr-2023</v>
      </c>
      <c r="C129" s="57">
        <v>45018</v>
      </c>
      <c r="D129" s="43">
        <f t="shared" si="4"/>
        <v>1094</v>
      </c>
      <c r="E129" s="76">
        <v>48</v>
      </c>
      <c r="F129" s="50">
        <v>82</v>
      </c>
      <c r="G129" s="49">
        <v>44750</v>
      </c>
      <c r="H129" s="73">
        <v>82</v>
      </c>
      <c r="I129" s="52">
        <v>82</v>
      </c>
      <c r="J129" s="51">
        <v>32754.869999999974</v>
      </c>
      <c r="K129" s="52">
        <v>1</v>
      </c>
      <c r="L129" s="51">
        <v>200</v>
      </c>
      <c r="M129" s="52">
        <v>46</v>
      </c>
      <c r="N129" s="49">
        <v>19611.48</v>
      </c>
      <c r="O129" s="75">
        <v>40</v>
      </c>
      <c r="P129" s="54">
        <v>7616.3500000000049</v>
      </c>
      <c r="Q129" s="54">
        <v>329.05999999999995</v>
      </c>
      <c r="R129" s="53">
        <f t="shared" si="5"/>
        <v>2237.5</v>
      </c>
      <c r="S129" s="51">
        <v>32754.86999999997</v>
      </c>
    </row>
    <row r="130" spans="1:19" ht="15" x14ac:dyDescent="0.25">
      <c r="A130" s="28"/>
      <c r="B130" s="45" t="str">
        <f t="shared" si="3"/>
        <v>Apr-2023</v>
      </c>
      <c r="C130" s="57">
        <v>45019</v>
      </c>
      <c r="D130" s="43">
        <f t="shared" si="4"/>
        <v>1093</v>
      </c>
      <c r="E130" s="76">
        <v>51</v>
      </c>
      <c r="F130" s="50">
        <v>83</v>
      </c>
      <c r="G130" s="49">
        <v>43223</v>
      </c>
      <c r="H130" s="73">
        <v>83</v>
      </c>
      <c r="I130" s="52">
        <v>83</v>
      </c>
      <c r="J130" s="51">
        <v>31414.700000000023</v>
      </c>
      <c r="K130" s="52">
        <v>4</v>
      </c>
      <c r="L130" s="51">
        <v>1413.06</v>
      </c>
      <c r="M130" s="52">
        <v>60</v>
      </c>
      <c r="N130" s="49">
        <v>19137.46</v>
      </c>
      <c r="O130" s="75">
        <v>52</v>
      </c>
      <c r="P130" s="54">
        <v>7329.1600000000008</v>
      </c>
      <c r="Q130" s="54">
        <v>344.47999999999996</v>
      </c>
      <c r="R130" s="53">
        <f t="shared" si="5"/>
        <v>2161.15</v>
      </c>
      <c r="S130" s="51">
        <v>31414.700000000019</v>
      </c>
    </row>
    <row r="131" spans="1:19" ht="15" x14ac:dyDescent="0.25">
      <c r="A131" s="28"/>
      <c r="B131" s="45" t="str">
        <f t="shared" si="3"/>
        <v>Apr-2023</v>
      </c>
      <c r="C131" s="57">
        <v>45020</v>
      </c>
      <c r="D131" s="43">
        <f t="shared" si="4"/>
        <v>1092</v>
      </c>
      <c r="E131" s="76">
        <v>69</v>
      </c>
      <c r="F131" s="50">
        <v>118</v>
      </c>
      <c r="G131" s="49">
        <v>64190</v>
      </c>
      <c r="H131" s="73">
        <v>118</v>
      </c>
      <c r="I131" s="52">
        <v>118</v>
      </c>
      <c r="J131" s="51">
        <v>49164.719999999921</v>
      </c>
      <c r="K131" s="52">
        <v>3</v>
      </c>
      <c r="L131" s="51">
        <v>600</v>
      </c>
      <c r="M131" s="52">
        <v>60</v>
      </c>
      <c r="N131" s="49">
        <v>26423.68</v>
      </c>
      <c r="O131" s="75">
        <v>53</v>
      </c>
      <c r="P131" s="54">
        <v>11398.4</v>
      </c>
      <c r="Q131" s="54">
        <v>481.72</v>
      </c>
      <c r="R131" s="53">
        <f t="shared" si="5"/>
        <v>3209.5</v>
      </c>
      <c r="S131" s="51">
        <v>49164.719999999943</v>
      </c>
    </row>
    <row r="132" spans="1:19" ht="15" x14ac:dyDescent="0.25">
      <c r="A132" s="28"/>
      <c r="B132" s="45" t="str">
        <f t="shared" si="3"/>
        <v>Apr-2023</v>
      </c>
      <c r="C132" s="57">
        <v>45021</v>
      </c>
      <c r="D132" s="43">
        <f t="shared" si="4"/>
        <v>1091</v>
      </c>
      <c r="E132" s="76">
        <v>58</v>
      </c>
      <c r="F132" s="50">
        <v>94</v>
      </c>
      <c r="G132" s="49">
        <v>50130</v>
      </c>
      <c r="H132" s="73">
        <v>94</v>
      </c>
      <c r="I132" s="52">
        <v>94</v>
      </c>
      <c r="J132" s="51">
        <v>34639.039999999972</v>
      </c>
      <c r="K132" s="52">
        <v>4</v>
      </c>
      <c r="L132" s="51">
        <v>1475.22</v>
      </c>
      <c r="M132" s="52">
        <v>59</v>
      </c>
      <c r="N132" s="49">
        <v>23561.22</v>
      </c>
      <c r="O132" s="75">
        <v>54</v>
      </c>
      <c r="P132" s="54">
        <v>8070.2599999999975</v>
      </c>
      <c r="Q132" s="54">
        <v>384.92999999999995</v>
      </c>
      <c r="R132" s="53">
        <f t="shared" si="5"/>
        <v>2506.5</v>
      </c>
      <c r="S132" s="51">
        <v>34639.039999999972</v>
      </c>
    </row>
    <row r="133" spans="1:19" ht="15" x14ac:dyDescent="0.25">
      <c r="A133" s="28"/>
      <c r="B133" s="45" t="str">
        <f t="shared" ref="B133:B196" si="6">TEXT(C133,"MMM-YYYY")</f>
        <v>Apr-2023</v>
      </c>
      <c r="C133" s="57">
        <v>45022</v>
      </c>
      <c r="D133" s="43">
        <f t="shared" ref="D133:D196" si="7">$A$1-C133</f>
        <v>1090</v>
      </c>
      <c r="E133" s="76">
        <v>47</v>
      </c>
      <c r="F133" s="50">
        <v>80</v>
      </c>
      <c r="G133" s="49">
        <v>41250</v>
      </c>
      <c r="H133" s="73">
        <v>80</v>
      </c>
      <c r="I133" s="52">
        <v>80</v>
      </c>
      <c r="J133" s="51">
        <v>25427.980000000025</v>
      </c>
      <c r="K133" s="52">
        <v>4</v>
      </c>
      <c r="L133" s="51">
        <v>1950.22</v>
      </c>
      <c r="M133" s="52">
        <v>52</v>
      </c>
      <c r="N133" s="49">
        <v>21989.88</v>
      </c>
      <c r="O133" s="75">
        <v>52</v>
      </c>
      <c r="P133" s="54">
        <v>6167.8600000000015</v>
      </c>
      <c r="Q133" s="54">
        <v>549.2299999999999</v>
      </c>
      <c r="R133" s="53">
        <f t="shared" ref="R133:R196" si="8">G133*5%</f>
        <v>2062.5</v>
      </c>
      <c r="S133" s="51">
        <v>25427.980000000025</v>
      </c>
    </row>
    <row r="134" spans="1:19" ht="15" x14ac:dyDescent="0.25">
      <c r="A134" s="28"/>
      <c r="B134" s="45" t="str">
        <f t="shared" si="6"/>
        <v>Apr-2023</v>
      </c>
      <c r="C134" s="57">
        <v>45023</v>
      </c>
      <c r="D134" s="43">
        <f t="shared" si="7"/>
        <v>1089</v>
      </c>
      <c r="E134" s="76">
        <v>28</v>
      </c>
      <c r="F134" s="50">
        <v>64</v>
      </c>
      <c r="G134" s="49">
        <v>32109</v>
      </c>
      <c r="H134" s="73">
        <v>63</v>
      </c>
      <c r="I134" s="52">
        <v>64</v>
      </c>
      <c r="J134" s="51">
        <v>23806.030000000013</v>
      </c>
      <c r="K134" s="52">
        <v>3</v>
      </c>
      <c r="L134" s="51">
        <v>1175.1100000000001</v>
      </c>
      <c r="M134" s="52">
        <v>32</v>
      </c>
      <c r="N134" s="49">
        <v>13932.66</v>
      </c>
      <c r="O134" s="75">
        <v>32</v>
      </c>
      <c r="P134" s="54">
        <v>5629.6900000000005</v>
      </c>
      <c r="Q134" s="54">
        <v>389.16999999999996</v>
      </c>
      <c r="R134" s="53">
        <f t="shared" si="8"/>
        <v>1605.45</v>
      </c>
      <c r="S134" s="51">
        <v>23806.030000000013</v>
      </c>
    </row>
    <row r="135" spans="1:19" ht="15" x14ac:dyDescent="0.25">
      <c r="A135" s="28"/>
      <c r="B135" s="45" t="str">
        <f t="shared" si="6"/>
        <v>Apr-2023</v>
      </c>
      <c r="C135" s="57">
        <v>45024</v>
      </c>
      <c r="D135" s="43">
        <f t="shared" si="7"/>
        <v>1088</v>
      </c>
      <c r="E135" s="76">
        <v>46</v>
      </c>
      <c r="F135" s="50">
        <v>82</v>
      </c>
      <c r="G135" s="49">
        <v>43375</v>
      </c>
      <c r="H135" s="73">
        <v>82</v>
      </c>
      <c r="I135" s="52">
        <v>82</v>
      </c>
      <c r="J135" s="51">
        <v>28892.989999999991</v>
      </c>
      <c r="K135" s="52">
        <v>1</v>
      </c>
      <c r="L135" s="51">
        <v>100.02</v>
      </c>
      <c r="M135" s="52">
        <v>45</v>
      </c>
      <c r="N135" s="49">
        <v>21201.78</v>
      </c>
      <c r="O135" s="75">
        <v>42</v>
      </c>
      <c r="P135" s="54">
        <v>6719.7699999999968</v>
      </c>
      <c r="Q135" s="54">
        <v>317.96000000000004</v>
      </c>
      <c r="R135" s="53">
        <f t="shared" si="8"/>
        <v>2168.75</v>
      </c>
      <c r="S135" s="51">
        <v>28892.85999999999</v>
      </c>
    </row>
    <row r="136" spans="1:19" ht="15" x14ac:dyDescent="0.25">
      <c r="A136" s="28"/>
      <c r="B136" s="45" t="str">
        <f t="shared" si="6"/>
        <v>Apr-2023</v>
      </c>
      <c r="C136" s="57">
        <v>45025</v>
      </c>
      <c r="D136" s="43">
        <f t="shared" si="7"/>
        <v>1087</v>
      </c>
      <c r="E136" s="76">
        <v>52</v>
      </c>
      <c r="F136" s="50">
        <v>62</v>
      </c>
      <c r="G136" s="49">
        <v>31040</v>
      </c>
      <c r="H136" s="73">
        <v>62</v>
      </c>
      <c r="I136" s="52">
        <v>62</v>
      </c>
      <c r="J136" s="51">
        <v>24228.439999999995</v>
      </c>
      <c r="K136" s="52">
        <v>3</v>
      </c>
      <c r="L136" s="51">
        <v>950</v>
      </c>
      <c r="M136" s="52">
        <v>35</v>
      </c>
      <c r="N136" s="49">
        <v>12424.89</v>
      </c>
      <c r="O136" s="75">
        <v>31</v>
      </c>
      <c r="P136" s="54">
        <v>5613.329999999999</v>
      </c>
      <c r="Q136" s="54">
        <v>236.89999999999998</v>
      </c>
      <c r="R136" s="53">
        <f t="shared" si="8"/>
        <v>1552</v>
      </c>
      <c r="S136" s="51">
        <v>24228.439999999995</v>
      </c>
    </row>
    <row r="137" spans="1:19" ht="15" x14ac:dyDescent="0.25">
      <c r="A137" s="28"/>
      <c r="B137" s="45" t="str">
        <f t="shared" si="6"/>
        <v>Apr-2023</v>
      </c>
      <c r="C137" s="57">
        <v>45026</v>
      </c>
      <c r="D137" s="43">
        <f t="shared" si="7"/>
        <v>1086</v>
      </c>
      <c r="E137" s="76">
        <v>47</v>
      </c>
      <c r="F137" s="50">
        <v>94</v>
      </c>
      <c r="G137" s="49">
        <v>48500</v>
      </c>
      <c r="H137" s="73">
        <v>94</v>
      </c>
      <c r="I137" s="52">
        <v>94</v>
      </c>
      <c r="J137" s="51">
        <v>29987.340000000018</v>
      </c>
      <c r="K137" s="52">
        <v>3</v>
      </c>
      <c r="L137" s="51">
        <v>23</v>
      </c>
      <c r="M137" s="52">
        <v>62</v>
      </c>
      <c r="N137" s="49">
        <v>25712.05</v>
      </c>
      <c r="O137" s="75">
        <v>57</v>
      </c>
      <c r="P137" s="54">
        <v>7199.390000000004</v>
      </c>
      <c r="Q137" s="54">
        <v>584.49999999999989</v>
      </c>
      <c r="R137" s="53">
        <f t="shared" si="8"/>
        <v>2425</v>
      </c>
      <c r="S137" s="51">
        <v>29987.340000000018</v>
      </c>
    </row>
    <row r="138" spans="1:19" ht="15" x14ac:dyDescent="0.25">
      <c r="A138" s="28"/>
      <c r="B138" s="45" t="str">
        <f t="shared" si="6"/>
        <v>Apr-2023</v>
      </c>
      <c r="C138" s="57">
        <v>45027</v>
      </c>
      <c r="D138" s="43">
        <f t="shared" si="7"/>
        <v>1085</v>
      </c>
      <c r="E138" s="76">
        <v>50</v>
      </c>
      <c r="F138" s="50">
        <v>74</v>
      </c>
      <c r="G138" s="49">
        <v>38150</v>
      </c>
      <c r="H138" s="73">
        <v>74</v>
      </c>
      <c r="I138" s="52">
        <v>74</v>
      </c>
      <c r="J138" s="51">
        <v>30413.12000000001</v>
      </c>
      <c r="K138" s="52"/>
      <c r="L138" s="51"/>
      <c r="M138" s="52">
        <v>39</v>
      </c>
      <c r="N138" s="49">
        <v>14660.2</v>
      </c>
      <c r="O138" s="75">
        <v>37</v>
      </c>
      <c r="P138" s="54">
        <v>6923.3200000000024</v>
      </c>
      <c r="Q138" s="54">
        <v>193.17000000000002</v>
      </c>
      <c r="R138" s="53">
        <f t="shared" si="8"/>
        <v>1907.5</v>
      </c>
      <c r="S138" s="51">
        <v>30413.12000000001</v>
      </c>
    </row>
    <row r="139" spans="1:19" ht="15" x14ac:dyDescent="0.25">
      <c r="A139" s="28"/>
      <c r="B139" s="45" t="str">
        <f t="shared" si="6"/>
        <v>Apr-2023</v>
      </c>
      <c r="C139" s="57">
        <v>45028</v>
      </c>
      <c r="D139" s="43">
        <f t="shared" si="7"/>
        <v>1084</v>
      </c>
      <c r="E139" s="76">
        <v>44</v>
      </c>
      <c r="F139" s="50">
        <v>113</v>
      </c>
      <c r="G139" s="49">
        <v>60495</v>
      </c>
      <c r="H139" s="73">
        <v>113</v>
      </c>
      <c r="I139" s="52">
        <v>113</v>
      </c>
      <c r="J139" s="51">
        <v>42881.170000000013</v>
      </c>
      <c r="K139" s="52">
        <v>1</v>
      </c>
      <c r="L139" s="51">
        <v>350.08</v>
      </c>
      <c r="M139" s="52">
        <v>55</v>
      </c>
      <c r="N139" s="49">
        <v>27502.6</v>
      </c>
      <c r="O139" s="75">
        <v>50</v>
      </c>
      <c r="P139" s="54">
        <v>9888.7700000000059</v>
      </c>
      <c r="Q139" s="54">
        <v>432.34000000000003</v>
      </c>
      <c r="R139" s="53">
        <f t="shared" si="8"/>
        <v>3024.75</v>
      </c>
      <c r="S139" s="51">
        <v>42881.17000000002</v>
      </c>
    </row>
    <row r="140" spans="1:19" ht="15" x14ac:dyDescent="0.25">
      <c r="A140" s="28"/>
      <c r="B140" s="45" t="str">
        <f t="shared" si="6"/>
        <v>Apr-2023</v>
      </c>
      <c r="C140" s="57">
        <v>45029</v>
      </c>
      <c r="D140" s="43">
        <f t="shared" si="7"/>
        <v>1083</v>
      </c>
      <c r="E140" s="76">
        <v>56</v>
      </c>
      <c r="F140" s="50">
        <v>93</v>
      </c>
      <c r="G140" s="49">
        <v>49280</v>
      </c>
      <c r="H140" s="73">
        <v>93</v>
      </c>
      <c r="I140" s="52">
        <v>93</v>
      </c>
      <c r="J140" s="51">
        <v>38511.979999999945</v>
      </c>
      <c r="K140" s="52">
        <v>4</v>
      </c>
      <c r="L140" s="51">
        <v>980</v>
      </c>
      <c r="M140" s="52">
        <v>50</v>
      </c>
      <c r="N140" s="49">
        <v>19551.04</v>
      </c>
      <c r="O140" s="75">
        <v>42</v>
      </c>
      <c r="P140" s="54">
        <v>8783.0200000000059</v>
      </c>
      <c r="Q140" s="54">
        <v>289.08</v>
      </c>
      <c r="R140" s="53">
        <f t="shared" si="8"/>
        <v>2464</v>
      </c>
      <c r="S140" s="51">
        <v>38511.979999999952</v>
      </c>
    </row>
    <row r="141" spans="1:19" ht="15" x14ac:dyDescent="0.25">
      <c r="A141" s="28"/>
      <c r="B141" s="45" t="str">
        <f t="shared" si="6"/>
        <v>Apr-2023</v>
      </c>
      <c r="C141" s="57">
        <v>45030</v>
      </c>
      <c r="D141" s="43">
        <f t="shared" si="7"/>
        <v>1082</v>
      </c>
      <c r="E141" s="76">
        <v>53</v>
      </c>
      <c r="F141" s="50">
        <v>115</v>
      </c>
      <c r="G141" s="49">
        <v>63450</v>
      </c>
      <c r="H141" s="73">
        <v>114</v>
      </c>
      <c r="I141" s="52">
        <v>115</v>
      </c>
      <c r="J141" s="51">
        <v>38443.840000000033</v>
      </c>
      <c r="K141" s="52">
        <v>2</v>
      </c>
      <c r="L141" s="51">
        <v>520.11</v>
      </c>
      <c r="M141" s="52">
        <v>73</v>
      </c>
      <c r="N141" s="49">
        <v>33876.32</v>
      </c>
      <c r="O141" s="75">
        <v>70</v>
      </c>
      <c r="P141" s="54">
        <v>8870.159999999998</v>
      </c>
      <c r="Q141" s="54">
        <v>377.91999999999996</v>
      </c>
      <c r="R141" s="53">
        <f t="shared" si="8"/>
        <v>3172.5</v>
      </c>
      <c r="S141" s="51">
        <v>38443.840000000033</v>
      </c>
    </row>
    <row r="142" spans="1:19" ht="15" x14ac:dyDescent="0.25">
      <c r="A142" s="28"/>
      <c r="B142" s="45" t="str">
        <f t="shared" si="6"/>
        <v>Apr-2023</v>
      </c>
      <c r="C142" s="57">
        <v>45031</v>
      </c>
      <c r="D142" s="43">
        <f t="shared" si="7"/>
        <v>1081</v>
      </c>
      <c r="E142" s="76">
        <v>41</v>
      </c>
      <c r="F142" s="50">
        <v>78</v>
      </c>
      <c r="G142" s="49">
        <v>40400</v>
      </c>
      <c r="H142" s="73">
        <v>77</v>
      </c>
      <c r="I142" s="52">
        <v>78</v>
      </c>
      <c r="J142" s="51">
        <v>25483.409999999996</v>
      </c>
      <c r="K142" s="52">
        <v>1</v>
      </c>
      <c r="L142" s="51">
        <v>500.11</v>
      </c>
      <c r="M142" s="52">
        <v>56</v>
      </c>
      <c r="N142" s="49">
        <v>20944.439999999999</v>
      </c>
      <c r="O142" s="75">
        <v>50</v>
      </c>
      <c r="P142" s="54">
        <v>6027.8500000000013</v>
      </c>
      <c r="Q142" s="54">
        <v>416.1</v>
      </c>
      <c r="R142" s="53">
        <f t="shared" si="8"/>
        <v>2020</v>
      </c>
      <c r="S142" s="51">
        <v>25483.409999999996</v>
      </c>
    </row>
    <row r="143" spans="1:19" ht="15" x14ac:dyDescent="0.25">
      <c r="A143" s="28"/>
      <c r="B143" s="45" t="str">
        <f t="shared" si="6"/>
        <v>Apr-2023</v>
      </c>
      <c r="C143" s="57">
        <v>45032</v>
      </c>
      <c r="D143" s="43">
        <f t="shared" si="7"/>
        <v>1080</v>
      </c>
      <c r="E143" s="76">
        <v>45</v>
      </c>
      <c r="F143" s="50">
        <v>67</v>
      </c>
      <c r="G143" s="49">
        <v>33800</v>
      </c>
      <c r="H143" s="73">
        <v>67</v>
      </c>
      <c r="I143" s="52">
        <v>67</v>
      </c>
      <c r="J143" s="51">
        <v>22615.389999999996</v>
      </c>
      <c r="K143" s="52">
        <v>2</v>
      </c>
      <c r="L143" s="51">
        <v>660</v>
      </c>
      <c r="M143" s="52">
        <v>39</v>
      </c>
      <c r="N143" s="49">
        <v>16353.02</v>
      </c>
      <c r="O143" s="75">
        <v>39</v>
      </c>
      <c r="P143" s="54">
        <v>5168.4100000000026</v>
      </c>
      <c r="Q143" s="54">
        <v>198.34</v>
      </c>
      <c r="R143" s="53">
        <f t="shared" si="8"/>
        <v>1690</v>
      </c>
      <c r="S143" s="51">
        <v>22615.389999999996</v>
      </c>
    </row>
    <row r="144" spans="1:19" ht="15" x14ac:dyDescent="0.25">
      <c r="A144" s="28"/>
      <c r="B144" s="45" t="str">
        <f t="shared" si="6"/>
        <v>Apr-2023</v>
      </c>
      <c r="C144" s="57">
        <v>45033</v>
      </c>
      <c r="D144" s="43">
        <f t="shared" si="7"/>
        <v>1079</v>
      </c>
      <c r="E144" s="76">
        <v>258</v>
      </c>
      <c r="F144" s="50">
        <v>197</v>
      </c>
      <c r="G144" s="49">
        <v>100199</v>
      </c>
      <c r="H144" s="73">
        <v>197</v>
      </c>
      <c r="I144" s="52">
        <v>197</v>
      </c>
      <c r="J144" s="51">
        <v>102859.50000000001</v>
      </c>
      <c r="K144" s="52">
        <v>5</v>
      </c>
      <c r="L144" s="51">
        <v>824</v>
      </c>
      <c r="M144" s="52">
        <v>55</v>
      </c>
      <c r="N144" s="49">
        <v>20337.72</v>
      </c>
      <c r="O144" s="75">
        <v>51</v>
      </c>
      <c r="P144" s="54">
        <v>22998.22</v>
      </c>
      <c r="Q144" s="54">
        <v>378.65999999999997</v>
      </c>
      <c r="R144" s="53">
        <f t="shared" si="8"/>
        <v>5009.9500000000007</v>
      </c>
      <c r="S144" s="51">
        <v>102859.50000000001</v>
      </c>
    </row>
    <row r="145" spans="1:19" ht="15" x14ac:dyDescent="0.25">
      <c r="A145" s="28"/>
      <c r="B145" s="45" t="str">
        <f t="shared" si="6"/>
        <v>Apr-2023</v>
      </c>
      <c r="C145" s="57">
        <v>45034</v>
      </c>
      <c r="D145" s="43">
        <f t="shared" si="7"/>
        <v>1078</v>
      </c>
      <c r="E145" s="76">
        <v>64</v>
      </c>
      <c r="F145" s="50">
        <v>115</v>
      </c>
      <c r="G145" s="49">
        <v>59561</v>
      </c>
      <c r="H145" s="73">
        <v>115</v>
      </c>
      <c r="I145" s="52">
        <v>115</v>
      </c>
      <c r="J145" s="51">
        <v>50396.600000000006</v>
      </c>
      <c r="K145" s="52">
        <v>6</v>
      </c>
      <c r="L145" s="51">
        <v>1627</v>
      </c>
      <c r="M145" s="52">
        <v>62</v>
      </c>
      <c r="N145" s="49">
        <v>20456.89</v>
      </c>
      <c r="O145" s="75">
        <v>50</v>
      </c>
      <c r="P145" s="54">
        <v>11292.489999999998</v>
      </c>
      <c r="Q145" s="54">
        <v>200.38</v>
      </c>
      <c r="R145" s="53">
        <f t="shared" si="8"/>
        <v>2978.05</v>
      </c>
      <c r="S145" s="51">
        <v>50396.600000000006</v>
      </c>
    </row>
    <row r="146" spans="1:19" ht="15" x14ac:dyDescent="0.25">
      <c r="A146" s="28"/>
      <c r="B146" s="45" t="str">
        <f t="shared" si="6"/>
        <v>Apr-2023</v>
      </c>
      <c r="C146" s="57">
        <v>45035</v>
      </c>
      <c r="D146" s="43">
        <f t="shared" si="7"/>
        <v>1077</v>
      </c>
      <c r="E146" s="76">
        <v>68</v>
      </c>
      <c r="F146" s="50">
        <v>118</v>
      </c>
      <c r="G146" s="49">
        <v>61974</v>
      </c>
      <c r="H146" s="73">
        <v>118</v>
      </c>
      <c r="I146" s="52">
        <v>118</v>
      </c>
      <c r="J146" s="51">
        <v>58573.13</v>
      </c>
      <c r="K146" s="52"/>
      <c r="L146" s="51"/>
      <c r="M146" s="52">
        <v>39</v>
      </c>
      <c r="N146" s="49">
        <v>16609.060000000001</v>
      </c>
      <c r="O146" s="75">
        <v>33</v>
      </c>
      <c r="P146" s="54">
        <v>13208.19</v>
      </c>
      <c r="Q146" s="54">
        <v>379.47</v>
      </c>
      <c r="R146" s="53">
        <f t="shared" si="8"/>
        <v>3098.7000000000003</v>
      </c>
      <c r="S146" s="51">
        <v>58573.13</v>
      </c>
    </row>
    <row r="147" spans="1:19" ht="15" x14ac:dyDescent="0.25">
      <c r="A147" s="28"/>
      <c r="B147" s="45" t="str">
        <f t="shared" si="6"/>
        <v>Apr-2023</v>
      </c>
      <c r="C147" s="57">
        <v>45036</v>
      </c>
      <c r="D147" s="43">
        <f t="shared" si="7"/>
        <v>1076</v>
      </c>
      <c r="E147" s="76">
        <v>37</v>
      </c>
      <c r="F147" s="50">
        <v>89</v>
      </c>
      <c r="G147" s="49">
        <v>45390</v>
      </c>
      <c r="H147" s="73">
        <v>89</v>
      </c>
      <c r="I147" s="52">
        <v>89</v>
      </c>
      <c r="J147" s="51">
        <v>36024.75999999998</v>
      </c>
      <c r="K147" s="52">
        <v>1</v>
      </c>
      <c r="L147" s="51">
        <v>100.02</v>
      </c>
      <c r="M147" s="52">
        <v>43</v>
      </c>
      <c r="N147" s="49">
        <v>17458.72</v>
      </c>
      <c r="O147" s="75">
        <v>40</v>
      </c>
      <c r="P147" s="54">
        <v>8093.4800000000077</v>
      </c>
      <c r="Q147" s="54">
        <v>175.7</v>
      </c>
      <c r="R147" s="53">
        <f t="shared" si="8"/>
        <v>2269.5</v>
      </c>
      <c r="S147" s="51">
        <v>36024.75999999998</v>
      </c>
    </row>
    <row r="148" spans="1:19" ht="15" x14ac:dyDescent="0.25">
      <c r="A148" s="28"/>
      <c r="B148" s="45" t="str">
        <f t="shared" si="6"/>
        <v>Apr-2023</v>
      </c>
      <c r="C148" s="57">
        <v>45037</v>
      </c>
      <c r="D148" s="43">
        <f t="shared" si="7"/>
        <v>1075</v>
      </c>
      <c r="E148" s="76">
        <v>44</v>
      </c>
      <c r="F148" s="50">
        <v>104</v>
      </c>
      <c r="G148" s="49">
        <v>54050</v>
      </c>
      <c r="H148" s="73">
        <v>102</v>
      </c>
      <c r="I148" s="52">
        <v>104</v>
      </c>
      <c r="J148" s="51">
        <v>39463.089999999997</v>
      </c>
      <c r="K148" s="52">
        <v>4</v>
      </c>
      <c r="L148" s="51">
        <v>1800.33</v>
      </c>
      <c r="M148" s="52">
        <v>54</v>
      </c>
      <c r="N148" s="49">
        <v>23522.62</v>
      </c>
      <c r="O148" s="75">
        <v>50</v>
      </c>
      <c r="P148" s="54">
        <v>8935.7100000000064</v>
      </c>
      <c r="Q148" s="54">
        <v>270.19</v>
      </c>
      <c r="R148" s="53">
        <f t="shared" si="8"/>
        <v>2702.5</v>
      </c>
      <c r="S148" s="51">
        <v>39463.089999999997</v>
      </c>
    </row>
    <row r="149" spans="1:19" ht="15" x14ac:dyDescent="0.25">
      <c r="A149" s="28"/>
      <c r="B149" s="45" t="str">
        <f t="shared" si="6"/>
        <v>Apr-2023</v>
      </c>
      <c r="C149" s="57">
        <v>45038</v>
      </c>
      <c r="D149" s="43">
        <f t="shared" si="7"/>
        <v>1074</v>
      </c>
      <c r="E149" s="76">
        <v>47</v>
      </c>
      <c r="F149" s="50">
        <v>80</v>
      </c>
      <c r="G149" s="49">
        <v>41450</v>
      </c>
      <c r="H149" s="73">
        <v>80</v>
      </c>
      <c r="I149" s="52">
        <v>80</v>
      </c>
      <c r="J149" s="51">
        <v>30980.87</v>
      </c>
      <c r="K149" s="52"/>
      <c r="L149" s="51"/>
      <c r="M149" s="52">
        <v>42</v>
      </c>
      <c r="N149" s="49">
        <v>17581.349999999999</v>
      </c>
      <c r="O149" s="75">
        <v>39</v>
      </c>
      <c r="P149" s="54">
        <v>7112.2200000000048</v>
      </c>
      <c r="Q149" s="54">
        <v>306.68000000000006</v>
      </c>
      <c r="R149" s="53">
        <f t="shared" si="8"/>
        <v>2072.5</v>
      </c>
      <c r="S149" s="51">
        <v>30980.87</v>
      </c>
    </row>
    <row r="150" spans="1:19" ht="15" x14ac:dyDescent="0.25">
      <c r="A150" s="28"/>
      <c r="B150" s="45" t="str">
        <f t="shared" si="6"/>
        <v>Apr-2023</v>
      </c>
      <c r="C150" s="57">
        <v>45039</v>
      </c>
      <c r="D150" s="43">
        <f t="shared" si="7"/>
        <v>1073</v>
      </c>
      <c r="E150" s="76">
        <v>32</v>
      </c>
      <c r="F150" s="50">
        <v>59</v>
      </c>
      <c r="G150" s="49">
        <v>30870</v>
      </c>
      <c r="H150" s="73">
        <v>59</v>
      </c>
      <c r="I150" s="52">
        <v>59</v>
      </c>
      <c r="J150" s="51">
        <v>21282.600000000002</v>
      </c>
      <c r="K150" s="52"/>
      <c r="L150" s="51"/>
      <c r="M150" s="52">
        <v>36</v>
      </c>
      <c r="N150" s="49">
        <v>14475.9</v>
      </c>
      <c r="O150" s="75">
        <v>31</v>
      </c>
      <c r="P150" s="54">
        <v>4888.4999999999973</v>
      </c>
      <c r="Q150" s="54">
        <v>220.11999999999998</v>
      </c>
      <c r="R150" s="53">
        <f t="shared" si="8"/>
        <v>1543.5</v>
      </c>
      <c r="S150" s="51">
        <v>21282.600000000002</v>
      </c>
    </row>
    <row r="151" spans="1:19" ht="15" x14ac:dyDescent="0.25">
      <c r="A151" s="28"/>
      <c r="B151" s="45" t="str">
        <f t="shared" si="6"/>
        <v>Apr-2023</v>
      </c>
      <c r="C151" s="57">
        <v>45040</v>
      </c>
      <c r="D151" s="43">
        <f t="shared" si="7"/>
        <v>1072</v>
      </c>
      <c r="E151" s="76">
        <v>28</v>
      </c>
      <c r="F151" s="50">
        <v>65</v>
      </c>
      <c r="G151" s="49">
        <v>31750</v>
      </c>
      <c r="H151" s="73">
        <v>65</v>
      </c>
      <c r="I151" s="52">
        <v>65</v>
      </c>
      <c r="J151" s="51">
        <v>30971.390000000029</v>
      </c>
      <c r="K151" s="52">
        <v>1</v>
      </c>
      <c r="L151" s="51">
        <v>4</v>
      </c>
      <c r="M151" s="52">
        <v>26</v>
      </c>
      <c r="N151" s="49">
        <v>7748.34</v>
      </c>
      <c r="O151" s="75">
        <v>25</v>
      </c>
      <c r="P151" s="54">
        <v>6969.7299999999914</v>
      </c>
      <c r="Q151" s="54">
        <v>178.01</v>
      </c>
      <c r="R151" s="53">
        <f t="shared" si="8"/>
        <v>1587.5</v>
      </c>
      <c r="S151" s="51">
        <v>30971.390000000029</v>
      </c>
    </row>
    <row r="152" spans="1:19" ht="15" x14ac:dyDescent="0.25">
      <c r="A152" s="28"/>
      <c r="B152" s="45" t="str">
        <f t="shared" si="6"/>
        <v>Apr-2023</v>
      </c>
      <c r="C152" s="57">
        <v>45041</v>
      </c>
      <c r="D152" s="43">
        <f t="shared" si="7"/>
        <v>1071</v>
      </c>
      <c r="E152" s="76">
        <v>98</v>
      </c>
      <c r="F152" s="50">
        <v>102</v>
      </c>
      <c r="G152" s="49">
        <v>52904</v>
      </c>
      <c r="H152" s="73">
        <v>102</v>
      </c>
      <c r="I152" s="52">
        <v>102</v>
      </c>
      <c r="J152" s="51">
        <v>45943.680000000029</v>
      </c>
      <c r="K152" s="52">
        <v>3</v>
      </c>
      <c r="L152" s="51">
        <v>575</v>
      </c>
      <c r="M152" s="52">
        <v>49</v>
      </c>
      <c r="N152" s="49">
        <v>17283.59</v>
      </c>
      <c r="O152" s="75">
        <v>45</v>
      </c>
      <c r="P152" s="54">
        <v>10323.269999999993</v>
      </c>
      <c r="Q152" s="54">
        <v>273.45</v>
      </c>
      <c r="R152" s="53">
        <f t="shared" si="8"/>
        <v>2645.2000000000003</v>
      </c>
      <c r="S152" s="51">
        <v>45943.680000000029</v>
      </c>
    </row>
    <row r="153" spans="1:19" ht="15" x14ac:dyDescent="0.25">
      <c r="A153" s="28"/>
      <c r="B153" s="45" t="str">
        <f t="shared" si="6"/>
        <v>Apr-2023</v>
      </c>
      <c r="C153" s="57">
        <v>45042</v>
      </c>
      <c r="D153" s="43">
        <f t="shared" si="7"/>
        <v>1070</v>
      </c>
      <c r="E153" s="76">
        <v>97</v>
      </c>
      <c r="F153" s="50">
        <v>122</v>
      </c>
      <c r="G153" s="49">
        <v>61500</v>
      </c>
      <c r="H153" s="73">
        <v>122</v>
      </c>
      <c r="I153" s="52">
        <v>122</v>
      </c>
      <c r="J153" s="51">
        <v>61173.829999999994</v>
      </c>
      <c r="K153" s="52">
        <v>1</v>
      </c>
      <c r="L153" s="51">
        <v>44</v>
      </c>
      <c r="M153" s="52">
        <v>36</v>
      </c>
      <c r="N153" s="49">
        <v>13965.52</v>
      </c>
      <c r="O153" s="75">
        <v>35</v>
      </c>
      <c r="P153" s="54">
        <v>13639.350000000004</v>
      </c>
      <c r="Q153" s="54">
        <v>270.64999999999998</v>
      </c>
      <c r="R153" s="53">
        <f t="shared" si="8"/>
        <v>3075</v>
      </c>
      <c r="S153" s="51">
        <v>61173.829999999994</v>
      </c>
    </row>
    <row r="154" spans="1:19" ht="15" x14ac:dyDescent="0.25">
      <c r="A154" s="28"/>
      <c r="B154" s="45" t="str">
        <f t="shared" si="6"/>
        <v>Apr-2023</v>
      </c>
      <c r="C154" s="57">
        <v>45043</v>
      </c>
      <c r="D154" s="43">
        <f t="shared" si="7"/>
        <v>1069</v>
      </c>
      <c r="E154" s="76">
        <v>46</v>
      </c>
      <c r="F154" s="50">
        <v>76</v>
      </c>
      <c r="G154" s="49">
        <v>38880</v>
      </c>
      <c r="H154" s="73">
        <v>76</v>
      </c>
      <c r="I154" s="52">
        <v>76</v>
      </c>
      <c r="J154" s="51">
        <v>34309.369999999974</v>
      </c>
      <c r="K154" s="52">
        <v>1</v>
      </c>
      <c r="L154" s="51">
        <v>500.11</v>
      </c>
      <c r="M154" s="52">
        <v>25</v>
      </c>
      <c r="N154" s="49">
        <v>12217.88</v>
      </c>
      <c r="O154" s="75">
        <v>24</v>
      </c>
      <c r="P154" s="54">
        <v>7647.2500000000064</v>
      </c>
      <c r="Q154" s="54">
        <v>143.15</v>
      </c>
      <c r="R154" s="53">
        <f t="shared" si="8"/>
        <v>1944</v>
      </c>
      <c r="S154" s="51">
        <v>34309.369999999974</v>
      </c>
    </row>
    <row r="155" spans="1:19" ht="15" x14ac:dyDescent="0.25">
      <c r="A155" s="28"/>
      <c r="B155" s="45" t="str">
        <f t="shared" si="6"/>
        <v>Apr-2023</v>
      </c>
      <c r="C155" s="57">
        <v>45044</v>
      </c>
      <c r="D155" s="43">
        <f t="shared" si="7"/>
        <v>1068</v>
      </c>
      <c r="E155" s="76">
        <v>44</v>
      </c>
      <c r="F155" s="50">
        <v>95</v>
      </c>
      <c r="G155" s="49">
        <v>49435</v>
      </c>
      <c r="H155" s="73">
        <v>95</v>
      </c>
      <c r="I155" s="52">
        <v>95</v>
      </c>
      <c r="J155" s="51">
        <v>36360.010000000031</v>
      </c>
      <c r="K155" s="52">
        <v>5</v>
      </c>
      <c r="L155" s="51">
        <v>2490.46</v>
      </c>
      <c r="M155" s="52">
        <v>52</v>
      </c>
      <c r="N155" s="49">
        <v>21344.48</v>
      </c>
      <c r="O155" s="75">
        <v>50</v>
      </c>
      <c r="P155" s="54">
        <v>8269.4900000000034</v>
      </c>
      <c r="Q155" s="54">
        <v>339.81999999999994</v>
      </c>
      <c r="R155" s="53">
        <f t="shared" si="8"/>
        <v>2471.75</v>
      </c>
      <c r="S155" s="51">
        <v>36360.010000000031</v>
      </c>
    </row>
    <row r="156" spans="1:19" ht="15" x14ac:dyDescent="0.25">
      <c r="A156" s="28"/>
      <c r="B156" s="45" t="str">
        <f t="shared" si="6"/>
        <v>Apr-2023</v>
      </c>
      <c r="C156" s="57">
        <v>45045</v>
      </c>
      <c r="D156" s="43">
        <f t="shared" si="7"/>
        <v>1067</v>
      </c>
      <c r="E156" s="76">
        <v>32</v>
      </c>
      <c r="F156" s="50">
        <v>65</v>
      </c>
      <c r="G156" s="49">
        <v>33970</v>
      </c>
      <c r="H156" s="73">
        <v>65</v>
      </c>
      <c r="I156" s="52">
        <v>65</v>
      </c>
      <c r="J156" s="51">
        <v>26479.310000000005</v>
      </c>
      <c r="K156" s="52">
        <v>2</v>
      </c>
      <c r="L156" s="51">
        <v>145</v>
      </c>
      <c r="M156" s="52">
        <v>26</v>
      </c>
      <c r="N156" s="49">
        <v>13441.98</v>
      </c>
      <c r="O156" s="75">
        <v>26</v>
      </c>
      <c r="P156" s="54">
        <v>5951.2900000000045</v>
      </c>
      <c r="Q156" s="54">
        <v>167.19000000000003</v>
      </c>
      <c r="R156" s="53">
        <f t="shared" si="8"/>
        <v>1698.5</v>
      </c>
      <c r="S156" s="51">
        <v>26479.310000000005</v>
      </c>
    </row>
    <row r="157" spans="1:19" ht="15" x14ac:dyDescent="0.25">
      <c r="A157" s="28"/>
      <c r="B157" s="45" t="str">
        <f t="shared" si="6"/>
        <v>Apr-2023</v>
      </c>
      <c r="C157" s="57">
        <v>45046</v>
      </c>
      <c r="D157" s="43">
        <f t="shared" si="7"/>
        <v>1066</v>
      </c>
      <c r="E157" s="76">
        <v>22</v>
      </c>
      <c r="F157" s="50">
        <v>57</v>
      </c>
      <c r="G157" s="49">
        <v>30230</v>
      </c>
      <c r="H157" s="73">
        <v>57</v>
      </c>
      <c r="I157" s="52">
        <v>57</v>
      </c>
      <c r="J157" s="51">
        <v>22598.529999999984</v>
      </c>
      <c r="K157" s="52">
        <v>2</v>
      </c>
      <c r="L157" s="51">
        <v>5</v>
      </c>
      <c r="M157" s="52">
        <v>39</v>
      </c>
      <c r="N157" s="49">
        <v>12666.64</v>
      </c>
      <c r="O157" s="75">
        <v>30</v>
      </c>
      <c r="P157" s="54">
        <v>5035.170000000001</v>
      </c>
      <c r="Q157" s="54">
        <v>135.35000000000002</v>
      </c>
      <c r="R157" s="53">
        <f t="shared" si="8"/>
        <v>1511.5</v>
      </c>
      <c r="S157" s="51">
        <v>22598.529999999984</v>
      </c>
    </row>
    <row r="158" spans="1:19" ht="15" x14ac:dyDescent="0.25">
      <c r="A158" s="28"/>
      <c r="B158" s="45" t="str">
        <f t="shared" si="6"/>
        <v>May-2023</v>
      </c>
      <c r="C158" s="57">
        <v>45047</v>
      </c>
      <c r="D158" s="43">
        <f t="shared" si="7"/>
        <v>1065</v>
      </c>
      <c r="E158" s="76">
        <v>25</v>
      </c>
      <c r="F158" s="50">
        <v>62</v>
      </c>
      <c r="G158" s="49">
        <v>34100</v>
      </c>
      <c r="H158" s="73">
        <v>62</v>
      </c>
      <c r="I158" s="52">
        <v>62</v>
      </c>
      <c r="J158" s="51">
        <v>27815.480000000029</v>
      </c>
      <c r="K158" s="52">
        <v>1</v>
      </c>
      <c r="L158" s="51">
        <v>20</v>
      </c>
      <c r="M158" s="52">
        <v>23</v>
      </c>
      <c r="N158" s="49">
        <v>12433.46</v>
      </c>
      <c r="O158" s="75">
        <v>23</v>
      </c>
      <c r="P158" s="54">
        <v>6148.9399999999978</v>
      </c>
      <c r="Q158" s="54">
        <v>100.24</v>
      </c>
      <c r="R158" s="53">
        <f t="shared" si="8"/>
        <v>1705</v>
      </c>
      <c r="S158" s="51">
        <v>27815.480000000029</v>
      </c>
    </row>
    <row r="159" spans="1:19" ht="15" x14ac:dyDescent="0.25">
      <c r="A159" s="28"/>
      <c r="B159" s="45" t="str">
        <f t="shared" si="6"/>
        <v>May-2023</v>
      </c>
      <c r="C159" s="57">
        <v>45048</v>
      </c>
      <c r="D159" s="43">
        <f t="shared" si="7"/>
        <v>1064</v>
      </c>
      <c r="E159" s="76">
        <v>29</v>
      </c>
      <c r="F159" s="50">
        <v>80</v>
      </c>
      <c r="G159" s="49">
        <v>41715</v>
      </c>
      <c r="H159" s="73">
        <v>80</v>
      </c>
      <c r="I159" s="52">
        <v>80</v>
      </c>
      <c r="J159" s="51">
        <v>31628.470000000023</v>
      </c>
      <c r="K159" s="52">
        <v>1</v>
      </c>
      <c r="L159" s="51">
        <v>400</v>
      </c>
      <c r="M159" s="52">
        <v>45</v>
      </c>
      <c r="N159" s="49">
        <v>17136.37</v>
      </c>
      <c r="O159" s="75">
        <v>39</v>
      </c>
      <c r="P159" s="54">
        <v>7049.8399999999947</v>
      </c>
      <c r="Q159" s="54">
        <v>176.09000000000003</v>
      </c>
      <c r="R159" s="53">
        <f t="shared" si="8"/>
        <v>2085.75</v>
      </c>
      <c r="S159" s="51">
        <v>31628.470000000019</v>
      </c>
    </row>
    <row r="160" spans="1:19" ht="15" x14ac:dyDescent="0.25">
      <c r="A160" s="28"/>
      <c r="B160" s="45" t="str">
        <f t="shared" si="6"/>
        <v>May-2023</v>
      </c>
      <c r="C160" s="57">
        <v>45049</v>
      </c>
      <c r="D160" s="43">
        <f t="shared" si="7"/>
        <v>1063</v>
      </c>
      <c r="E160" s="76">
        <v>29</v>
      </c>
      <c r="F160" s="50">
        <v>62</v>
      </c>
      <c r="G160" s="49">
        <v>34940</v>
      </c>
      <c r="H160" s="73">
        <v>62</v>
      </c>
      <c r="I160" s="52">
        <v>62</v>
      </c>
      <c r="J160" s="51">
        <v>25037.039999999986</v>
      </c>
      <c r="K160" s="52">
        <v>1</v>
      </c>
      <c r="L160" s="51">
        <v>1</v>
      </c>
      <c r="M160" s="52">
        <v>40</v>
      </c>
      <c r="N160" s="49">
        <v>15763.76</v>
      </c>
      <c r="O160" s="75">
        <v>35</v>
      </c>
      <c r="P160" s="54">
        <v>5860.8000000000038</v>
      </c>
      <c r="Q160" s="54">
        <v>414.99999999999994</v>
      </c>
      <c r="R160" s="53">
        <f t="shared" si="8"/>
        <v>1747</v>
      </c>
      <c r="S160" s="51">
        <v>25037.039999999994</v>
      </c>
    </row>
    <row r="161" spans="1:19" ht="15" x14ac:dyDescent="0.25">
      <c r="A161" s="28"/>
      <c r="B161" s="45" t="str">
        <f t="shared" si="6"/>
        <v>May-2023</v>
      </c>
      <c r="C161" s="57">
        <v>45050</v>
      </c>
      <c r="D161" s="43">
        <f t="shared" si="7"/>
        <v>1062</v>
      </c>
      <c r="E161" s="76">
        <v>26</v>
      </c>
      <c r="F161" s="50">
        <v>55</v>
      </c>
      <c r="G161" s="49">
        <v>28245</v>
      </c>
      <c r="H161" s="73">
        <v>55</v>
      </c>
      <c r="I161" s="52">
        <v>55</v>
      </c>
      <c r="J161" s="51">
        <v>17813.510000000006</v>
      </c>
      <c r="K161" s="52"/>
      <c r="L161" s="51"/>
      <c r="M161" s="52">
        <v>29</v>
      </c>
      <c r="N161" s="49">
        <v>14458.75</v>
      </c>
      <c r="O161" s="75">
        <v>29</v>
      </c>
      <c r="P161" s="54">
        <v>4027.260000000002</v>
      </c>
      <c r="Q161" s="54">
        <v>161.12</v>
      </c>
      <c r="R161" s="53">
        <f t="shared" si="8"/>
        <v>1412.25</v>
      </c>
      <c r="S161" s="51">
        <v>17813.510000000002</v>
      </c>
    </row>
    <row r="162" spans="1:19" ht="15" x14ac:dyDescent="0.25">
      <c r="A162" s="28"/>
      <c r="B162" s="45" t="str">
        <f t="shared" si="6"/>
        <v>May-2023</v>
      </c>
      <c r="C162" s="57">
        <v>45051</v>
      </c>
      <c r="D162" s="43">
        <f t="shared" si="7"/>
        <v>1061</v>
      </c>
      <c r="E162" s="76">
        <v>29</v>
      </c>
      <c r="F162" s="50">
        <v>65</v>
      </c>
      <c r="G162" s="49">
        <v>36560</v>
      </c>
      <c r="H162" s="73">
        <v>65</v>
      </c>
      <c r="I162" s="52">
        <v>65</v>
      </c>
      <c r="J162" s="51">
        <v>23762.430000000008</v>
      </c>
      <c r="K162" s="52"/>
      <c r="L162" s="51"/>
      <c r="M162" s="52">
        <v>42</v>
      </c>
      <c r="N162" s="49">
        <v>18161.96</v>
      </c>
      <c r="O162" s="75">
        <v>38</v>
      </c>
      <c r="P162" s="54">
        <v>5364.3899999999994</v>
      </c>
      <c r="Q162" s="54">
        <v>187.17999999999998</v>
      </c>
      <c r="R162" s="53">
        <f t="shared" si="8"/>
        <v>1828</v>
      </c>
      <c r="S162" s="51">
        <v>23762.43</v>
      </c>
    </row>
    <row r="163" spans="1:19" ht="15" x14ac:dyDescent="0.25">
      <c r="A163" s="28"/>
      <c r="B163" s="45" t="str">
        <f t="shared" si="6"/>
        <v>May-2023</v>
      </c>
      <c r="C163" s="57">
        <v>45052</v>
      </c>
      <c r="D163" s="43">
        <f t="shared" si="7"/>
        <v>1060</v>
      </c>
      <c r="E163" s="76">
        <v>21</v>
      </c>
      <c r="F163" s="50">
        <v>46</v>
      </c>
      <c r="G163" s="49">
        <v>24380</v>
      </c>
      <c r="H163" s="73">
        <v>46</v>
      </c>
      <c r="I163" s="52">
        <v>46</v>
      </c>
      <c r="J163" s="51">
        <v>16308.200000000004</v>
      </c>
      <c r="K163" s="52"/>
      <c r="L163" s="51"/>
      <c r="M163" s="52">
        <v>29</v>
      </c>
      <c r="N163" s="49">
        <v>11788.24</v>
      </c>
      <c r="O163" s="75">
        <v>27</v>
      </c>
      <c r="P163" s="54">
        <v>3716.4400000000005</v>
      </c>
      <c r="Q163" s="54">
        <v>169.00999999999996</v>
      </c>
      <c r="R163" s="53">
        <f t="shared" si="8"/>
        <v>1219</v>
      </c>
      <c r="S163" s="51">
        <v>16308.200000000004</v>
      </c>
    </row>
    <row r="164" spans="1:19" ht="15" x14ac:dyDescent="0.25">
      <c r="A164" s="28"/>
      <c r="B164" s="45" t="str">
        <f t="shared" si="6"/>
        <v>May-2023</v>
      </c>
      <c r="C164" s="57">
        <v>45053</v>
      </c>
      <c r="D164" s="43">
        <f t="shared" si="7"/>
        <v>1059</v>
      </c>
      <c r="E164" s="76">
        <v>42</v>
      </c>
      <c r="F164" s="50">
        <v>61</v>
      </c>
      <c r="G164" s="49">
        <v>30420</v>
      </c>
      <c r="H164" s="73">
        <v>61</v>
      </c>
      <c r="I164" s="52">
        <v>61</v>
      </c>
      <c r="J164" s="51">
        <v>24838.329999999984</v>
      </c>
      <c r="K164" s="52">
        <v>3</v>
      </c>
      <c r="L164" s="51">
        <v>678.04</v>
      </c>
      <c r="M164" s="52">
        <v>32</v>
      </c>
      <c r="N164" s="49">
        <v>11094.4</v>
      </c>
      <c r="O164" s="75">
        <v>31</v>
      </c>
      <c r="P164" s="54">
        <v>5512.7300000000023</v>
      </c>
      <c r="Q164" s="54">
        <v>128.03</v>
      </c>
      <c r="R164" s="53">
        <f t="shared" si="8"/>
        <v>1521</v>
      </c>
      <c r="S164" s="51">
        <v>24838.329999999987</v>
      </c>
    </row>
    <row r="165" spans="1:19" ht="15" x14ac:dyDescent="0.25">
      <c r="A165" s="28"/>
      <c r="B165" s="45" t="str">
        <f t="shared" si="6"/>
        <v>May-2023</v>
      </c>
      <c r="C165" s="57">
        <v>45054</v>
      </c>
      <c r="D165" s="43">
        <f t="shared" si="7"/>
        <v>1058</v>
      </c>
      <c r="E165" s="76">
        <v>32</v>
      </c>
      <c r="F165" s="50">
        <v>69</v>
      </c>
      <c r="G165" s="49">
        <v>38875</v>
      </c>
      <c r="H165" s="73">
        <v>69</v>
      </c>
      <c r="I165" s="52">
        <v>69</v>
      </c>
      <c r="J165" s="51">
        <v>26178.829999999976</v>
      </c>
      <c r="K165" s="52"/>
      <c r="L165" s="51"/>
      <c r="M165" s="52">
        <v>37</v>
      </c>
      <c r="N165" s="49">
        <v>18625.669999999998</v>
      </c>
      <c r="O165" s="75">
        <v>36</v>
      </c>
      <c r="P165" s="54">
        <v>5929.4999999999991</v>
      </c>
      <c r="Q165" s="54">
        <v>296.48</v>
      </c>
      <c r="R165" s="53">
        <f t="shared" si="8"/>
        <v>1943.75</v>
      </c>
      <c r="S165" s="51">
        <v>26178.82999999998</v>
      </c>
    </row>
    <row r="166" spans="1:19" ht="15" x14ac:dyDescent="0.25">
      <c r="A166" s="28"/>
      <c r="B166" s="45" t="str">
        <f t="shared" si="6"/>
        <v>May-2023</v>
      </c>
      <c r="C166" s="57">
        <v>45055</v>
      </c>
      <c r="D166" s="43">
        <f t="shared" si="7"/>
        <v>1057</v>
      </c>
      <c r="E166" s="76">
        <v>14</v>
      </c>
      <c r="F166" s="50">
        <v>77</v>
      </c>
      <c r="G166" s="49">
        <v>45180</v>
      </c>
      <c r="H166" s="73">
        <v>76</v>
      </c>
      <c r="I166" s="52">
        <v>77</v>
      </c>
      <c r="J166" s="51">
        <v>19102.600000000013</v>
      </c>
      <c r="K166" s="52">
        <v>3</v>
      </c>
      <c r="L166" s="51">
        <v>903.19999999999993</v>
      </c>
      <c r="M166" s="52">
        <v>74</v>
      </c>
      <c r="N166" s="49">
        <v>30661.01</v>
      </c>
      <c r="O166" s="75">
        <v>69</v>
      </c>
      <c r="P166" s="54">
        <v>4583.6100000000015</v>
      </c>
      <c r="Q166" s="54">
        <v>447.93000000000006</v>
      </c>
      <c r="R166" s="53">
        <f t="shared" si="8"/>
        <v>2259</v>
      </c>
      <c r="S166" s="51">
        <v>19102.600000000009</v>
      </c>
    </row>
    <row r="167" spans="1:19" ht="15" x14ac:dyDescent="0.25">
      <c r="A167" s="28"/>
      <c r="B167" s="45" t="str">
        <f t="shared" si="6"/>
        <v>May-2023</v>
      </c>
      <c r="C167" s="57">
        <v>45056</v>
      </c>
      <c r="D167" s="43">
        <f t="shared" si="7"/>
        <v>1056</v>
      </c>
      <c r="E167" s="76">
        <v>25</v>
      </c>
      <c r="F167" s="50">
        <v>71</v>
      </c>
      <c r="G167" s="49">
        <v>39225</v>
      </c>
      <c r="H167" s="73">
        <v>71</v>
      </c>
      <c r="I167" s="52">
        <v>71</v>
      </c>
      <c r="J167" s="51">
        <v>26078.899999999994</v>
      </c>
      <c r="K167" s="52"/>
      <c r="L167" s="51"/>
      <c r="M167" s="52">
        <v>35</v>
      </c>
      <c r="N167" s="49">
        <v>19081.21</v>
      </c>
      <c r="O167" s="75">
        <v>33</v>
      </c>
      <c r="P167" s="54">
        <v>5935.1099999999988</v>
      </c>
      <c r="Q167" s="54">
        <v>281.90999999999997</v>
      </c>
      <c r="R167" s="53">
        <f t="shared" si="8"/>
        <v>1961.25</v>
      </c>
      <c r="S167" s="51">
        <v>26078.899999999998</v>
      </c>
    </row>
    <row r="168" spans="1:19" ht="15" x14ac:dyDescent="0.25">
      <c r="A168" s="28"/>
      <c r="B168" s="45" t="str">
        <f t="shared" si="6"/>
        <v>May-2023</v>
      </c>
      <c r="C168" s="57">
        <v>45057</v>
      </c>
      <c r="D168" s="43">
        <f t="shared" si="7"/>
        <v>1055</v>
      </c>
      <c r="E168" s="76">
        <v>25</v>
      </c>
      <c r="F168" s="50">
        <v>66</v>
      </c>
      <c r="G168" s="49">
        <v>35175</v>
      </c>
      <c r="H168" s="73">
        <v>66</v>
      </c>
      <c r="I168" s="52">
        <v>66</v>
      </c>
      <c r="J168" s="51">
        <v>25272.019999999993</v>
      </c>
      <c r="K168" s="52">
        <v>2</v>
      </c>
      <c r="L168" s="51">
        <v>237</v>
      </c>
      <c r="M168" s="52">
        <v>39</v>
      </c>
      <c r="N168" s="49">
        <v>15578.25</v>
      </c>
      <c r="O168" s="75">
        <v>32</v>
      </c>
      <c r="P168" s="54">
        <v>5675.2700000000023</v>
      </c>
      <c r="Q168" s="54">
        <v>207.81999999999996</v>
      </c>
      <c r="R168" s="53">
        <f t="shared" si="8"/>
        <v>1758.75</v>
      </c>
      <c r="S168" s="51">
        <v>25272.019999999993</v>
      </c>
    </row>
    <row r="169" spans="1:19" ht="15" x14ac:dyDescent="0.25">
      <c r="A169" s="28"/>
      <c r="B169" s="45" t="str">
        <f t="shared" si="6"/>
        <v>May-2023</v>
      </c>
      <c r="C169" s="57">
        <v>45058</v>
      </c>
      <c r="D169" s="43">
        <f t="shared" si="7"/>
        <v>1054</v>
      </c>
      <c r="E169" s="76">
        <v>21</v>
      </c>
      <c r="F169" s="50">
        <v>44</v>
      </c>
      <c r="G169" s="49">
        <v>25115</v>
      </c>
      <c r="H169" s="73">
        <v>44</v>
      </c>
      <c r="I169" s="52">
        <v>44</v>
      </c>
      <c r="J169" s="51">
        <v>15631.209999999995</v>
      </c>
      <c r="K169" s="52"/>
      <c r="L169" s="51"/>
      <c r="M169" s="52">
        <v>28</v>
      </c>
      <c r="N169" s="49">
        <v>13090.38</v>
      </c>
      <c r="O169" s="75">
        <v>27</v>
      </c>
      <c r="P169" s="54">
        <v>3606.5900000000006</v>
      </c>
      <c r="Q169" s="54">
        <v>243.15000000000006</v>
      </c>
      <c r="R169" s="53">
        <f t="shared" si="8"/>
        <v>1255.75</v>
      </c>
      <c r="S169" s="51">
        <v>15631.209999999994</v>
      </c>
    </row>
    <row r="170" spans="1:19" ht="15" x14ac:dyDescent="0.25">
      <c r="A170" s="28"/>
      <c r="B170" s="45" t="str">
        <f t="shared" si="6"/>
        <v>May-2023</v>
      </c>
      <c r="C170" s="57">
        <v>45059</v>
      </c>
      <c r="D170" s="43">
        <f t="shared" si="7"/>
        <v>1053</v>
      </c>
      <c r="E170" s="76">
        <v>28</v>
      </c>
      <c r="F170" s="50">
        <v>73</v>
      </c>
      <c r="G170" s="49">
        <v>40990</v>
      </c>
      <c r="H170" s="73">
        <v>73</v>
      </c>
      <c r="I170" s="52">
        <v>73</v>
      </c>
      <c r="J170" s="51">
        <v>25178.100000000009</v>
      </c>
      <c r="K170" s="52">
        <v>2</v>
      </c>
      <c r="L170" s="51">
        <v>575</v>
      </c>
      <c r="M170" s="52">
        <v>36</v>
      </c>
      <c r="N170" s="49">
        <v>21426.41</v>
      </c>
      <c r="O170" s="75">
        <v>35</v>
      </c>
      <c r="P170" s="54">
        <v>5614.510000000002</v>
      </c>
      <c r="Q170" s="54">
        <v>163.87999999999997</v>
      </c>
      <c r="R170" s="53">
        <f t="shared" si="8"/>
        <v>2049.5</v>
      </c>
      <c r="S170" s="51">
        <v>25178.100000000009</v>
      </c>
    </row>
    <row r="171" spans="1:19" ht="15" x14ac:dyDescent="0.25">
      <c r="A171" s="28"/>
      <c r="B171" s="45" t="str">
        <f t="shared" si="6"/>
        <v>May-2023</v>
      </c>
      <c r="C171" s="57">
        <v>45060</v>
      </c>
      <c r="D171" s="43">
        <f t="shared" si="7"/>
        <v>1052</v>
      </c>
      <c r="E171" s="76">
        <v>22</v>
      </c>
      <c r="F171" s="50">
        <v>46</v>
      </c>
      <c r="G171" s="49">
        <v>24380</v>
      </c>
      <c r="H171" s="73">
        <v>46</v>
      </c>
      <c r="I171" s="52">
        <v>46</v>
      </c>
      <c r="J171" s="51">
        <v>16091.139999999998</v>
      </c>
      <c r="K171" s="52">
        <v>2</v>
      </c>
      <c r="L171" s="51">
        <v>480</v>
      </c>
      <c r="M171" s="52">
        <v>32</v>
      </c>
      <c r="N171" s="49">
        <v>11934.67</v>
      </c>
      <c r="O171" s="75">
        <v>29</v>
      </c>
      <c r="P171" s="54">
        <v>3645.8100000000009</v>
      </c>
      <c r="Q171" s="54">
        <v>169.78999999999996</v>
      </c>
      <c r="R171" s="53">
        <f t="shared" si="8"/>
        <v>1219</v>
      </c>
      <c r="S171" s="51">
        <v>16091.139999999996</v>
      </c>
    </row>
    <row r="172" spans="1:19" ht="15" x14ac:dyDescent="0.25">
      <c r="A172" s="28"/>
      <c r="B172" s="45" t="str">
        <f t="shared" si="6"/>
        <v>May-2023</v>
      </c>
      <c r="C172" s="57">
        <v>45061</v>
      </c>
      <c r="D172" s="43">
        <f t="shared" si="7"/>
        <v>1051</v>
      </c>
      <c r="E172" s="76">
        <v>36</v>
      </c>
      <c r="F172" s="50">
        <v>74</v>
      </c>
      <c r="G172" s="49">
        <v>40110</v>
      </c>
      <c r="H172" s="73">
        <v>74</v>
      </c>
      <c r="I172" s="52">
        <v>74</v>
      </c>
      <c r="J172" s="51">
        <v>27109.789999999983</v>
      </c>
      <c r="K172" s="52">
        <v>1</v>
      </c>
      <c r="L172" s="51">
        <v>500.11</v>
      </c>
      <c r="M172" s="52">
        <v>41</v>
      </c>
      <c r="N172" s="49">
        <v>19033.189999999999</v>
      </c>
      <c r="O172" s="75">
        <v>35</v>
      </c>
      <c r="P172" s="54">
        <v>6032.9800000000041</v>
      </c>
      <c r="Q172" s="54">
        <v>183.19</v>
      </c>
      <c r="R172" s="53">
        <f t="shared" si="8"/>
        <v>2005.5</v>
      </c>
      <c r="S172" s="51">
        <v>27109.789999999986</v>
      </c>
    </row>
    <row r="173" spans="1:19" ht="15" x14ac:dyDescent="0.25">
      <c r="A173" s="28"/>
      <c r="B173" s="45" t="str">
        <f t="shared" si="6"/>
        <v>May-2023</v>
      </c>
      <c r="C173" s="57">
        <v>45062</v>
      </c>
      <c r="D173" s="43">
        <f t="shared" si="7"/>
        <v>1050</v>
      </c>
      <c r="E173" s="76">
        <v>28</v>
      </c>
      <c r="F173" s="50">
        <v>61</v>
      </c>
      <c r="G173" s="49">
        <v>32370</v>
      </c>
      <c r="H173" s="73">
        <v>61</v>
      </c>
      <c r="I173" s="52">
        <v>61</v>
      </c>
      <c r="J173" s="51">
        <v>22223.260000000002</v>
      </c>
      <c r="K173" s="52">
        <v>1</v>
      </c>
      <c r="L173" s="51">
        <v>475</v>
      </c>
      <c r="M173" s="52">
        <v>37</v>
      </c>
      <c r="N173" s="49">
        <v>15120.65</v>
      </c>
      <c r="O173" s="75">
        <v>32</v>
      </c>
      <c r="P173" s="54">
        <v>4973.9100000000026</v>
      </c>
      <c r="Q173" s="54">
        <v>184.06</v>
      </c>
      <c r="R173" s="53">
        <f t="shared" si="8"/>
        <v>1618.5</v>
      </c>
      <c r="S173" s="51">
        <v>22223.260000000002</v>
      </c>
    </row>
    <row r="174" spans="1:19" ht="15" x14ac:dyDescent="0.25">
      <c r="A174" s="28"/>
      <c r="B174" s="45" t="str">
        <f t="shared" si="6"/>
        <v>May-2023</v>
      </c>
      <c r="C174" s="57">
        <v>45063</v>
      </c>
      <c r="D174" s="43">
        <f t="shared" si="7"/>
        <v>1049</v>
      </c>
      <c r="E174" s="76">
        <v>30</v>
      </c>
      <c r="F174" s="50">
        <v>56</v>
      </c>
      <c r="G174" s="49">
        <v>27200</v>
      </c>
      <c r="H174" s="73">
        <v>56</v>
      </c>
      <c r="I174" s="52">
        <v>56</v>
      </c>
      <c r="J174" s="51">
        <v>25549.360000000001</v>
      </c>
      <c r="K174" s="52">
        <v>2</v>
      </c>
      <c r="L174" s="51">
        <v>475</v>
      </c>
      <c r="M174" s="52">
        <v>31</v>
      </c>
      <c r="N174" s="49">
        <v>7267.9</v>
      </c>
      <c r="O174" s="75">
        <v>26</v>
      </c>
      <c r="P174" s="54">
        <v>5617.2599999999984</v>
      </c>
      <c r="Q174" s="54">
        <v>170.64</v>
      </c>
      <c r="R174" s="53">
        <f t="shared" si="8"/>
        <v>1360</v>
      </c>
      <c r="S174" s="51">
        <v>25549.360000000001</v>
      </c>
    </row>
    <row r="175" spans="1:19" ht="15" x14ac:dyDescent="0.25">
      <c r="A175" s="28"/>
      <c r="B175" s="45" t="str">
        <f t="shared" si="6"/>
        <v>May-2023</v>
      </c>
      <c r="C175" s="57">
        <v>45064</v>
      </c>
      <c r="D175" s="43">
        <f t="shared" si="7"/>
        <v>1048</v>
      </c>
      <c r="E175" s="76">
        <v>17</v>
      </c>
      <c r="F175" s="50">
        <v>52</v>
      </c>
      <c r="G175" s="49">
        <v>29240</v>
      </c>
      <c r="H175" s="73">
        <v>52</v>
      </c>
      <c r="I175" s="52">
        <v>52</v>
      </c>
      <c r="J175" s="51">
        <v>16012.080000000007</v>
      </c>
      <c r="K175" s="52"/>
      <c r="L175" s="51"/>
      <c r="M175" s="52">
        <v>43</v>
      </c>
      <c r="N175" s="49">
        <v>16805.59</v>
      </c>
      <c r="O175" s="75">
        <v>39</v>
      </c>
      <c r="P175" s="54">
        <v>3577.6699999999992</v>
      </c>
      <c r="Q175" s="54">
        <v>131.33999999999997</v>
      </c>
      <c r="R175" s="53">
        <f t="shared" si="8"/>
        <v>1462</v>
      </c>
      <c r="S175" s="51">
        <v>16012.080000000007</v>
      </c>
    </row>
    <row r="176" spans="1:19" ht="15" x14ac:dyDescent="0.25">
      <c r="A176" s="28"/>
      <c r="B176" s="45" t="str">
        <f t="shared" si="6"/>
        <v>May-2023</v>
      </c>
      <c r="C176" s="57">
        <v>45065</v>
      </c>
      <c r="D176" s="43">
        <f t="shared" si="7"/>
        <v>1047</v>
      </c>
      <c r="E176" s="76">
        <v>33</v>
      </c>
      <c r="F176" s="50">
        <v>87</v>
      </c>
      <c r="G176" s="49">
        <v>46658</v>
      </c>
      <c r="H176" s="73">
        <v>87</v>
      </c>
      <c r="I176" s="52">
        <v>87</v>
      </c>
      <c r="J176" s="51">
        <v>33797.060000000034</v>
      </c>
      <c r="K176" s="52">
        <v>3</v>
      </c>
      <c r="L176" s="51">
        <v>495</v>
      </c>
      <c r="M176" s="52">
        <v>45</v>
      </c>
      <c r="N176" s="49">
        <v>20349.060000000001</v>
      </c>
      <c r="O176" s="75">
        <v>42</v>
      </c>
      <c r="P176" s="54">
        <v>7488.1199999999908</v>
      </c>
      <c r="Q176" s="54">
        <v>224.58</v>
      </c>
      <c r="R176" s="53">
        <f t="shared" si="8"/>
        <v>2332.9</v>
      </c>
      <c r="S176" s="51">
        <v>33797.060000000034</v>
      </c>
    </row>
    <row r="177" spans="1:19" ht="15" x14ac:dyDescent="0.25">
      <c r="A177" s="28"/>
      <c r="B177" s="45" t="str">
        <f t="shared" si="6"/>
        <v>May-2023</v>
      </c>
      <c r="C177" s="57">
        <v>45066</v>
      </c>
      <c r="D177" s="43">
        <f t="shared" si="7"/>
        <v>1046</v>
      </c>
      <c r="E177" s="76">
        <v>20</v>
      </c>
      <c r="F177" s="50">
        <v>53</v>
      </c>
      <c r="G177" s="49">
        <v>29610</v>
      </c>
      <c r="H177" s="73">
        <v>53</v>
      </c>
      <c r="I177" s="52">
        <v>53</v>
      </c>
      <c r="J177" s="51">
        <v>15284.950000000006</v>
      </c>
      <c r="K177" s="52">
        <v>2</v>
      </c>
      <c r="L177" s="51">
        <v>475</v>
      </c>
      <c r="M177" s="52">
        <v>38</v>
      </c>
      <c r="N177" s="49">
        <v>17809.77</v>
      </c>
      <c r="O177" s="75">
        <v>34</v>
      </c>
      <c r="P177" s="54">
        <v>3484.720000000003</v>
      </c>
      <c r="Q177" s="54">
        <v>200.01000000000002</v>
      </c>
      <c r="R177" s="53">
        <f t="shared" si="8"/>
        <v>1480.5</v>
      </c>
      <c r="S177" s="51">
        <v>15284.950000000004</v>
      </c>
    </row>
    <row r="178" spans="1:19" ht="15" x14ac:dyDescent="0.25">
      <c r="A178" s="28"/>
      <c r="B178" s="45" t="str">
        <f t="shared" si="6"/>
        <v>May-2023</v>
      </c>
      <c r="C178" s="57">
        <v>45067</v>
      </c>
      <c r="D178" s="43">
        <f t="shared" si="7"/>
        <v>1045</v>
      </c>
      <c r="E178" s="76">
        <v>13</v>
      </c>
      <c r="F178" s="50">
        <v>43</v>
      </c>
      <c r="G178" s="49">
        <v>21250</v>
      </c>
      <c r="H178" s="73">
        <v>43</v>
      </c>
      <c r="I178" s="52">
        <v>43</v>
      </c>
      <c r="J178" s="51">
        <v>14083.899999999994</v>
      </c>
      <c r="K178" s="52"/>
      <c r="L178" s="51"/>
      <c r="M178" s="52">
        <v>32</v>
      </c>
      <c r="N178" s="49">
        <v>10474.629999999999</v>
      </c>
      <c r="O178" s="75">
        <v>28</v>
      </c>
      <c r="P178" s="54">
        <v>3308.5300000000007</v>
      </c>
      <c r="Q178" s="54">
        <v>303.3</v>
      </c>
      <c r="R178" s="53">
        <f t="shared" si="8"/>
        <v>1062.5</v>
      </c>
      <c r="S178" s="51">
        <v>14083.899999999994</v>
      </c>
    </row>
    <row r="179" spans="1:19" ht="15" x14ac:dyDescent="0.25">
      <c r="A179" s="28"/>
      <c r="B179" s="45" t="str">
        <f t="shared" si="6"/>
        <v>May-2023</v>
      </c>
      <c r="C179" s="57">
        <v>45068</v>
      </c>
      <c r="D179" s="43">
        <f t="shared" si="7"/>
        <v>1044</v>
      </c>
      <c r="E179" s="76">
        <v>36</v>
      </c>
      <c r="F179" s="50">
        <v>60</v>
      </c>
      <c r="G179" s="49">
        <v>31820</v>
      </c>
      <c r="H179" s="73">
        <v>60</v>
      </c>
      <c r="I179" s="52">
        <v>60</v>
      </c>
      <c r="J179" s="51">
        <v>24781.069999999989</v>
      </c>
      <c r="K179" s="52"/>
      <c r="L179" s="51"/>
      <c r="M179" s="52">
        <v>26</v>
      </c>
      <c r="N179" s="49">
        <v>12526.24</v>
      </c>
      <c r="O179" s="75">
        <v>26</v>
      </c>
      <c r="P179" s="54">
        <v>5487.3099999999995</v>
      </c>
      <c r="Q179" s="54">
        <v>177.75</v>
      </c>
      <c r="R179" s="53">
        <f t="shared" si="8"/>
        <v>1591</v>
      </c>
      <c r="S179" s="51">
        <v>24781.069999999985</v>
      </c>
    </row>
    <row r="180" spans="1:19" ht="15" x14ac:dyDescent="0.25">
      <c r="A180" s="28"/>
      <c r="B180" s="45" t="str">
        <f t="shared" si="6"/>
        <v>May-2023</v>
      </c>
      <c r="C180" s="57">
        <v>45069</v>
      </c>
      <c r="D180" s="43">
        <f t="shared" si="7"/>
        <v>1043</v>
      </c>
      <c r="E180" s="76">
        <v>29</v>
      </c>
      <c r="F180" s="50">
        <v>54</v>
      </c>
      <c r="G180" s="49">
        <v>27945</v>
      </c>
      <c r="H180" s="73">
        <v>54</v>
      </c>
      <c r="I180" s="52">
        <v>54</v>
      </c>
      <c r="J180" s="51">
        <v>23380.790000000005</v>
      </c>
      <c r="K180" s="52">
        <v>1</v>
      </c>
      <c r="L180" s="51">
        <v>200</v>
      </c>
      <c r="M180" s="52">
        <v>24</v>
      </c>
      <c r="N180" s="49">
        <v>9700.4500000000007</v>
      </c>
      <c r="O180" s="75">
        <v>23</v>
      </c>
      <c r="P180" s="54">
        <v>5136.2400000000052</v>
      </c>
      <c r="Q180" s="54">
        <v>115.30000000000001</v>
      </c>
      <c r="R180" s="53">
        <f t="shared" si="8"/>
        <v>1397.25</v>
      </c>
      <c r="S180" s="51">
        <v>23380.790000000005</v>
      </c>
    </row>
    <row r="181" spans="1:19" ht="15" x14ac:dyDescent="0.25">
      <c r="A181" s="28"/>
      <c r="B181" s="45" t="str">
        <f t="shared" si="6"/>
        <v>May-2023</v>
      </c>
      <c r="C181" s="57">
        <v>45070</v>
      </c>
      <c r="D181" s="43">
        <f t="shared" si="7"/>
        <v>1042</v>
      </c>
      <c r="E181" s="76">
        <v>30</v>
      </c>
      <c r="F181" s="50">
        <v>63</v>
      </c>
      <c r="G181" s="49">
        <v>34250</v>
      </c>
      <c r="H181" s="73">
        <v>63</v>
      </c>
      <c r="I181" s="52">
        <v>63</v>
      </c>
      <c r="J181" s="51">
        <v>24251.100000000006</v>
      </c>
      <c r="K181" s="52"/>
      <c r="L181" s="51"/>
      <c r="M181" s="52">
        <v>29</v>
      </c>
      <c r="N181" s="49">
        <v>15287.53</v>
      </c>
      <c r="O181" s="75">
        <v>27</v>
      </c>
      <c r="P181" s="54">
        <v>5288.6300000000028</v>
      </c>
      <c r="Q181" s="54">
        <v>87.53</v>
      </c>
      <c r="R181" s="53">
        <f t="shared" si="8"/>
        <v>1712.5</v>
      </c>
      <c r="S181" s="51">
        <v>24251.100000000006</v>
      </c>
    </row>
    <row r="182" spans="1:19" ht="15" x14ac:dyDescent="0.25">
      <c r="A182" s="28"/>
      <c r="B182" s="45" t="str">
        <f t="shared" si="6"/>
        <v>May-2023</v>
      </c>
      <c r="C182" s="57">
        <v>45071</v>
      </c>
      <c r="D182" s="43">
        <f t="shared" si="7"/>
        <v>1041</v>
      </c>
      <c r="E182" s="76">
        <v>18</v>
      </c>
      <c r="F182" s="50">
        <v>62</v>
      </c>
      <c r="G182" s="49">
        <v>32200</v>
      </c>
      <c r="H182" s="73">
        <v>61</v>
      </c>
      <c r="I182" s="52">
        <v>62</v>
      </c>
      <c r="J182" s="51">
        <v>22503.069999999989</v>
      </c>
      <c r="K182" s="52">
        <v>2</v>
      </c>
      <c r="L182" s="51">
        <v>500.11</v>
      </c>
      <c r="M182" s="52">
        <v>41</v>
      </c>
      <c r="N182" s="49">
        <v>14639.87</v>
      </c>
      <c r="O182" s="75">
        <v>39</v>
      </c>
      <c r="P182" s="54">
        <v>4942.9400000000005</v>
      </c>
      <c r="Q182" s="54">
        <v>124.30999999999999</v>
      </c>
      <c r="R182" s="53">
        <f t="shared" si="8"/>
        <v>1610</v>
      </c>
      <c r="S182" s="51">
        <v>22503.069999999989</v>
      </c>
    </row>
    <row r="183" spans="1:19" ht="15" x14ac:dyDescent="0.25">
      <c r="A183" s="28"/>
      <c r="B183" s="45" t="str">
        <f t="shared" si="6"/>
        <v>May-2023</v>
      </c>
      <c r="C183" s="57">
        <v>45072</v>
      </c>
      <c r="D183" s="43">
        <f t="shared" si="7"/>
        <v>1040</v>
      </c>
      <c r="E183" s="76">
        <v>33</v>
      </c>
      <c r="F183" s="50">
        <v>68</v>
      </c>
      <c r="G183" s="49">
        <v>38050</v>
      </c>
      <c r="H183" s="73">
        <v>68</v>
      </c>
      <c r="I183" s="52">
        <v>68</v>
      </c>
      <c r="J183" s="51">
        <v>22140.170000000016</v>
      </c>
      <c r="K183" s="52"/>
      <c r="L183" s="51"/>
      <c r="M183" s="52">
        <v>43</v>
      </c>
      <c r="N183" s="49">
        <v>20793</v>
      </c>
      <c r="O183" s="75">
        <v>39</v>
      </c>
      <c r="P183" s="54">
        <v>4883.1699999999946</v>
      </c>
      <c r="Q183" s="54">
        <v>143</v>
      </c>
      <c r="R183" s="53">
        <f t="shared" si="8"/>
        <v>1902.5</v>
      </c>
      <c r="S183" s="51">
        <v>22140.170000000016</v>
      </c>
    </row>
    <row r="184" spans="1:19" ht="15" x14ac:dyDescent="0.25">
      <c r="A184" s="28"/>
      <c r="B184" s="45" t="str">
        <f t="shared" si="6"/>
        <v>May-2023</v>
      </c>
      <c r="C184" s="57">
        <v>45073</v>
      </c>
      <c r="D184" s="43">
        <f t="shared" si="7"/>
        <v>1039</v>
      </c>
      <c r="E184" s="76">
        <v>51</v>
      </c>
      <c r="F184" s="50">
        <v>63</v>
      </c>
      <c r="G184" s="49">
        <v>33550</v>
      </c>
      <c r="H184" s="73">
        <v>63</v>
      </c>
      <c r="I184" s="52">
        <v>63</v>
      </c>
      <c r="J184" s="51">
        <v>25173.930000000011</v>
      </c>
      <c r="K184" s="52"/>
      <c r="L184" s="51"/>
      <c r="M184" s="52">
        <v>30</v>
      </c>
      <c r="N184" s="49">
        <v>14106.1</v>
      </c>
      <c r="O184" s="75">
        <v>29</v>
      </c>
      <c r="P184" s="54">
        <v>5730.03</v>
      </c>
      <c r="Q184" s="54">
        <v>355.64</v>
      </c>
      <c r="R184" s="53">
        <f t="shared" si="8"/>
        <v>1677.5</v>
      </c>
      <c r="S184" s="51">
        <v>25173.930000000015</v>
      </c>
    </row>
    <row r="185" spans="1:19" ht="15" x14ac:dyDescent="0.25">
      <c r="A185" s="28"/>
      <c r="B185" s="45" t="str">
        <f t="shared" si="6"/>
        <v>May-2023</v>
      </c>
      <c r="C185" s="57">
        <v>45074</v>
      </c>
      <c r="D185" s="43">
        <f t="shared" si="7"/>
        <v>1038</v>
      </c>
      <c r="E185" s="76">
        <v>20</v>
      </c>
      <c r="F185" s="50">
        <v>49</v>
      </c>
      <c r="G185" s="49">
        <v>24300</v>
      </c>
      <c r="H185" s="73">
        <v>49</v>
      </c>
      <c r="I185" s="52">
        <v>49</v>
      </c>
      <c r="J185" s="51">
        <v>16930.209999999995</v>
      </c>
      <c r="K185" s="52">
        <v>1</v>
      </c>
      <c r="L185" s="51">
        <v>45</v>
      </c>
      <c r="M185" s="52">
        <v>31</v>
      </c>
      <c r="N185" s="49">
        <v>11318.86</v>
      </c>
      <c r="O185" s="75">
        <v>29</v>
      </c>
      <c r="P185" s="54">
        <v>3949.0700000000015</v>
      </c>
      <c r="Q185" s="54">
        <v>377.34000000000003</v>
      </c>
      <c r="R185" s="53">
        <f t="shared" si="8"/>
        <v>1215</v>
      </c>
      <c r="S185" s="51">
        <v>16930.209999999995</v>
      </c>
    </row>
    <row r="186" spans="1:19" ht="15" x14ac:dyDescent="0.25">
      <c r="A186" s="28"/>
      <c r="B186" s="45" t="str">
        <f t="shared" si="6"/>
        <v>May-2023</v>
      </c>
      <c r="C186" s="57">
        <v>45075</v>
      </c>
      <c r="D186" s="43">
        <f t="shared" si="7"/>
        <v>1037</v>
      </c>
      <c r="E186" s="76">
        <v>30</v>
      </c>
      <c r="F186" s="50">
        <v>63</v>
      </c>
      <c r="G186" s="49">
        <v>34650</v>
      </c>
      <c r="H186" s="73">
        <v>62</v>
      </c>
      <c r="I186" s="52">
        <v>63</v>
      </c>
      <c r="J186" s="51">
        <v>20234.070000000003</v>
      </c>
      <c r="K186" s="52">
        <v>3</v>
      </c>
      <c r="L186" s="51">
        <v>1025.1100000000001</v>
      </c>
      <c r="M186" s="52">
        <v>41</v>
      </c>
      <c r="N186" s="49">
        <v>18955.650000000001</v>
      </c>
      <c r="O186" s="75">
        <v>41</v>
      </c>
      <c r="P186" s="54">
        <v>4539.7200000000012</v>
      </c>
      <c r="Q186" s="54">
        <v>219.93</v>
      </c>
      <c r="R186" s="53">
        <f t="shared" si="8"/>
        <v>1732.5</v>
      </c>
      <c r="S186" s="51">
        <v>20234.070000000003</v>
      </c>
    </row>
    <row r="187" spans="1:19" ht="15" x14ac:dyDescent="0.25">
      <c r="A187" s="28"/>
      <c r="B187" s="45" t="str">
        <f t="shared" si="6"/>
        <v>May-2023</v>
      </c>
      <c r="C187" s="57">
        <v>45076</v>
      </c>
      <c r="D187" s="43">
        <f t="shared" si="7"/>
        <v>1036</v>
      </c>
      <c r="E187" s="76">
        <v>40</v>
      </c>
      <c r="F187" s="50">
        <v>60</v>
      </c>
      <c r="G187" s="49">
        <v>29511</v>
      </c>
      <c r="H187" s="73">
        <v>60</v>
      </c>
      <c r="I187" s="52">
        <v>60</v>
      </c>
      <c r="J187" s="51">
        <v>26415.030000000013</v>
      </c>
      <c r="K187" s="52">
        <v>1</v>
      </c>
      <c r="L187" s="51">
        <v>95</v>
      </c>
      <c r="M187" s="52">
        <v>33</v>
      </c>
      <c r="N187" s="49">
        <v>8914.36</v>
      </c>
      <c r="O187" s="75">
        <v>29</v>
      </c>
      <c r="P187" s="54">
        <v>5818.3900000000021</v>
      </c>
      <c r="Q187" s="54">
        <v>183.20999999999998</v>
      </c>
      <c r="R187" s="53">
        <f t="shared" si="8"/>
        <v>1475.5500000000002</v>
      </c>
      <c r="S187" s="51">
        <v>26415.030000000013</v>
      </c>
    </row>
    <row r="188" spans="1:19" ht="15" x14ac:dyDescent="0.25">
      <c r="A188" s="28"/>
      <c r="B188" s="45" t="str">
        <f t="shared" si="6"/>
        <v>May-2023</v>
      </c>
      <c r="C188" s="57">
        <v>45077</v>
      </c>
      <c r="D188" s="43">
        <f t="shared" si="7"/>
        <v>1035</v>
      </c>
      <c r="E188" s="76">
        <v>30</v>
      </c>
      <c r="F188" s="50">
        <v>62</v>
      </c>
      <c r="G188" s="49">
        <v>32500</v>
      </c>
      <c r="H188" s="73">
        <v>62</v>
      </c>
      <c r="I188" s="52">
        <v>62</v>
      </c>
      <c r="J188" s="51">
        <v>23443.710000000006</v>
      </c>
      <c r="K188" s="52"/>
      <c r="L188" s="51"/>
      <c r="M188" s="52">
        <v>35</v>
      </c>
      <c r="N188" s="49">
        <v>14329.29</v>
      </c>
      <c r="O188" s="75">
        <v>35</v>
      </c>
      <c r="P188" s="54">
        <v>5272.9999999999955</v>
      </c>
      <c r="Q188" s="54">
        <v>281.10000000000002</v>
      </c>
      <c r="R188" s="53">
        <f t="shared" si="8"/>
        <v>1625</v>
      </c>
      <c r="S188" s="51">
        <v>23443.710000000006</v>
      </c>
    </row>
    <row r="189" spans="1:19" ht="15" x14ac:dyDescent="0.25">
      <c r="A189" s="28"/>
      <c r="B189" s="45" t="str">
        <f t="shared" si="6"/>
        <v>Jun-2023</v>
      </c>
      <c r="C189" s="57">
        <v>45078</v>
      </c>
      <c r="D189" s="43">
        <f t="shared" si="7"/>
        <v>1034</v>
      </c>
      <c r="E189" s="76">
        <v>28</v>
      </c>
      <c r="F189" s="50">
        <v>59</v>
      </c>
      <c r="G189" s="49">
        <v>31154</v>
      </c>
      <c r="H189" s="73">
        <v>59</v>
      </c>
      <c r="I189" s="52">
        <v>59</v>
      </c>
      <c r="J189" s="51">
        <v>17345.709999999995</v>
      </c>
      <c r="K189" s="52">
        <v>2</v>
      </c>
      <c r="L189" s="51">
        <v>490</v>
      </c>
      <c r="M189" s="52">
        <v>39</v>
      </c>
      <c r="N189" s="49">
        <v>17684.04</v>
      </c>
      <c r="O189" s="75">
        <v>38</v>
      </c>
      <c r="P189" s="54">
        <v>3875.7500000000014</v>
      </c>
      <c r="Q189" s="54">
        <v>174.81000000000003</v>
      </c>
      <c r="R189" s="53">
        <f t="shared" si="8"/>
        <v>1557.7</v>
      </c>
      <c r="S189" s="51">
        <v>17345.709999999995</v>
      </c>
    </row>
    <row r="190" spans="1:19" ht="15" x14ac:dyDescent="0.25">
      <c r="A190" s="28"/>
      <c r="B190" s="45" t="str">
        <f t="shared" si="6"/>
        <v>Jun-2023</v>
      </c>
      <c r="C190" s="57">
        <v>45079</v>
      </c>
      <c r="D190" s="43">
        <f t="shared" si="7"/>
        <v>1033</v>
      </c>
      <c r="E190" s="76">
        <v>23</v>
      </c>
      <c r="F190" s="50">
        <v>57</v>
      </c>
      <c r="G190" s="49">
        <v>29675</v>
      </c>
      <c r="H190" s="73">
        <v>57</v>
      </c>
      <c r="I190" s="52">
        <v>57</v>
      </c>
      <c r="J190" s="51">
        <v>17544.519999999997</v>
      </c>
      <c r="K190" s="52"/>
      <c r="L190" s="51"/>
      <c r="M190" s="52">
        <v>49</v>
      </c>
      <c r="N190" s="49">
        <v>16184.64</v>
      </c>
      <c r="O190" s="75">
        <v>49</v>
      </c>
      <c r="P190" s="54">
        <v>4054.1600000000021</v>
      </c>
      <c r="Q190" s="54">
        <v>327.33000000000004</v>
      </c>
      <c r="R190" s="53">
        <f t="shared" si="8"/>
        <v>1483.75</v>
      </c>
      <c r="S190" s="51">
        <v>17544.52</v>
      </c>
    </row>
    <row r="191" spans="1:19" ht="15" x14ac:dyDescent="0.25">
      <c r="A191" s="28"/>
      <c r="B191" s="45" t="str">
        <f t="shared" si="6"/>
        <v>Jun-2023</v>
      </c>
      <c r="C191" s="57">
        <v>45080</v>
      </c>
      <c r="D191" s="43">
        <f t="shared" si="7"/>
        <v>1032</v>
      </c>
      <c r="E191" s="76">
        <v>227</v>
      </c>
      <c r="F191" s="50">
        <v>163</v>
      </c>
      <c r="G191" s="49">
        <v>84170</v>
      </c>
      <c r="H191" s="73">
        <v>163</v>
      </c>
      <c r="I191" s="52">
        <v>163</v>
      </c>
      <c r="J191" s="51">
        <v>62792.919999999991</v>
      </c>
      <c r="K191" s="52">
        <v>2</v>
      </c>
      <c r="L191" s="51">
        <v>950</v>
      </c>
      <c r="M191" s="52">
        <v>83</v>
      </c>
      <c r="N191" s="49">
        <v>36405.730000000003</v>
      </c>
      <c r="O191" s="75">
        <v>83</v>
      </c>
      <c r="P191" s="54">
        <v>15028.649999999981</v>
      </c>
      <c r="Q191" s="54">
        <v>1776.3099999999986</v>
      </c>
      <c r="R191" s="53">
        <f t="shared" si="8"/>
        <v>4208.5</v>
      </c>
      <c r="S191" s="51">
        <v>62792.919999999991</v>
      </c>
    </row>
    <row r="192" spans="1:19" ht="15" x14ac:dyDescent="0.25">
      <c r="A192" s="28"/>
      <c r="B192" s="45" t="str">
        <f t="shared" si="6"/>
        <v>Jun-2023</v>
      </c>
      <c r="C192" s="57">
        <v>45081</v>
      </c>
      <c r="D192" s="43">
        <f t="shared" si="7"/>
        <v>1031</v>
      </c>
      <c r="E192" s="76">
        <v>135</v>
      </c>
      <c r="F192" s="50">
        <v>115</v>
      </c>
      <c r="G192" s="49">
        <v>56455</v>
      </c>
      <c r="H192" s="73">
        <v>115</v>
      </c>
      <c r="I192" s="52">
        <v>115</v>
      </c>
      <c r="J192" s="51">
        <v>37626.049999999996</v>
      </c>
      <c r="K192" s="52"/>
      <c r="L192" s="51"/>
      <c r="M192" s="52">
        <v>98</v>
      </c>
      <c r="N192" s="49">
        <v>28200.5</v>
      </c>
      <c r="O192" s="75">
        <v>84</v>
      </c>
      <c r="P192" s="54">
        <v>9371.5500000000047</v>
      </c>
      <c r="Q192" s="54">
        <v>1416.6299999999999</v>
      </c>
      <c r="R192" s="53">
        <f t="shared" si="8"/>
        <v>2822.75</v>
      </c>
      <c r="S192" s="51">
        <v>37626.049999999988</v>
      </c>
    </row>
    <row r="193" spans="1:19" ht="15" x14ac:dyDescent="0.25">
      <c r="A193" s="28"/>
      <c r="B193" s="45" t="str">
        <f t="shared" si="6"/>
        <v>Jun-2023</v>
      </c>
      <c r="C193" s="57">
        <v>45082</v>
      </c>
      <c r="D193" s="43">
        <f t="shared" si="7"/>
        <v>1030</v>
      </c>
      <c r="E193" s="76">
        <v>68</v>
      </c>
      <c r="F193" s="50">
        <v>100</v>
      </c>
      <c r="G193" s="49">
        <v>52800</v>
      </c>
      <c r="H193" s="73">
        <v>100</v>
      </c>
      <c r="I193" s="52">
        <v>100</v>
      </c>
      <c r="J193" s="51">
        <v>41299.919999999976</v>
      </c>
      <c r="K193" s="52">
        <v>2</v>
      </c>
      <c r="L193" s="51">
        <v>576</v>
      </c>
      <c r="M193" s="52">
        <v>64</v>
      </c>
      <c r="N193" s="49">
        <v>20525.34</v>
      </c>
      <c r="O193" s="75">
        <v>54</v>
      </c>
      <c r="P193" s="54">
        <v>9025.2599999999984</v>
      </c>
      <c r="Q193" s="54">
        <v>343.92</v>
      </c>
      <c r="R193" s="53">
        <f t="shared" si="8"/>
        <v>2640</v>
      </c>
      <c r="S193" s="51">
        <v>41299.919999999969</v>
      </c>
    </row>
    <row r="194" spans="1:19" ht="15" x14ac:dyDescent="0.25">
      <c r="A194" s="28"/>
      <c r="B194" s="45" t="str">
        <f t="shared" si="6"/>
        <v>Jun-2023</v>
      </c>
      <c r="C194" s="57">
        <v>45083</v>
      </c>
      <c r="D194" s="43">
        <f t="shared" si="7"/>
        <v>1029</v>
      </c>
      <c r="E194" s="76">
        <v>42</v>
      </c>
      <c r="F194" s="50">
        <v>78</v>
      </c>
      <c r="G194" s="49">
        <v>42130</v>
      </c>
      <c r="H194" s="73">
        <v>78</v>
      </c>
      <c r="I194" s="52">
        <v>78</v>
      </c>
      <c r="J194" s="51">
        <v>29497.430000000022</v>
      </c>
      <c r="K194" s="52">
        <v>1</v>
      </c>
      <c r="L194" s="51">
        <v>450</v>
      </c>
      <c r="M194" s="52">
        <v>44</v>
      </c>
      <c r="N194" s="49">
        <v>19059.55</v>
      </c>
      <c r="O194" s="75">
        <v>42</v>
      </c>
      <c r="P194" s="54">
        <v>6426.9799999999959</v>
      </c>
      <c r="Q194" s="54">
        <v>200.79999999999998</v>
      </c>
      <c r="R194" s="53">
        <f t="shared" si="8"/>
        <v>2106.5</v>
      </c>
      <c r="S194" s="51">
        <v>29497.430000000018</v>
      </c>
    </row>
    <row r="195" spans="1:19" ht="15" x14ac:dyDescent="0.25">
      <c r="A195" s="28"/>
      <c r="B195" s="45" t="str">
        <f t="shared" si="6"/>
        <v>Jun-2023</v>
      </c>
      <c r="C195" s="57">
        <v>45084</v>
      </c>
      <c r="D195" s="43">
        <f t="shared" si="7"/>
        <v>1028</v>
      </c>
      <c r="E195" s="76">
        <v>28</v>
      </c>
      <c r="F195" s="50">
        <v>66</v>
      </c>
      <c r="G195" s="49">
        <v>34350</v>
      </c>
      <c r="H195" s="73">
        <v>66</v>
      </c>
      <c r="I195" s="52">
        <v>66</v>
      </c>
      <c r="J195" s="51">
        <v>30337.500000000015</v>
      </c>
      <c r="K195" s="52"/>
      <c r="L195" s="51"/>
      <c r="M195" s="52">
        <v>39</v>
      </c>
      <c r="N195" s="49">
        <v>10652.62</v>
      </c>
      <c r="O195" s="75">
        <v>36</v>
      </c>
      <c r="P195" s="54">
        <v>6640.1200000000053</v>
      </c>
      <c r="Q195" s="54">
        <v>247.93</v>
      </c>
      <c r="R195" s="53">
        <f t="shared" si="8"/>
        <v>1717.5</v>
      </c>
      <c r="S195" s="51">
        <v>30337.500000000015</v>
      </c>
    </row>
    <row r="196" spans="1:19" ht="15" x14ac:dyDescent="0.25">
      <c r="A196" s="28"/>
      <c r="B196" s="45" t="str">
        <f t="shared" si="6"/>
        <v>Jun-2023</v>
      </c>
      <c r="C196" s="57">
        <v>45085</v>
      </c>
      <c r="D196" s="43">
        <f t="shared" si="7"/>
        <v>1027</v>
      </c>
      <c r="E196" s="76">
        <v>29</v>
      </c>
      <c r="F196" s="50">
        <v>48</v>
      </c>
      <c r="G196" s="49">
        <v>25950</v>
      </c>
      <c r="H196" s="73">
        <v>48</v>
      </c>
      <c r="I196" s="52">
        <v>48</v>
      </c>
      <c r="J196" s="51">
        <v>16889.679999999997</v>
      </c>
      <c r="K196" s="52"/>
      <c r="L196" s="51"/>
      <c r="M196" s="52">
        <v>38</v>
      </c>
      <c r="N196" s="49">
        <v>12883.05</v>
      </c>
      <c r="O196" s="75">
        <v>34</v>
      </c>
      <c r="P196" s="54">
        <v>3822.7299999999987</v>
      </c>
      <c r="Q196" s="54">
        <v>257.07</v>
      </c>
      <c r="R196" s="53">
        <f t="shared" si="8"/>
        <v>1297.5</v>
      </c>
      <c r="S196" s="51">
        <v>16889.679999999997</v>
      </c>
    </row>
    <row r="197" spans="1:19" ht="15" x14ac:dyDescent="0.25">
      <c r="A197" s="28"/>
      <c r="B197" s="45" t="str">
        <f t="shared" ref="B197:B260" si="9">TEXT(C197,"MMM-YYYY")</f>
        <v>Jun-2023</v>
      </c>
      <c r="C197" s="57">
        <v>45086</v>
      </c>
      <c r="D197" s="43">
        <f t="shared" ref="D197:D260" si="10">$A$1-C197</f>
        <v>1026</v>
      </c>
      <c r="E197" s="76">
        <v>31</v>
      </c>
      <c r="F197" s="50">
        <v>69</v>
      </c>
      <c r="G197" s="49">
        <v>36410</v>
      </c>
      <c r="H197" s="73">
        <v>69</v>
      </c>
      <c r="I197" s="52">
        <v>69</v>
      </c>
      <c r="J197" s="51">
        <v>23308.739999999991</v>
      </c>
      <c r="K197" s="52">
        <v>4</v>
      </c>
      <c r="L197" s="51">
        <v>737.11</v>
      </c>
      <c r="M197" s="52">
        <v>46</v>
      </c>
      <c r="N197" s="49">
        <v>18135.97</v>
      </c>
      <c r="O197" s="75">
        <v>40</v>
      </c>
      <c r="P197" s="54">
        <v>5034.7100000000019</v>
      </c>
      <c r="Q197" s="54">
        <v>99.019999999999982</v>
      </c>
      <c r="R197" s="53">
        <f t="shared" ref="R197:R260" si="11">G197*5%</f>
        <v>1820.5</v>
      </c>
      <c r="S197" s="51">
        <v>23308.739999999987</v>
      </c>
    </row>
    <row r="198" spans="1:19" ht="15" x14ac:dyDescent="0.25">
      <c r="A198" s="28"/>
      <c r="B198" s="45" t="str">
        <f t="shared" si="9"/>
        <v>Jun-2023</v>
      </c>
      <c r="C198" s="57">
        <v>45087</v>
      </c>
      <c r="D198" s="43">
        <f t="shared" si="10"/>
        <v>1025</v>
      </c>
      <c r="E198" s="76">
        <v>31</v>
      </c>
      <c r="F198" s="50">
        <v>58</v>
      </c>
      <c r="G198" s="49">
        <v>29730</v>
      </c>
      <c r="H198" s="73">
        <v>58</v>
      </c>
      <c r="I198" s="52">
        <v>58</v>
      </c>
      <c r="J198" s="51">
        <v>23587.600000000002</v>
      </c>
      <c r="K198" s="52">
        <v>2</v>
      </c>
      <c r="L198" s="51">
        <v>190</v>
      </c>
      <c r="M198" s="52">
        <v>38</v>
      </c>
      <c r="N198" s="49">
        <v>11250.15</v>
      </c>
      <c r="O198" s="75">
        <v>35</v>
      </c>
      <c r="P198" s="54">
        <v>5107.7500000000018</v>
      </c>
      <c r="Q198" s="54">
        <v>108.06000000000002</v>
      </c>
      <c r="R198" s="53">
        <f t="shared" si="11"/>
        <v>1486.5</v>
      </c>
      <c r="S198" s="51">
        <v>23587.600000000006</v>
      </c>
    </row>
    <row r="199" spans="1:19" ht="15" x14ac:dyDescent="0.25">
      <c r="A199" s="28"/>
      <c r="B199" s="45" t="str">
        <f t="shared" si="9"/>
        <v>Jun-2023</v>
      </c>
      <c r="C199" s="57">
        <v>45088</v>
      </c>
      <c r="D199" s="43">
        <f t="shared" si="10"/>
        <v>1024</v>
      </c>
      <c r="E199" s="76">
        <v>25</v>
      </c>
      <c r="F199" s="50">
        <v>48</v>
      </c>
      <c r="G199" s="49">
        <v>27770</v>
      </c>
      <c r="H199" s="73">
        <v>48</v>
      </c>
      <c r="I199" s="52">
        <v>48</v>
      </c>
      <c r="J199" s="51">
        <v>14009.26</v>
      </c>
      <c r="K199" s="52">
        <v>1</v>
      </c>
      <c r="L199" s="51">
        <v>425</v>
      </c>
      <c r="M199" s="52">
        <v>33</v>
      </c>
      <c r="N199" s="49">
        <v>16954.05</v>
      </c>
      <c r="O199" s="75">
        <v>29</v>
      </c>
      <c r="P199" s="54">
        <v>3193.3100000000009</v>
      </c>
      <c r="Q199" s="54">
        <v>230.42999999999998</v>
      </c>
      <c r="R199" s="53">
        <f t="shared" si="11"/>
        <v>1388.5</v>
      </c>
      <c r="S199" s="51">
        <v>14009.259999999998</v>
      </c>
    </row>
    <row r="200" spans="1:19" ht="15" x14ac:dyDescent="0.25">
      <c r="A200" s="28"/>
      <c r="B200" s="45" t="str">
        <f t="shared" si="9"/>
        <v>Jun-2023</v>
      </c>
      <c r="C200" s="57">
        <v>45089</v>
      </c>
      <c r="D200" s="43">
        <f t="shared" si="10"/>
        <v>1023</v>
      </c>
      <c r="E200" s="76">
        <v>18</v>
      </c>
      <c r="F200" s="50">
        <v>43</v>
      </c>
      <c r="G200" s="49">
        <v>23830</v>
      </c>
      <c r="H200" s="73">
        <v>43</v>
      </c>
      <c r="I200" s="52">
        <v>43</v>
      </c>
      <c r="J200" s="51">
        <v>17966.720000000008</v>
      </c>
      <c r="K200" s="52">
        <v>1</v>
      </c>
      <c r="L200" s="51">
        <v>500.11</v>
      </c>
      <c r="M200" s="52">
        <v>17</v>
      </c>
      <c r="N200" s="49">
        <v>9722.5499999999993</v>
      </c>
      <c r="O200" s="75">
        <v>16</v>
      </c>
      <c r="P200" s="54">
        <v>3859.2699999999982</v>
      </c>
      <c r="Q200" s="54">
        <v>63.760000000000005</v>
      </c>
      <c r="R200" s="53">
        <f t="shared" si="11"/>
        <v>1191.5</v>
      </c>
      <c r="S200" s="51">
        <v>17966.720000000005</v>
      </c>
    </row>
    <row r="201" spans="1:19" ht="15" x14ac:dyDescent="0.25">
      <c r="A201" s="28"/>
      <c r="B201" s="45" t="str">
        <f t="shared" si="9"/>
        <v>Jun-2023</v>
      </c>
      <c r="C201" s="57">
        <v>45090</v>
      </c>
      <c r="D201" s="43">
        <f t="shared" si="10"/>
        <v>1022</v>
      </c>
      <c r="E201" s="76">
        <v>30</v>
      </c>
      <c r="F201" s="50">
        <v>67</v>
      </c>
      <c r="G201" s="49">
        <v>35320</v>
      </c>
      <c r="H201" s="73">
        <v>67</v>
      </c>
      <c r="I201" s="52">
        <v>67</v>
      </c>
      <c r="J201" s="51">
        <v>23914.690000000013</v>
      </c>
      <c r="K201" s="52"/>
      <c r="L201" s="51"/>
      <c r="M201" s="52">
        <v>35</v>
      </c>
      <c r="N201" s="49">
        <v>16588.439999999999</v>
      </c>
      <c r="O201" s="75">
        <v>34</v>
      </c>
      <c r="P201" s="54">
        <v>5183.1299999999992</v>
      </c>
      <c r="Q201" s="54">
        <v>128.35</v>
      </c>
      <c r="R201" s="53">
        <f t="shared" si="11"/>
        <v>1766</v>
      </c>
      <c r="S201" s="51">
        <v>23914.690000000017</v>
      </c>
    </row>
    <row r="202" spans="1:19" ht="15" x14ac:dyDescent="0.25">
      <c r="A202" s="28"/>
      <c r="B202" s="45" t="str">
        <f t="shared" si="9"/>
        <v>Jun-2023</v>
      </c>
      <c r="C202" s="57">
        <v>45091</v>
      </c>
      <c r="D202" s="43">
        <f t="shared" si="10"/>
        <v>1021</v>
      </c>
      <c r="E202" s="76">
        <v>15</v>
      </c>
      <c r="F202" s="50">
        <v>42</v>
      </c>
      <c r="G202" s="49">
        <v>23420</v>
      </c>
      <c r="H202" s="73">
        <v>42</v>
      </c>
      <c r="I202" s="52">
        <v>42</v>
      </c>
      <c r="J202" s="51">
        <v>10516.800000000003</v>
      </c>
      <c r="K202" s="52"/>
      <c r="L202" s="51"/>
      <c r="M202" s="52">
        <v>35</v>
      </c>
      <c r="N202" s="49">
        <v>15298.21</v>
      </c>
      <c r="O202" s="75">
        <v>33</v>
      </c>
      <c r="P202" s="54">
        <v>2395.0100000000002</v>
      </c>
      <c r="Q202" s="54">
        <v>186.51999999999998</v>
      </c>
      <c r="R202" s="53">
        <f t="shared" si="11"/>
        <v>1171</v>
      </c>
      <c r="S202" s="51">
        <v>10516.800000000001</v>
      </c>
    </row>
    <row r="203" spans="1:19" ht="15" x14ac:dyDescent="0.25">
      <c r="A203" s="28"/>
      <c r="B203" s="45" t="str">
        <f t="shared" si="9"/>
        <v>Jun-2023</v>
      </c>
      <c r="C203" s="57">
        <v>45092</v>
      </c>
      <c r="D203" s="43">
        <f t="shared" si="10"/>
        <v>1020</v>
      </c>
      <c r="E203" s="76">
        <v>31</v>
      </c>
      <c r="F203" s="50">
        <v>58</v>
      </c>
      <c r="G203" s="49">
        <v>31450</v>
      </c>
      <c r="H203" s="73">
        <v>58</v>
      </c>
      <c r="I203" s="52">
        <v>58</v>
      </c>
      <c r="J203" s="51">
        <v>24300.929999999993</v>
      </c>
      <c r="K203" s="52"/>
      <c r="L203" s="51"/>
      <c r="M203" s="52">
        <v>24</v>
      </c>
      <c r="N203" s="49">
        <v>12777.95</v>
      </c>
      <c r="O203" s="75">
        <v>24</v>
      </c>
      <c r="P203" s="54">
        <v>5628.8799999999983</v>
      </c>
      <c r="Q203" s="54">
        <v>541.82000000000005</v>
      </c>
      <c r="R203" s="53">
        <f t="shared" si="11"/>
        <v>1572.5</v>
      </c>
      <c r="S203" s="51">
        <v>24300.929999999993</v>
      </c>
    </row>
    <row r="204" spans="1:19" ht="15" x14ac:dyDescent="0.25">
      <c r="A204" s="28"/>
      <c r="B204" s="45" t="str">
        <f t="shared" si="9"/>
        <v>Jun-2023</v>
      </c>
      <c r="C204" s="57">
        <v>45093</v>
      </c>
      <c r="D204" s="43">
        <f t="shared" si="10"/>
        <v>1019</v>
      </c>
      <c r="E204" s="76">
        <v>51</v>
      </c>
      <c r="F204" s="50">
        <v>76</v>
      </c>
      <c r="G204" s="49">
        <v>40030</v>
      </c>
      <c r="H204" s="73">
        <v>76</v>
      </c>
      <c r="I204" s="52">
        <v>76</v>
      </c>
      <c r="J204" s="51">
        <v>35176.079999999973</v>
      </c>
      <c r="K204" s="52"/>
      <c r="L204" s="51"/>
      <c r="M204" s="52">
        <v>39</v>
      </c>
      <c r="N204" s="49">
        <v>12440.23</v>
      </c>
      <c r="O204" s="75">
        <v>37</v>
      </c>
      <c r="P204" s="54">
        <v>7586.3100000000049</v>
      </c>
      <c r="Q204" s="54">
        <v>247.21999999999997</v>
      </c>
      <c r="R204" s="53">
        <f t="shared" si="11"/>
        <v>2001.5</v>
      </c>
      <c r="S204" s="51">
        <v>35176.079999999965</v>
      </c>
    </row>
    <row r="205" spans="1:19" ht="15" x14ac:dyDescent="0.25">
      <c r="A205" s="28"/>
      <c r="B205" s="45" t="str">
        <f t="shared" si="9"/>
        <v>Jun-2023</v>
      </c>
      <c r="C205" s="57">
        <v>45094</v>
      </c>
      <c r="D205" s="43">
        <f t="shared" si="10"/>
        <v>1018</v>
      </c>
      <c r="E205" s="76">
        <v>15</v>
      </c>
      <c r="F205" s="50">
        <v>42</v>
      </c>
      <c r="G205" s="49">
        <v>22850</v>
      </c>
      <c r="H205" s="73">
        <v>42</v>
      </c>
      <c r="I205" s="52">
        <v>42</v>
      </c>
      <c r="J205" s="51">
        <v>12459.089999999998</v>
      </c>
      <c r="K205" s="52">
        <v>2</v>
      </c>
      <c r="L205" s="51">
        <v>850.11</v>
      </c>
      <c r="M205" s="52">
        <v>25</v>
      </c>
      <c r="N205" s="49">
        <v>13182.08</v>
      </c>
      <c r="O205" s="75">
        <v>25</v>
      </c>
      <c r="P205" s="54">
        <v>2791.1699999999987</v>
      </c>
      <c r="Q205" s="54">
        <v>162.85000000000002</v>
      </c>
      <c r="R205" s="53">
        <f t="shared" si="11"/>
        <v>1142.5</v>
      </c>
      <c r="S205" s="51">
        <v>12459.089999999998</v>
      </c>
    </row>
    <row r="206" spans="1:19" ht="15" x14ac:dyDescent="0.25">
      <c r="A206" s="28"/>
      <c r="B206" s="45" t="str">
        <f t="shared" si="9"/>
        <v>Jun-2023</v>
      </c>
      <c r="C206" s="57">
        <v>45095</v>
      </c>
      <c r="D206" s="43">
        <f t="shared" si="10"/>
        <v>1017</v>
      </c>
      <c r="E206" s="76">
        <v>21</v>
      </c>
      <c r="F206" s="50">
        <v>28</v>
      </c>
      <c r="G206" s="49">
        <v>14350</v>
      </c>
      <c r="H206" s="73">
        <v>28</v>
      </c>
      <c r="I206" s="52">
        <v>28</v>
      </c>
      <c r="J206" s="51">
        <v>11476.400000000001</v>
      </c>
      <c r="K206" s="52"/>
      <c r="L206" s="51"/>
      <c r="M206" s="52">
        <v>13</v>
      </c>
      <c r="N206" s="49">
        <v>5351.58</v>
      </c>
      <c r="O206" s="75">
        <v>12</v>
      </c>
      <c r="P206" s="54">
        <v>2477.9799999999991</v>
      </c>
      <c r="Q206" s="54">
        <v>62.94</v>
      </c>
      <c r="R206" s="53">
        <f t="shared" si="11"/>
        <v>717.5</v>
      </c>
      <c r="S206" s="51">
        <v>11476.400000000001</v>
      </c>
    </row>
    <row r="207" spans="1:19" ht="15" x14ac:dyDescent="0.25">
      <c r="A207" s="28"/>
      <c r="B207" s="45" t="str">
        <f t="shared" si="9"/>
        <v>Jun-2023</v>
      </c>
      <c r="C207" s="57">
        <v>45096</v>
      </c>
      <c r="D207" s="43">
        <f t="shared" si="10"/>
        <v>1016</v>
      </c>
      <c r="E207" s="76">
        <v>23</v>
      </c>
      <c r="F207" s="50">
        <v>47</v>
      </c>
      <c r="G207" s="49">
        <v>22975</v>
      </c>
      <c r="H207" s="73">
        <v>47</v>
      </c>
      <c r="I207" s="52">
        <v>47</v>
      </c>
      <c r="J207" s="51">
        <v>14087.619999999995</v>
      </c>
      <c r="K207" s="52">
        <v>1</v>
      </c>
      <c r="L207" s="51">
        <v>475</v>
      </c>
      <c r="M207" s="52">
        <v>27</v>
      </c>
      <c r="N207" s="49">
        <v>11972</v>
      </c>
      <c r="O207" s="75">
        <v>27</v>
      </c>
      <c r="P207" s="54">
        <v>3084.6200000000003</v>
      </c>
      <c r="Q207" s="54">
        <v>118.7</v>
      </c>
      <c r="R207" s="53">
        <f t="shared" si="11"/>
        <v>1148.75</v>
      </c>
      <c r="S207" s="51">
        <v>14087.619999999995</v>
      </c>
    </row>
    <row r="208" spans="1:19" ht="15" x14ac:dyDescent="0.25">
      <c r="A208" s="28"/>
      <c r="B208" s="45" t="str">
        <f t="shared" si="9"/>
        <v>Jun-2023</v>
      </c>
      <c r="C208" s="57">
        <v>45097</v>
      </c>
      <c r="D208" s="43">
        <f t="shared" si="10"/>
        <v>1015</v>
      </c>
      <c r="E208" s="76">
        <v>15</v>
      </c>
      <c r="F208" s="50">
        <v>40</v>
      </c>
      <c r="G208" s="49">
        <v>21750</v>
      </c>
      <c r="H208" s="73">
        <v>40</v>
      </c>
      <c r="I208" s="52">
        <v>40</v>
      </c>
      <c r="J208" s="51">
        <v>14596.4</v>
      </c>
      <c r="K208" s="52">
        <v>2</v>
      </c>
      <c r="L208" s="51">
        <v>520.11</v>
      </c>
      <c r="M208" s="52">
        <v>18</v>
      </c>
      <c r="N208" s="49">
        <v>10287.620000000001</v>
      </c>
      <c r="O208" s="75">
        <v>18</v>
      </c>
      <c r="P208" s="54">
        <v>3134.0199999999991</v>
      </c>
      <c r="Q208" s="54">
        <v>62.95</v>
      </c>
      <c r="R208" s="53">
        <f t="shared" si="11"/>
        <v>1087.5</v>
      </c>
      <c r="S208" s="51">
        <v>14596.4</v>
      </c>
    </row>
    <row r="209" spans="1:19" ht="15" x14ac:dyDescent="0.25">
      <c r="A209" s="28"/>
      <c r="B209" s="45" t="str">
        <f t="shared" si="9"/>
        <v>Jun-2023</v>
      </c>
      <c r="C209" s="57">
        <v>45098</v>
      </c>
      <c r="D209" s="43">
        <f t="shared" si="10"/>
        <v>1014</v>
      </c>
      <c r="E209" s="76">
        <v>22</v>
      </c>
      <c r="F209" s="50">
        <v>47</v>
      </c>
      <c r="G209" s="49">
        <v>24420</v>
      </c>
      <c r="H209" s="73">
        <v>47</v>
      </c>
      <c r="I209" s="52">
        <v>47</v>
      </c>
      <c r="J209" s="51">
        <v>17797.64000000001</v>
      </c>
      <c r="K209" s="52"/>
      <c r="L209" s="51"/>
      <c r="M209" s="52">
        <v>26</v>
      </c>
      <c r="N209" s="49">
        <v>10532.45</v>
      </c>
      <c r="O209" s="75">
        <v>26</v>
      </c>
      <c r="P209" s="54">
        <v>3910.0899999999997</v>
      </c>
      <c r="Q209" s="54">
        <v>187.45999999999998</v>
      </c>
      <c r="R209" s="53">
        <f t="shared" si="11"/>
        <v>1221</v>
      </c>
      <c r="S209" s="51">
        <v>17797.64000000001</v>
      </c>
    </row>
    <row r="210" spans="1:19" ht="15" x14ac:dyDescent="0.25">
      <c r="A210" s="28"/>
      <c r="B210" s="45" t="str">
        <f t="shared" si="9"/>
        <v>Jun-2023</v>
      </c>
      <c r="C210" s="57">
        <v>45099</v>
      </c>
      <c r="D210" s="43">
        <f t="shared" si="10"/>
        <v>1013</v>
      </c>
      <c r="E210" s="76">
        <v>27</v>
      </c>
      <c r="F210" s="50">
        <v>52</v>
      </c>
      <c r="G210" s="49">
        <v>27750</v>
      </c>
      <c r="H210" s="73">
        <v>52</v>
      </c>
      <c r="I210" s="52">
        <v>52</v>
      </c>
      <c r="J210" s="51">
        <v>18291.539999999997</v>
      </c>
      <c r="K210" s="52"/>
      <c r="L210" s="51"/>
      <c r="M210" s="52">
        <v>27</v>
      </c>
      <c r="N210" s="49">
        <v>13449.45</v>
      </c>
      <c r="O210" s="75">
        <v>27</v>
      </c>
      <c r="P210" s="54">
        <v>3990.9900000000011</v>
      </c>
      <c r="Q210" s="54">
        <v>149.44999999999999</v>
      </c>
      <c r="R210" s="53">
        <f t="shared" si="11"/>
        <v>1387.5</v>
      </c>
      <c r="S210" s="51">
        <v>18291.539999999997</v>
      </c>
    </row>
    <row r="211" spans="1:19" ht="15" x14ac:dyDescent="0.25">
      <c r="A211" s="28"/>
      <c r="B211" s="45" t="str">
        <f t="shared" si="9"/>
        <v>Jun-2023</v>
      </c>
      <c r="C211" s="57">
        <v>45100</v>
      </c>
      <c r="D211" s="43">
        <f t="shared" si="10"/>
        <v>1012</v>
      </c>
      <c r="E211" s="76">
        <v>19</v>
      </c>
      <c r="F211" s="50">
        <v>44</v>
      </c>
      <c r="G211" s="49">
        <v>23675</v>
      </c>
      <c r="H211" s="73">
        <v>44</v>
      </c>
      <c r="I211" s="52">
        <v>44</v>
      </c>
      <c r="J211" s="51">
        <v>16532.400000000005</v>
      </c>
      <c r="K211" s="52"/>
      <c r="L211" s="51"/>
      <c r="M211" s="52">
        <v>22</v>
      </c>
      <c r="N211" s="49">
        <v>10733.82</v>
      </c>
      <c r="O211" s="75">
        <v>22</v>
      </c>
      <c r="P211" s="54">
        <v>3591.2200000000007</v>
      </c>
      <c r="Q211" s="54">
        <v>132.37</v>
      </c>
      <c r="R211" s="53">
        <f t="shared" si="11"/>
        <v>1183.75</v>
      </c>
      <c r="S211" s="51">
        <v>16532.400000000005</v>
      </c>
    </row>
    <row r="212" spans="1:19" ht="15" x14ac:dyDescent="0.25">
      <c r="A212" s="28"/>
      <c r="B212" s="45" t="str">
        <f t="shared" si="9"/>
        <v>Jun-2023</v>
      </c>
      <c r="C212" s="57">
        <v>45101</v>
      </c>
      <c r="D212" s="43">
        <f t="shared" si="10"/>
        <v>1011</v>
      </c>
      <c r="E212" s="76">
        <v>29</v>
      </c>
      <c r="F212" s="50">
        <v>62</v>
      </c>
      <c r="G212" s="49">
        <v>33950</v>
      </c>
      <c r="H212" s="73">
        <v>62</v>
      </c>
      <c r="I212" s="52">
        <v>62</v>
      </c>
      <c r="J212" s="51">
        <v>24002.060000000005</v>
      </c>
      <c r="K212" s="52"/>
      <c r="L212" s="51"/>
      <c r="M212" s="52">
        <v>32</v>
      </c>
      <c r="N212" s="49">
        <v>15087.17</v>
      </c>
      <c r="O212" s="75">
        <v>29</v>
      </c>
      <c r="P212" s="54">
        <v>5139.2300000000014</v>
      </c>
      <c r="Q212" s="54">
        <v>112.17000000000002</v>
      </c>
      <c r="R212" s="53">
        <f t="shared" si="11"/>
        <v>1697.5</v>
      </c>
      <c r="S212" s="51">
        <v>24002.060000000009</v>
      </c>
    </row>
    <row r="213" spans="1:19" ht="15" x14ac:dyDescent="0.25">
      <c r="A213" s="28"/>
      <c r="B213" s="45" t="str">
        <f t="shared" si="9"/>
        <v>Jun-2023</v>
      </c>
      <c r="C213" s="57">
        <v>45102</v>
      </c>
      <c r="D213" s="43">
        <f t="shared" si="10"/>
        <v>1010</v>
      </c>
      <c r="E213" s="76">
        <v>35</v>
      </c>
      <c r="F213" s="50">
        <v>41</v>
      </c>
      <c r="G213" s="49">
        <v>21990</v>
      </c>
      <c r="H213" s="73">
        <v>41</v>
      </c>
      <c r="I213" s="52">
        <v>41</v>
      </c>
      <c r="J213" s="51">
        <v>16621.700000000004</v>
      </c>
      <c r="K213" s="52"/>
      <c r="L213" s="51"/>
      <c r="M213" s="52">
        <v>20</v>
      </c>
      <c r="N213" s="49">
        <v>8925.43</v>
      </c>
      <c r="O213" s="75">
        <v>17</v>
      </c>
      <c r="P213" s="54">
        <v>3557.1299999999983</v>
      </c>
      <c r="Q213" s="54">
        <v>83.5</v>
      </c>
      <c r="R213" s="53">
        <f t="shared" si="11"/>
        <v>1099.5</v>
      </c>
      <c r="S213" s="51">
        <v>16621.7</v>
      </c>
    </row>
    <row r="214" spans="1:19" ht="15" x14ac:dyDescent="0.25">
      <c r="A214" s="28"/>
      <c r="B214" s="45" t="str">
        <f t="shared" si="9"/>
        <v>Jun-2023</v>
      </c>
      <c r="C214" s="57">
        <v>45103</v>
      </c>
      <c r="D214" s="43">
        <f t="shared" si="10"/>
        <v>1009</v>
      </c>
      <c r="E214" s="76">
        <v>30</v>
      </c>
      <c r="F214" s="50">
        <v>53</v>
      </c>
      <c r="G214" s="49">
        <v>28190</v>
      </c>
      <c r="H214" s="73">
        <v>53</v>
      </c>
      <c r="I214" s="52">
        <v>53</v>
      </c>
      <c r="J214" s="51">
        <v>18828.549999999992</v>
      </c>
      <c r="K214" s="52"/>
      <c r="L214" s="51"/>
      <c r="M214" s="52">
        <v>22</v>
      </c>
      <c r="N214" s="49">
        <v>13467.28</v>
      </c>
      <c r="O214" s="75">
        <v>22</v>
      </c>
      <c r="P214" s="54">
        <v>4105.8300000000008</v>
      </c>
      <c r="Q214" s="54">
        <v>167.28</v>
      </c>
      <c r="R214" s="53">
        <f t="shared" si="11"/>
        <v>1409.5</v>
      </c>
      <c r="S214" s="51">
        <v>18828.549999999992</v>
      </c>
    </row>
    <row r="215" spans="1:19" ht="15" x14ac:dyDescent="0.25">
      <c r="A215" s="28"/>
      <c r="B215" s="45" t="str">
        <f t="shared" si="9"/>
        <v>Jun-2023</v>
      </c>
      <c r="C215" s="57">
        <v>45104</v>
      </c>
      <c r="D215" s="43">
        <f t="shared" si="10"/>
        <v>1008</v>
      </c>
      <c r="E215" s="76">
        <v>20</v>
      </c>
      <c r="F215" s="50">
        <v>42</v>
      </c>
      <c r="G215" s="49">
        <v>22970</v>
      </c>
      <c r="H215" s="73">
        <v>41</v>
      </c>
      <c r="I215" s="52">
        <v>42</v>
      </c>
      <c r="J215" s="51">
        <v>17718.459999999995</v>
      </c>
      <c r="K215" s="52">
        <v>2</v>
      </c>
      <c r="L215" s="51">
        <v>200.04</v>
      </c>
      <c r="M215" s="52">
        <v>17</v>
      </c>
      <c r="N215" s="49">
        <v>9108.4500000000007</v>
      </c>
      <c r="O215" s="75">
        <v>16</v>
      </c>
      <c r="P215" s="54">
        <v>3856.9100000000012</v>
      </c>
      <c r="Q215" s="54">
        <v>157.87</v>
      </c>
      <c r="R215" s="53">
        <f t="shared" si="11"/>
        <v>1148.5</v>
      </c>
      <c r="S215" s="51">
        <v>17718.459999999995</v>
      </c>
    </row>
    <row r="216" spans="1:19" ht="15" x14ac:dyDescent="0.25">
      <c r="A216" s="28"/>
      <c r="B216" s="45" t="str">
        <f t="shared" si="9"/>
        <v>Jun-2023</v>
      </c>
      <c r="C216" s="57">
        <v>45105</v>
      </c>
      <c r="D216" s="43">
        <f t="shared" si="10"/>
        <v>1007</v>
      </c>
      <c r="E216" s="76">
        <v>16</v>
      </c>
      <c r="F216" s="50">
        <v>33</v>
      </c>
      <c r="G216" s="49">
        <v>17580</v>
      </c>
      <c r="H216" s="73">
        <v>33</v>
      </c>
      <c r="I216" s="52">
        <v>33</v>
      </c>
      <c r="J216" s="51">
        <v>10714.650000000001</v>
      </c>
      <c r="K216" s="52"/>
      <c r="L216" s="51"/>
      <c r="M216" s="52">
        <v>27</v>
      </c>
      <c r="N216" s="49">
        <v>9183.68</v>
      </c>
      <c r="O216" s="75">
        <v>22</v>
      </c>
      <c r="P216" s="54">
        <v>2318.3299999999995</v>
      </c>
      <c r="Q216" s="54">
        <v>83.679999999999993</v>
      </c>
      <c r="R216" s="53">
        <f t="shared" si="11"/>
        <v>879</v>
      </c>
      <c r="S216" s="51">
        <v>10714.650000000001</v>
      </c>
    </row>
    <row r="217" spans="1:19" ht="15" x14ac:dyDescent="0.25">
      <c r="A217" s="28"/>
      <c r="B217" s="45" t="str">
        <f t="shared" si="9"/>
        <v>Jun-2023</v>
      </c>
      <c r="C217" s="57">
        <v>45106</v>
      </c>
      <c r="D217" s="43">
        <f t="shared" si="10"/>
        <v>1006</v>
      </c>
      <c r="E217" s="76">
        <v>22</v>
      </c>
      <c r="F217" s="50">
        <v>44</v>
      </c>
      <c r="G217" s="49">
        <v>23400</v>
      </c>
      <c r="H217" s="73">
        <v>44</v>
      </c>
      <c r="I217" s="52">
        <v>44</v>
      </c>
      <c r="J217" s="51">
        <v>14608.779999999999</v>
      </c>
      <c r="K217" s="52"/>
      <c r="L217" s="51"/>
      <c r="M217" s="52">
        <v>28</v>
      </c>
      <c r="N217" s="49">
        <v>11960.68</v>
      </c>
      <c r="O217" s="75">
        <v>24</v>
      </c>
      <c r="P217" s="54">
        <v>3169.4599999999996</v>
      </c>
      <c r="Q217" s="54">
        <v>120.61</v>
      </c>
      <c r="R217" s="53">
        <f t="shared" si="11"/>
        <v>1170</v>
      </c>
      <c r="S217" s="51">
        <v>14608.779999999997</v>
      </c>
    </row>
    <row r="218" spans="1:19" ht="15" x14ac:dyDescent="0.25">
      <c r="A218" s="28"/>
      <c r="B218" s="45" t="str">
        <f t="shared" si="9"/>
        <v>Jun-2023</v>
      </c>
      <c r="C218" s="57">
        <v>45107</v>
      </c>
      <c r="D218" s="43">
        <f t="shared" si="10"/>
        <v>1005</v>
      </c>
      <c r="E218" s="76">
        <v>76</v>
      </c>
      <c r="F218" s="50">
        <v>98</v>
      </c>
      <c r="G218" s="49">
        <v>49554</v>
      </c>
      <c r="H218" s="73">
        <v>98</v>
      </c>
      <c r="I218" s="52">
        <v>98</v>
      </c>
      <c r="J218" s="51">
        <v>48022.69</v>
      </c>
      <c r="K218" s="52"/>
      <c r="L218" s="51"/>
      <c r="M218" s="52">
        <v>26</v>
      </c>
      <c r="N218" s="49">
        <v>11815.4</v>
      </c>
      <c r="O218" s="75">
        <v>25</v>
      </c>
      <c r="P218" s="54">
        <v>10284.089999999997</v>
      </c>
      <c r="Q218" s="54">
        <v>275.33</v>
      </c>
      <c r="R218" s="53">
        <f t="shared" si="11"/>
        <v>2477.7000000000003</v>
      </c>
      <c r="S218" s="51">
        <v>48022.69</v>
      </c>
    </row>
    <row r="219" spans="1:19" ht="15" x14ac:dyDescent="0.25">
      <c r="A219" s="28"/>
      <c r="B219" s="45" t="str">
        <f t="shared" si="9"/>
        <v>Jul-2023</v>
      </c>
      <c r="C219" s="57">
        <v>45108</v>
      </c>
      <c r="D219" s="43">
        <f t="shared" si="10"/>
        <v>1004</v>
      </c>
      <c r="E219" s="76">
        <v>12</v>
      </c>
      <c r="F219" s="50">
        <v>35</v>
      </c>
      <c r="G219" s="49">
        <v>18900</v>
      </c>
      <c r="H219" s="73">
        <v>35</v>
      </c>
      <c r="I219" s="52">
        <v>35</v>
      </c>
      <c r="J219" s="51">
        <v>8627.7499999999982</v>
      </c>
      <c r="K219" s="52">
        <v>2</v>
      </c>
      <c r="L219" s="51">
        <v>975.11</v>
      </c>
      <c r="M219" s="52">
        <v>24</v>
      </c>
      <c r="N219" s="49">
        <v>12207.44</v>
      </c>
      <c r="O219" s="75">
        <v>24</v>
      </c>
      <c r="P219" s="54">
        <v>1935.19</v>
      </c>
      <c r="Q219" s="54">
        <v>132.55000000000001</v>
      </c>
      <c r="R219" s="53">
        <f t="shared" si="11"/>
        <v>945</v>
      </c>
      <c r="S219" s="51">
        <v>8627.7499999999982</v>
      </c>
    </row>
    <row r="220" spans="1:19" ht="15" x14ac:dyDescent="0.25">
      <c r="A220" s="28"/>
      <c r="B220" s="45" t="str">
        <f t="shared" si="9"/>
        <v>Jul-2023</v>
      </c>
      <c r="C220" s="57">
        <v>45109</v>
      </c>
      <c r="D220" s="43">
        <f t="shared" si="10"/>
        <v>1003</v>
      </c>
      <c r="E220" s="76">
        <v>13</v>
      </c>
      <c r="F220" s="50">
        <v>28</v>
      </c>
      <c r="G220" s="49">
        <v>16330</v>
      </c>
      <c r="H220" s="73">
        <v>28</v>
      </c>
      <c r="I220" s="52">
        <v>28</v>
      </c>
      <c r="J220" s="51">
        <v>8885.7500000000018</v>
      </c>
      <c r="K220" s="52"/>
      <c r="L220" s="51"/>
      <c r="M220" s="52">
        <v>14</v>
      </c>
      <c r="N220" s="49">
        <v>9417.64</v>
      </c>
      <c r="O220" s="75">
        <v>14</v>
      </c>
      <c r="P220" s="54">
        <v>1973.39</v>
      </c>
      <c r="Q220" s="54">
        <v>127.17999999999998</v>
      </c>
      <c r="R220" s="53">
        <f t="shared" si="11"/>
        <v>816.5</v>
      </c>
      <c r="S220" s="51">
        <v>8885.7500000000036</v>
      </c>
    </row>
    <row r="221" spans="1:19" ht="15" x14ac:dyDescent="0.25">
      <c r="A221" s="28"/>
      <c r="B221" s="45" t="str">
        <f t="shared" si="9"/>
        <v>Jul-2023</v>
      </c>
      <c r="C221" s="57">
        <v>45110</v>
      </c>
      <c r="D221" s="43">
        <f t="shared" si="10"/>
        <v>1002</v>
      </c>
      <c r="E221" s="76">
        <v>17</v>
      </c>
      <c r="F221" s="50">
        <v>32</v>
      </c>
      <c r="G221" s="49">
        <v>16750</v>
      </c>
      <c r="H221" s="73">
        <v>32</v>
      </c>
      <c r="I221" s="52">
        <v>32</v>
      </c>
      <c r="J221" s="51">
        <v>10853.89</v>
      </c>
      <c r="K221" s="52"/>
      <c r="L221" s="51"/>
      <c r="M221" s="52">
        <v>14</v>
      </c>
      <c r="N221" s="49">
        <v>8248.3700000000008</v>
      </c>
      <c r="O221" s="75">
        <v>14</v>
      </c>
      <c r="P221" s="54">
        <v>2352.2600000000011</v>
      </c>
      <c r="Q221" s="54">
        <v>98.36999999999999</v>
      </c>
      <c r="R221" s="53">
        <f t="shared" si="11"/>
        <v>837.5</v>
      </c>
      <c r="S221" s="51">
        <v>10853.89</v>
      </c>
    </row>
    <row r="222" spans="1:19" ht="15" x14ac:dyDescent="0.25">
      <c r="A222" s="28"/>
      <c r="B222" s="45" t="str">
        <f t="shared" si="9"/>
        <v>Jul-2023</v>
      </c>
      <c r="C222" s="57">
        <v>45111</v>
      </c>
      <c r="D222" s="43">
        <f t="shared" si="10"/>
        <v>1001</v>
      </c>
      <c r="E222" s="76">
        <v>12</v>
      </c>
      <c r="F222" s="50">
        <v>32</v>
      </c>
      <c r="G222" s="49">
        <v>17325</v>
      </c>
      <c r="H222" s="73">
        <v>32</v>
      </c>
      <c r="I222" s="52">
        <v>32</v>
      </c>
      <c r="J222" s="51">
        <v>11823.61</v>
      </c>
      <c r="K222" s="52"/>
      <c r="L222" s="51"/>
      <c r="M222" s="52">
        <v>15</v>
      </c>
      <c r="N222" s="49">
        <v>8009.25</v>
      </c>
      <c r="O222" s="75">
        <v>15</v>
      </c>
      <c r="P222" s="54">
        <v>2507.8599999999992</v>
      </c>
      <c r="Q222" s="54">
        <v>56.290000000000006</v>
      </c>
      <c r="R222" s="53">
        <f t="shared" si="11"/>
        <v>866.25</v>
      </c>
      <c r="S222" s="51">
        <v>11823.610000000002</v>
      </c>
    </row>
    <row r="223" spans="1:19" ht="15" x14ac:dyDescent="0.25">
      <c r="A223" s="28"/>
      <c r="B223" s="45" t="str">
        <f t="shared" si="9"/>
        <v>Jul-2023</v>
      </c>
      <c r="C223" s="57">
        <v>45112</v>
      </c>
      <c r="D223" s="43">
        <f t="shared" si="10"/>
        <v>1000</v>
      </c>
      <c r="E223" s="76">
        <v>28</v>
      </c>
      <c r="F223" s="50">
        <v>42</v>
      </c>
      <c r="G223" s="49">
        <v>21720</v>
      </c>
      <c r="H223" s="73">
        <v>42</v>
      </c>
      <c r="I223" s="52">
        <v>42</v>
      </c>
      <c r="J223" s="51">
        <v>16790.10999999999</v>
      </c>
      <c r="K223" s="52"/>
      <c r="L223" s="51"/>
      <c r="M223" s="52">
        <v>24</v>
      </c>
      <c r="N223" s="49">
        <v>8525.3700000000008</v>
      </c>
      <c r="O223" s="75">
        <v>20</v>
      </c>
      <c r="P223" s="54">
        <v>3595.4800000000018</v>
      </c>
      <c r="Q223" s="54">
        <v>105.36999999999999</v>
      </c>
      <c r="R223" s="53">
        <f t="shared" si="11"/>
        <v>1086</v>
      </c>
      <c r="S223" s="51">
        <v>16790.109999999993</v>
      </c>
    </row>
    <row r="224" spans="1:19" ht="15" x14ac:dyDescent="0.25">
      <c r="A224" s="28"/>
      <c r="B224" s="45" t="str">
        <f t="shared" si="9"/>
        <v>Jul-2023</v>
      </c>
      <c r="C224" s="57">
        <v>45113</v>
      </c>
      <c r="D224" s="43">
        <f t="shared" si="10"/>
        <v>999</v>
      </c>
      <c r="E224" s="76">
        <v>17</v>
      </c>
      <c r="F224" s="50">
        <v>30</v>
      </c>
      <c r="G224" s="49">
        <v>15950</v>
      </c>
      <c r="H224" s="73">
        <v>30</v>
      </c>
      <c r="I224" s="52">
        <v>30</v>
      </c>
      <c r="J224" s="51">
        <v>8834</v>
      </c>
      <c r="K224" s="52">
        <v>5</v>
      </c>
      <c r="L224" s="51">
        <v>575.02</v>
      </c>
      <c r="M224" s="52">
        <v>22</v>
      </c>
      <c r="N224" s="49">
        <v>9024.86</v>
      </c>
      <c r="O224" s="75">
        <v>18</v>
      </c>
      <c r="P224" s="54">
        <v>1908.8600000000001</v>
      </c>
      <c r="Q224" s="54">
        <v>74.859999999999985</v>
      </c>
      <c r="R224" s="53">
        <f t="shared" si="11"/>
        <v>797.5</v>
      </c>
      <c r="S224" s="51">
        <v>8834</v>
      </c>
    </row>
    <row r="225" spans="1:19" ht="15" x14ac:dyDescent="0.25">
      <c r="A225" s="28"/>
      <c r="B225" s="45" t="str">
        <f t="shared" si="9"/>
        <v>Jul-2023</v>
      </c>
      <c r="C225" s="57">
        <v>45114</v>
      </c>
      <c r="D225" s="43">
        <f t="shared" si="10"/>
        <v>998</v>
      </c>
      <c r="E225" s="76">
        <v>25</v>
      </c>
      <c r="F225" s="50">
        <v>34</v>
      </c>
      <c r="G225" s="49">
        <v>16250</v>
      </c>
      <c r="H225" s="73">
        <v>34</v>
      </c>
      <c r="I225" s="52">
        <v>34</v>
      </c>
      <c r="J225" s="51">
        <v>13438.630000000005</v>
      </c>
      <c r="K225" s="52"/>
      <c r="L225" s="51"/>
      <c r="M225" s="52">
        <v>18</v>
      </c>
      <c r="N225" s="49">
        <v>5656.82</v>
      </c>
      <c r="O225" s="75">
        <v>16</v>
      </c>
      <c r="P225" s="54">
        <v>2845.4499999999985</v>
      </c>
      <c r="Q225" s="54">
        <v>56.82</v>
      </c>
      <c r="R225" s="53">
        <f t="shared" si="11"/>
        <v>812.5</v>
      </c>
      <c r="S225" s="51">
        <v>13438.630000000005</v>
      </c>
    </row>
    <row r="226" spans="1:19" ht="15" x14ac:dyDescent="0.25">
      <c r="A226" s="28"/>
      <c r="B226" s="45" t="str">
        <f t="shared" si="9"/>
        <v>Jul-2023</v>
      </c>
      <c r="C226" s="57">
        <v>45115</v>
      </c>
      <c r="D226" s="43">
        <f t="shared" si="10"/>
        <v>997</v>
      </c>
      <c r="E226" s="76">
        <v>15</v>
      </c>
      <c r="F226" s="50">
        <v>27</v>
      </c>
      <c r="G226" s="49">
        <v>18800</v>
      </c>
      <c r="H226" s="73">
        <v>27</v>
      </c>
      <c r="I226" s="52">
        <v>27</v>
      </c>
      <c r="J226" s="51">
        <v>7091.5599999999995</v>
      </c>
      <c r="K226" s="52"/>
      <c r="L226" s="51"/>
      <c r="M226" s="52">
        <v>38</v>
      </c>
      <c r="N226" s="49">
        <v>13272.75</v>
      </c>
      <c r="O226" s="75">
        <v>38</v>
      </c>
      <c r="P226" s="54">
        <v>1564.31</v>
      </c>
      <c r="Q226" s="54">
        <v>147.86000000000004</v>
      </c>
      <c r="R226" s="53">
        <f t="shared" si="11"/>
        <v>940</v>
      </c>
      <c r="S226" s="51">
        <v>7091.5599999999995</v>
      </c>
    </row>
    <row r="227" spans="1:19" ht="15" x14ac:dyDescent="0.25">
      <c r="A227" s="28"/>
      <c r="B227" s="45" t="str">
        <f t="shared" si="9"/>
        <v>Jul-2023</v>
      </c>
      <c r="C227" s="57">
        <v>45116</v>
      </c>
      <c r="D227" s="43">
        <f t="shared" si="10"/>
        <v>996</v>
      </c>
      <c r="E227" s="76">
        <v>13</v>
      </c>
      <c r="F227" s="50">
        <v>25</v>
      </c>
      <c r="G227" s="49">
        <v>13630</v>
      </c>
      <c r="H227" s="73">
        <v>25</v>
      </c>
      <c r="I227" s="52">
        <v>25</v>
      </c>
      <c r="J227" s="51">
        <v>6341.6699999999992</v>
      </c>
      <c r="K227" s="52">
        <v>1</v>
      </c>
      <c r="L227" s="51">
        <v>5</v>
      </c>
      <c r="M227" s="52">
        <v>18</v>
      </c>
      <c r="N227" s="49">
        <v>8695.27</v>
      </c>
      <c r="O227" s="75">
        <v>18</v>
      </c>
      <c r="P227" s="54">
        <v>1406.9400000000003</v>
      </c>
      <c r="Q227" s="54">
        <v>90.82</v>
      </c>
      <c r="R227" s="53">
        <f t="shared" si="11"/>
        <v>681.5</v>
      </c>
      <c r="S227" s="51">
        <v>6341.6699999999992</v>
      </c>
    </row>
    <row r="228" spans="1:19" ht="15" x14ac:dyDescent="0.25">
      <c r="A228" s="28"/>
      <c r="B228" s="45" t="str">
        <f t="shared" si="9"/>
        <v>Jul-2023</v>
      </c>
      <c r="C228" s="57">
        <v>45117</v>
      </c>
      <c r="D228" s="43">
        <f t="shared" si="10"/>
        <v>995</v>
      </c>
      <c r="E228" s="76">
        <v>16</v>
      </c>
      <c r="F228" s="50">
        <v>50</v>
      </c>
      <c r="G228" s="49">
        <v>28140</v>
      </c>
      <c r="H228" s="73">
        <v>50</v>
      </c>
      <c r="I228" s="52">
        <v>50</v>
      </c>
      <c r="J228" s="51">
        <v>20165.509999999991</v>
      </c>
      <c r="K228" s="52"/>
      <c r="L228" s="51"/>
      <c r="M228" s="52">
        <v>20</v>
      </c>
      <c r="N228" s="49">
        <v>12240.54</v>
      </c>
      <c r="O228" s="75">
        <v>19</v>
      </c>
      <c r="P228" s="54">
        <v>4266.05</v>
      </c>
      <c r="Q228" s="54">
        <v>90.539999999999992</v>
      </c>
      <c r="R228" s="53">
        <f t="shared" si="11"/>
        <v>1407</v>
      </c>
      <c r="S228" s="51">
        <v>20165.509999999991</v>
      </c>
    </row>
    <row r="229" spans="1:19" ht="15" x14ac:dyDescent="0.25">
      <c r="A229" s="28"/>
      <c r="B229" s="45" t="str">
        <f t="shared" si="9"/>
        <v>Jul-2023</v>
      </c>
      <c r="C229" s="57">
        <v>45118</v>
      </c>
      <c r="D229" s="43">
        <f t="shared" si="10"/>
        <v>994</v>
      </c>
      <c r="E229" s="76">
        <v>43</v>
      </c>
      <c r="F229" s="50">
        <v>69</v>
      </c>
      <c r="G229" s="49">
        <v>37850</v>
      </c>
      <c r="H229" s="73">
        <v>69</v>
      </c>
      <c r="I229" s="52">
        <v>69</v>
      </c>
      <c r="J229" s="51">
        <v>28732.199999999983</v>
      </c>
      <c r="K229" s="52">
        <v>1</v>
      </c>
      <c r="L229" s="51">
        <v>450</v>
      </c>
      <c r="M229" s="52">
        <v>39</v>
      </c>
      <c r="N229" s="49">
        <v>15242.18</v>
      </c>
      <c r="O229" s="75">
        <v>36</v>
      </c>
      <c r="P229" s="54">
        <v>6124.380000000001</v>
      </c>
      <c r="Q229" s="54">
        <v>192.29</v>
      </c>
      <c r="R229" s="53">
        <f t="shared" si="11"/>
        <v>1892.5</v>
      </c>
      <c r="S229" s="51">
        <v>28732.199999999983</v>
      </c>
    </row>
    <row r="230" spans="1:19" ht="15" x14ac:dyDescent="0.25">
      <c r="A230" s="28"/>
      <c r="B230" s="45" t="str">
        <f t="shared" si="9"/>
        <v>Jul-2023</v>
      </c>
      <c r="C230" s="57">
        <v>45119</v>
      </c>
      <c r="D230" s="43">
        <f t="shared" si="10"/>
        <v>993</v>
      </c>
      <c r="E230" s="76">
        <v>18</v>
      </c>
      <c r="F230" s="50">
        <v>25</v>
      </c>
      <c r="G230" s="49">
        <v>13050</v>
      </c>
      <c r="H230" s="73">
        <v>25</v>
      </c>
      <c r="I230" s="52">
        <v>25</v>
      </c>
      <c r="J230" s="51">
        <v>11461.209999999997</v>
      </c>
      <c r="K230" s="52"/>
      <c r="L230" s="51"/>
      <c r="M230" s="52">
        <v>11</v>
      </c>
      <c r="N230" s="49">
        <v>3986.38</v>
      </c>
      <c r="O230" s="75">
        <v>10</v>
      </c>
      <c r="P230" s="54">
        <v>2397.5899999999997</v>
      </c>
      <c r="Q230" s="54">
        <v>27.59</v>
      </c>
      <c r="R230" s="53">
        <f t="shared" si="11"/>
        <v>652.5</v>
      </c>
      <c r="S230" s="51">
        <v>11461.21</v>
      </c>
    </row>
    <row r="231" spans="1:19" ht="15" x14ac:dyDescent="0.25">
      <c r="A231" s="28"/>
      <c r="B231" s="45" t="str">
        <f t="shared" si="9"/>
        <v>Jul-2023</v>
      </c>
      <c r="C231" s="57">
        <v>45120</v>
      </c>
      <c r="D231" s="43">
        <f t="shared" si="10"/>
        <v>992</v>
      </c>
      <c r="E231" s="76">
        <v>10</v>
      </c>
      <c r="F231" s="50">
        <v>24</v>
      </c>
      <c r="G231" s="49">
        <v>13000</v>
      </c>
      <c r="H231" s="73">
        <v>24</v>
      </c>
      <c r="I231" s="52">
        <v>24</v>
      </c>
      <c r="J231" s="51">
        <v>7040.0500000000011</v>
      </c>
      <c r="K231" s="52"/>
      <c r="L231" s="51"/>
      <c r="M231" s="52">
        <v>17</v>
      </c>
      <c r="N231" s="49">
        <v>7487.08</v>
      </c>
      <c r="O231" s="75">
        <v>17</v>
      </c>
      <c r="P231" s="54">
        <v>1527.1299999999999</v>
      </c>
      <c r="Q231" s="54">
        <v>71.36</v>
      </c>
      <c r="R231" s="53">
        <f t="shared" si="11"/>
        <v>650</v>
      </c>
      <c r="S231" s="51">
        <v>7040.0500000000011</v>
      </c>
    </row>
    <row r="232" spans="1:19" ht="15" x14ac:dyDescent="0.25">
      <c r="A232" s="28"/>
      <c r="B232" s="45" t="str">
        <f t="shared" si="9"/>
        <v>Jul-2023</v>
      </c>
      <c r="C232" s="57">
        <v>45121</v>
      </c>
      <c r="D232" s="43">
        <f t="shared" si="10"/>
        <v>991</v>
      </c>
      <c r="E232" s="76">
        <v>3</v>
      </c>
      <c r="F232" s="50">
        <v>22</v>
      </c>
      <c r="G232" s="49">
        <v>12953</v>
      </c>
      <c r="H232" s="73">
        <v>22</v>
      </c>
      <c r="I232" s="52">
        <v>22</v>
      </c>
      <c r="J232" s="51">
        <v>5485.06</v>
      </c>
      <c r="K232" s="52"/>
      <c r="L232" s="51"/>
      <c r="M232" s="52">
        <v>27</v>
      </c>
      <c r="N232" s="49">
        <v>8671.08</v>
      </c>
      <c r="O232" s="75">
        <v>27</v>
      </c>
      <c r="P232" s="54">
        <v>1203.1399999999999</v>
      </c>
      <c r="Q232" s="54">
        <v>90.06</v>
      </c>
      <c r="R232" s="53">
        <f t="shared" si="11"/>
        <v>647.65000000000009</v>
      </c>
      <c r="S232" s="51">
        <v>5485.06</v>
      </c>
    </row>
    <row r="233" spans="1:19" ht="15" x14ac:dyDescent="0.25">
      <c r="A233" s="28"/>
      <c r="B233" s="45" t="str">
        <f t="shared" si="9"/>
        <v>Jul-2023</v>
      </c>
      <c r="C233" s="57">
        <v>45122</v>
      </c>
      <c r="D233" s="43">
        <f t="shared" si="10"/>
        <v>990</v>
      </c>
      <c r="E233" s="76">
        <v>15</v>
      </c>
      <c r="F233" s="50">
        <v>34</v>
      </c>
      <c r="G233" s="49">
        <v>17250</v>
      </c>
      <c r="H233" s="73">
        <v>34</v>
      </c>
      <c r="I233" s="52">
        <v>34</v>
      </c>
      <c r="J233" s="51">
        <v>10768.37</v>
      </c>
      <c r="K233" s="52">
        <v>1</v>
      </c>
      <c r="L233" s="51">
        <v>300</v>
      </c>
      <c r="M233" s="52">
        <v>22</v>
      </c>
      <c r="N233" s="49">
        <v>8851.68</v>
      </c>
      <c r="O233" s="75">
        <v>21</v>
      </c>
      <c r="P233" s="54">
        <v>2370.0499999999997</v>
      </c>
      <c r="Q233" s="54">
        <v>155.47999999999999</v>
      </c>
      <c r="R233" s="53">
        <f t="shared" si="11"/>
        <v>862.5</v>
      </c>
      <c r="S233" s="51">
        <v>10768.37</v>
      </c>
    </row>
    <row r="234" spans="1:19" ht="15" x14ac:dyDescent="0.25">
      <c r="A234" s="28"/>
      <c r="B234" s="45" t="str">
        <f t="shared" si="9"/>
        <v>Jul-2023</v>
      </c>
      <c r="C234" s="57">
        <v>45123</v>
      </c>
      <c r="D234" s="43">
        <f t="shared" si="10"/>
        <v>989</v>
      </c>
      <c r="E234" s="76">
        <v>15</v>
      </c>
      <c r="F234" s="50">
        <v>33</v>
      </c>
      <c r="G234" s="49">
        <v>18595</v>
      </c>
      <c r="H234" s="73">
        <v>33</v>
      </c>
      <c r="I234" s="52">
        <v>33</v>
      </c>
      <c r="J234" s="51">
        <v>6221.9999999999991</v>
      </c>
      <c r="K234" s="52">
        <v>3</v>
      </c>
      <c r="L234" s="51">
        <v>1500.33</v>
      </c>
      <c r="M234" s="52">
        <v>31</v>
      </c>
      <c r="N234" s="49">
        <v>13720.74</v>
      </c>
      <c r="O234" s="75">
        <v>30</v>
      </c>
      <c r="P234" s="54">
        <v>1347.7400000000002</v>
      </c>
      <c r="Q234" s="54">
        <v>70.739999999999981</v>
      </c>
      <c r="R234" s="53">
        <f t="shared" si="11"/>
        <v>929.75</v>
      </c>
      <c r="S234" s="51">
        <v>6221.9999999999991</v>
      </c>
    </row>
    <row r="235" spans="1:19" ht="15" x14ac:dyDescent="0.25">
      <c r="A235" s="28"/>
      <c r="B235" s="45" t="str">
        <f t="shared" si="9"/>
        <v>Jul-2023</v>
      </c>
      <c r="C235" s="57">
        <v>45124</v>
      </c>
      <c r="D235" s="43">
        <f t="shared" si="10"/>
        <v>988</v>
      </c>
      <c r="E235" s="76">
        <v>20</v>
      </c>
      <c r="F235" s="50">
        <v>34</v>
      </c>
      <c r="G235" s="49">
        <v>18600</v>
      </c>
      <c r="H235" s="73">
        <v>33</v>
      </c>
      <c r="I235" s="52">
        <v>34</v>
      </c>
      <c r="J235" s="51">
        <v>11961.829999999998</v>
      </c>
      <c r="K235" s="52">
        <v>1</v>
      </c>
      <c r="L235" s="51">
        <v>500.11</v>
      </c>
      <c r="M235" s="52">
        <v>15</v>
      </c>
      <c r="N235" s="49">
        <v>9205.99</v>
      </c>
      <c r="O235" s="75">
        <v>15</v>
      </c>
      <c r="P235" s="54">
        <v>2567.8199999999993</v>
      </c>
      <c r="Q235" s="54">
        <v>105.99000000000001</v>
      </c>
      <c r="R235" s="53">
        <f t="shared" si="11"/>
        <v>930</v>
      </c>
      <c r="S235" s="51">
        <v>11961.829999999998</v>
      </c>
    </row>
    <row r="236" spans="1:19" ht="15" x14ac:dyDescent="0.25">
      <c r="A236" s="28"/>
      <c r="B236" s="45" t="str">
        <f t="shared" si="9"/>
        <v>Jul-2023</v>
      </c>
      <c r="C236" s="57">
        <v>45125</v>
      </c>
      <c r="D236" s="43">
        <f t="shared" si="10"/>
        <v>987</v>
      </c>
      <c r="E236" s="76">
        <v>14</v>
      </c>
      <c r="F236" s="50">
        <v>25</v>
      </c>
      <c r="G236" s="49">
        <v>12909</v>
      </c>
      <c r="H236" s="73">
        <v>25</v>
      </c>
      <c r="I236" s="52">
        <v>25</v>
      </c>
      <c r="J236" s="51">
        <v>6840.340000000002</v>
      </c>
      <c r="K236" s="52">
        <v>1</v>
      </c>
      <c r="L236" s="51">
        <v>500.11</v>
      </c>
      <c r="M236" s="52">
        <v>19</v>
      </c>
      <c r="N236" s="49">
        <v>7512.25</v>
      </c>
      <c r="O236" s="75">
        <v>18</v>
      </c>
      <c r="P236" s="54">
        <v>1443.5900000000004</v>
      </c>
      <c r="Q236" s="54">
        <v>34.870000000000005</v>
      </c>
      <c r="R236" s="53">
        <f t="shared" si="11"/>
        <v>645.45000000000005</v>
      </c>
      <c r="S236" s="51">
        <v>6840.340000000002</v>
      </c>
    </row>
    <row r="237" spans="1:19" ht="15" x14ac:dyDescent="0.25">
      <c r="A237" s="28"/>
      <c r="B237" s="45" t="str">
        <f t="shared" si="9"/>
        <v>Jul-2023</v>
      </c>
      <c r="C237" s="57">
        <v>45126</v>
      </c>
      <c r="D237" s="43">
        <f t="shared" si="10"/>
        <v>986</v>
      </c>
      <c r="E237" s="76">
        <v>20</v>
      </c>
      <c r="F237" s="50">
        <v>32</v>
      </c>
      <c r="G237" s="49">
        <v>17550</v>
      </c>
      <c r="H237" s="73">
        <v>32</v>
      </c>
      <c r="I237" s="52">
        <v>32</v>
      </c>
      <c r="J237" s="51">
        <v>10573.329999999994</v>
      </c>
      <c r="K237" s="52"/>
      <c r="L237" s="51"/>
      <c r="M237" s="52">
        <v>17</v>
      </c>
      <c r="N237" s="49">
        <v>9299.91</v>
      </c>
      <c r="O237" s="75">
        <v>16</v>
      </c>
      <c r="P237" s="54">
        <v>2323.2399999999993</v>
      </c>
      <c r="Q237" s="54">
        <v>157.23999999999998</v>
      </c>
      <c r="R237" s="53">
        <f t="shared" si="11"/>
        <v>877.5</v>
      </c>
      <c r="S237" s="51">
        <v>10573.329999999996</v>
      </c>
    </row>
    <row r="238" spans="1:19" ht="15" x14ac:dyDescent="0.25">
      <c r="A238" s="28"/>
      <c r="B238" s="45" t="str">
        <f t="shared" si="9"/>
        <v>Jul-2023</v>
      </c>
      <c r="C238" s="57">
        <v>45127</v>
      </c>
      <c r="D238" s="43">
        <f t="shared" si="10"/>
        <v>985</v>
      </c>
      <c r="E238" s="76">
        <v>8</v>
      </c>
      <c r="F238" s="50">
        <v>31</v>
      </c>
      <c r="G238" s="49">
        <v>16650</v>
      </c>
      <c r="H238" s="73">
        <v>30</v>
      </c>
      <c r="I238" s="52">
        <v>31</v>
      </c>
      <c r="J238" s="51">
        <v>9248.010000000002</v>
      </c>
      <c r="K238" s="52">
        <v>2</v>
      </c>
      <c r="L238" s="51">
        <v>1000.22</v>
      </c>
      <c r="M238" s="52">
        <v>16</v>
      </c>
      <c r="N238" s="49">
        <v>9358.0499999999993</v>
      </c>
      <c r="O238" s="75">
        <v>16</v>
      </c>
      <c r="P238" s="54">
        <v>1956.0600000000006</v>
      </c>
      <c r="Q238" s="54">
        <v>58.05</v>
      </c>
      <c r="R238" s="53">
        <f t="shared" si="11"/>
        <v>832.5</v>
      </c>
      <c r="S238" s="51">
        <v>9248.01</v>
      </c>
    </row>
    <row r="239" spans="1:19" ht="15" x14ac:dyDescent="0.25">
      <c r="A239" s="28"/>
      <c r="B239" s="45" t="str">
        <f t="shared" si="9"/>
        <v>Jul-2023</v>
      </c>
      <c r="C239" s="57">
        <v>45128</v>
      </c>
      <c r="D239" s="43">
        <f t="shared" si="10"/>
        <v>984</v>
      </c>
      <c r="E239" s="76">
        <v>12</v>
      </c>
      <c r="F239" s="50">
        <v>38</v>
      </c>
      <c r="G239" s="49">
        <v>20900</v>
      </c>
      <c r="H239" s="73">
        <v>38</v>
      </c>
      <c r="I239" s="52">
        <v>38</v>
      </c>
      <c r="J239" s="51">
        <v>11053.859999999997</v>
      </c>
      <c r="K239" s="52"/>
      <c r="L239" s="51"/>
      <c r="M239" s="52">
        <v>37</v>
      </c>
      <c r="N239" s="49">
        <v>12248.98</v>
      </c>
      <c r="O239" s="75">
        <v>33</v>
      </c>
      <c r="P239" s="54">
        <v>2402.8399999999997</v>
      </c>
      <c r="Q239" s="54">
        <v>133.05000000000001</v>
      </c>
      <c r="R239" s="53">
        <f t="shared" si="11"/>
        <v>1045</v>
      </c>
      <c r="S239" s="51">
        <v>11053.859999999997</v>
      </c>
    </row>
    <row r="240" spans="1:19" ht="15" x14ac:dyDescent="0.25">
      <c r="A240" s="28"/>
      <c r="B240" s="45" t="str">
        <f t="shared" si="9"/>
        <v>Jul-2023</v>
      </c>
      <c r="C240" s="57">
        <v>45129</v>
      </c>
      <c r="D240" s="43">
        <f t="shared" si="10"/>
        <v>983</v>
      </c>
      <c r="E240" s="76">
        <v>15</v>
      </c>
      <c r="F240" s="50">
        <v>35</v>
      </c>
      <c r="G240" s="49">
        <v>19040</v>
      </c>
      <c r="H240" s="73">
        <v>35</v>
      </c>
      <c r="I240" s="52">
        <v>35</v>
      </c>
      <c r="J240" s="51">
        <v>10276.4</v>
      </c>
      <c r="K240" s="52"/>
      <c r="L240" s="51"/>
      <c r="M240" s="52">
        <v>21</v>
      </c>
      <c r="N240" s="49">
        <v>11026.85</v>
      </c>
      <c r="O240" s="75">
        <v>20</v>
      </c>
      <c r="P240" s="54">
        <v>2263.2500000000014</v>
      </c>
      <c r="Q240" s="54">
        <v>180.63</v>
      </c>
      <c r="R240" s="53">
        <f t="shared" si="11"/>
        <v>952</v>
      </c>
      <c r="S240" s="51">
        <v>10276.4</v>
      </c>
    </row>
    <row r="241" spans="1:19" ht="15" x14ac:dyDescent="0.25">
      <c r="A241" s="28"/>
      <c r="B241" s="45" t="str">
        <f t="shared" si="9"/>
        <v>Jul-2023</v>
      </c>
      <c r="C241" s="57">
        <v>45130</v>
      </c>
      <c r="D241" s="43">
        <f t="shared" si="10"/>
        <v>982</v>
      </c>
      <c r="E241" s="76">
        <v>12</v>
      </c>
      <c r="F241" s="50">
        <v>20</v>
      </c>
      <c r="G241" s="49">
        <v>11470</v>
      </c>
      <c r="H241" s="73">
        <v>20</v>
      </c>
      <c r="I241" s="52">
        <v>20</v>
      </c>
      <c r="J241" s="51">
        <v>3872.0399999999995</v>
      </c>
      <c r="K241" s="52">
        <v>1</v>
      </c>
      <c r="L241" s="51">
        <v>475</v>
      </c>
      <c r="M241" s="52">
        <v>17</v>
      </c>
      <c r="N241" s="49">
        <v>8548.2900000000009</v>
      </c>
      <c r="O241" s="75">
        <v>17</v>
      </c>
      <c r="P241" s="54">
        <v>950.32999999999959</v>
      </c>
      <c r="Q241" s="54">
        <v>160.20999999999998</v>
      </c>
      <c r="R241" s="53">
        <f t="shared" si="11"/>
        <v>573.5</v>
      </c>
      <c r="S241" s="51">
        <v>3872.04</v>
      </c>
    </row>
    <row r="242" spans="1:19" ht="15" x14ac:dyDescent="0.25">
      <c r="A242" s="28"/>
      <c r="B242" s="45" t="str">
        <f t="shared" si="9"/>
        <v>Jul-2023</v>
      </c>
      <c r="C242" s="57">
        <v>45131</v>
      </c>
      <c r="D242" s="43">
        <f t="shared" si="10"/>
        <v>981</v>
      </c>
      <c r="E242" s="76">
        <v>10</v>
      </c>
      <c r="F242" s="50">
        <v>30</v>
      </c>
      <c r="G242" s="49">
        <v>16800</v>
      </c>
      <c r="H242" s="73">
        <v>30</v>
      </c>
      <c r="I242" s="52">
        <v>30</v>
      </c>
      <c r="J242" s="51">
        <v>7418.5399999999991</v>
      </c>
      <c r="K242" s="52">
        <v>4</v>
      </c>
      <c r="L242" s="51">
        <v>950</v>
      </c>
      <c r="M242" s="52">
        <v>29</v>
      </c>
      <c r="N242" s="49">
        <v>10987.96</v>
      </c>
      <c r="O242" s="75">
        <v>27</v>
      </c>
      <c r="P242" s="54">
        <v>1606.5000000000002</v>
      </c>
      <c r="Q242" s="54">
        <v>113.33</v>
      </c>
      <c r="R242" s="53">
        <f t="shared" si="11"/>
        <v>840</v>
      </c>
      <c r="S242" s="51">
        <v>7418.5399999999991</v>
      </c>
    </row>
    <row r="243" spans="1:19" ht="15" x14ac:dyDescent="0.25">
      <c r="A243" s="28"/>
      <c r="B243" s="45" t="str">
        <f t="shared" si="9"/>
        <v>Jul-2023</v>
      </c>
      <c r="C243" s="57">
        <v>45132</v>
      </c>
      <c r="D243" s="43">
        <f t="shared" si="10"/>
        <v>980</v>
      </c>
      <c r="E243" s="76">
        <v>17</v>
      </c>
      <c r="F243" s="50">
        <v>23</v>
      </c>
      <c r="G243" s="49">
        <v>12500</v>
      </c>
      <c r="H243" s="73">
        <v>23</v>
      </c>
      <c r="I243" s="52">
        <v>23</v>
      </c>
      <c r="J243" s="51">
        <v>7412.7799999999979</v>
      </c>
      <c r="K243" s="52"/>
      <c r="L243" s="51"/>
      <c r="M243" s="52">
        <v>16</v>
      </c>
      <c r="N243" s="49">
        <v>6713.37</v>
      </c>
      <c r="O243" s="75">
        <v>16</v>
      </c>
      <c r="P243" s="54">
        <v>1626.1500000000003</v>
      </c>
      <c r="Q243" s="54">
        <v>113.36999999999999</v>
      </c>
      <c r="R243" s="53">
        <f t="shared" si="11"/>
        <v>625</v>
      </c>
      <c r="S243" s="51">
        <v>7412.7799999999979</v>
      </c>
    </row>
    <row r="244" spans="1:19" ht="15" x14ac:dyDescent="0.25">
      <c r="A244" s="28"/>
      <c r="B244" s="45" t="str">
        <f t="shared" si="9"/>
        <v>Jul-2023</v>
      </c>
      <c r="C244" s="57">
        <v>45133</v>
      </c>
      <c r="D244" s="43">
        <f t="shared" si="10"/>
        <v>979</v>
      </c>
      <c r="E244" s="76">
        <v>12</v>
      </c>
      <c r="F244" s="50">
        <v>17</v>
      </c>
      <c r="G244" s="49">
        <v>9650</v>
      </c>
      <c r="H244" s="73">
        <v>17</v>
      </c>
      <c r="I244" s="52">
        <v>17</v>
      </c>
      <c r="J244" s="51">
        <v>6094.5499999999993</v>
      </c>
      <c r="K244" s="52"/>
      <c r="L244" s="51"/>
      <c r="M244" s="52">
        <v>13</v>
      </c>
      <c r="N244" s="49">
        <v>4878.8</v>
      </c>
      <c r="O244" s="75">
        <v>11</v>
      </c>
      <c r="P244" s="54">
        <v>1323.3500000000001</v>
      </c>
      <c r="Q244" s="54">
        <v>78.8</v>
      </c>
      <c r="R244" s="53">
        <f t="shared" si="11"/>
        <v>482.5</v>
      </c>
      <c r="S244" s="51">
        <v>6094.5499999999993</v>
      </c>
    </row>
    <row r="245" spans="1:19" ht="15" x14ac:dyDescent="0.25">
      <c r="A245" s="28"/>
      <c r="B245" s="45" t="str">
        <f t="shared" si="9"/>
        <v>Jul-2023</v>
      </c>
      <c r="C245" s="57">
        <v>45134</v>
      </c>
      <c r="D245" s="43">
        <f t="shared" si="10"/>
        <v>978</v>
      </c>
      <c r="E245" s="76">
        <v>9</v>
      </c>
      <c r="F245" s="50">
        <v>26</v>
      </c>
      <c r="G245" s="49">
        <v>14100</v>
      </c>
      <c r="H245" s="73">
        <v>26</v>
      </c>
      <c r="I245" s="52">
        <v>26</v>
      </c>
      <c r="J245" s="51">
        <v>6412.2200000000012</v>
      </c>
      <c r="K245" s="52">
        <v>1</v>
      </c>
      <c r="L245" s="51">
        <v>500.11</v>
      </c>
      <c r="M245" s="52">
        <v>17</v>
      </c>
      <c r="N245" s="49">
        <v>9098.16</v>
      </c>
      <c r="O245" s="75">
        <v>16</v>
      </c>
      <c r="P245" s="54">
        <v>1410.3799999999999</v>
      </c>
      <c r="Q245" s="54">
        <v>98.16</v>
      </c>
      <c r="R245" s="53">
        <f t="shared" si="11"/>
        <v>705</v>
      </c>
      <c r="S245" s="51">
        <v>6412.2200000000012</v>
      </c>
    </row>
    <row r="246" spans="1:19" ht="15" x14ac:dyDescent="0.25">
      <c r="A246" s="28"/>
      <c r="B246" s="45" t="str">
        <f t="shared" si="9"/>
        <v>Jul-2023</v>
      </c>
      <c r="C246" s="57">
        <v>45135</v>
      </c>
      <c r="D246" s="43">
        <f t="shared" si="10"/>
        <v>977</v>
      </c>
      <c r="E246" s="76">
        <v>10</v>
      </c>
      <c r="F246" s="50">
        <v>29</v>
      </c>
      <c r="G246" s="49">
        <v>14500</v>
      </c>
      <c r="H246" s="73">
        <v>29</v>
      </c>
      <c r="I246" s="52">
        <v>29</v>
      </c>
      <c r="J246" s="51">
        <v>8737.8300000000017</v>
      </c>
      <c r="K246" s="52">
        <v>2</v>
      </c>
      <c r="L246" s="51">
        <v>80.009999999999991</v>
      </c>
      <c r="M246" s="52">
        <v>18</v>
      </c>
      <c r="N246" s="49">
        <v>7620.29</v>
      </c>
      <c r="O246" s="75">
        <v>18</v>
      </c>
      <c r="P246" s="54">
        <v>1858.1200000000001</v>
      </c>
      <c r="Q246" s="54">
        <v>96.56</v>
      </c>
      <c r="R246" s="53">
        <f t="shared" si="11"/>
        <v>725</v>
      </c>
      <c r="S246" s="51">
        <v>8737.8300000000017</v>
      </c>
    </row>
    <row r="247" spans="1:19" ht="15" x14ac:dyDescent="0.25">
      <c r="A247" s="28"/>
      <c r="B247" s="45" t="str">
        <f t="shared" si="9"/>
        <v>Jul-2023</v>
      </c>
      <c r="C247" s="57">
        <v>45136</v>
      </c>
      <c r="D247" s="43">
        <f t="shared" si="10"/>
        <v>976</v>
      </c>
      <c r="E247" s="76">
        <v>9</v>
      </c>
      <c r="F247" s="50">
        <v>31</v>
      </c>
      <c r="G247" s="49">
        <v>17850</v>
      </c>
      <c r="H247" s="73">
        <v>31</v>
      </c>
      <c r="I247" s="52">
        <v>31</v>
      </c>
      <c r="J247" s="51">
        <v>5715.5800000000008</v>
      </c>
      <c r="K247" s="52">
        <v>1</v>
      </c>
      <c r="L247" s="51">
        <v>500.11</v>
      </c>
      <c r="M247" s="52">
        <v>27</v>
      </c>
      <c r="N247" s="49">
        <v>13486.39</v>
      </c>
      <c r="O247" s="75">
        <v>26</v>
      </c>
      <c r="P247" s="54">
        <v>1351.97</v>
      </c>
      <c r="Q247" s="54">
        <v>192.41999999999996</v>
      </c>
      <c r="R247" s="53">
        <f t="shared" si="11"/>
        <v>892.5</v>
      </c>
      <c r="S247" s="51">
        <v>5715.58</v>
      </c>
    </row>
    <row r="248" spans="1:19" ht="15" x14ac:dyDescent="0.25">
      <c r="A248" s="28"/>
      <c r="B248" s="45" t="str">
        <f t="shared" si="9"/>
        <v>Jul-2023</v>
      </c>
      <c r="C248" s="57">
        <v>45137</v>
      </c>
      <c r="D248" s="43">
        <f t="shared" si="10"/>
        <v>975</v>
      </c>
      <c r="E248" s="76">
        <v>12</v>
      </c>
      <c r="F248" s="50">
        <v>28</v>
      </c>
      <c r="G248" s="49">
        <v>16400</v>
      </c>
      <c r="H248" s="73">
        <v>28</v>
      </c>
      <c r="I248" s="52">
        <v>28</v>
      </c>
      <c r="J248" s="51">
        <v>4395.16</v>
      </c>
      <c r="K248" s="52"/>
      <c r="L248" s="51"/>
      <c r="M248" s="52">
        <v>31</v>
      </c>
      <c r="N248" s="49">
        <v>12974.43</v>
      </c>
      <c r="O248" s="75">
        <v>24</v>
      </c>
      <c r="P248" s="54">
        <v>969.59</v>
      </c>
      <c r="Q248" s="54">
        <v>74.429999999999993</v>
      </c>
      <c r="R248" s="53">
        <f t="shared" si="11"/>
        <v>820</v>
      </c>
      <c r="S248" s="51">
        <v>4395.16</v>
      </c>
    </row>
    <row r="249" spans="1:19" ht="15" x14ac:dyDescent="0.25">
      <c r="A249" s="28"/>
      <c r="B249" s="45" t="str">
        <f t="shared" si="9"/>
        <v>Jul-2023</v>
      </c>
      <c r="C249" s="57">
        <v>45138</v>
      </c>
      <c r="D249" s="43">
        <f t="shared" si="10"/>
        <v>974</v>
      </c>
      <c r="E249" s="76">
        <v>5</v>
      </c>
      <c r="F249" s="50">
        <v>25</v>
      </c>
      <c r="G249" s="49">
        <v>13650</v>
      </c>
      <c r="H249" s="73">
        <v>25</v>
      </c>
      <c r="I249" s="52">
        <v>25</v>
      </c>
      <c r="J249" s="51">
        <v>4873.37</v>
      </c>
      <c r="K249" s="52"/>
      <c r="L249" s="51"/>
      <c r="M249" s="52">
        <v>21</v>
      </c>
      <c r="N249" s="49">
        <v>9868.2900000000009</v>
      </c>
      <c r="O249" s="75">
        <v>21</v>
      </c>
      <c r="P249" s="54">
        <v>1091.6599999999999</v>
      </c>
      <c r="Q249" s="54">
        <v>112.36999999999999</v>
      </c>
      <c r="R249" s="53">
        <f t="shared" si="11"/>
        <v>682.5</v>
      </c>
      <c r="S249" s="51">
        <v>4873.37</v>
      </c>
    </row>
    <row r="250" spans="1:19" ht="15" x14ac:dyDescent="0.25">
      <c r="A250" s="28"/>
      <c r="B250" s="45" t="str">
        <f t="shared" si="9"/>
        <v>Aug-2023</v>
      </c>
      <c r="C250" s="57">
        <v>45139</v>
      </c>
      <c r="D250" s="43">
        <f t="shared" si="10"/>
        <v>973</v>
      </c>
      <c r="E250" s="76">
        <v>40</v>
      </c>
      <c r="F250" s="50">
        <v>27</v>
      </c>
      <c r="G250" s="49">
        <v>14250</v>
      </c>
      <c r="H250" s="73">
        <v>27</v>
      </c>
      <c r="I250" s="52">
        <v>27</v>
      </c>
      <c r="J250" s="51">
        <v>11291.970000000003</v>
      </c>
      <c r="K250" s="52"/>
      <c r="L250" s="51"/>
      <c r="M250" s="52">
        <v>12</v>
      </c>
      <c r="N250" s="49">
        <v>5341.84</v>
      </c>
      <c r="O250" s="75">
        <v>12</v>
      </c>
      <c r="P250" s="54">
        <v>2383.809999999999</v>
      </c>
      <c r="Q250" s="54">
        <v>107.33</v>
      </c>
      <c r="R250" s="53">
        <f t="shared" si="11"/>
        <v>712.5</v>
      </c>
      <c r="S250" s="51">
        <v>11291.970000000003</v>
      </c>
    </row>
    <row r="251" spans="1:19" ht="15" x14ac:dyDescent="0.25">
      <c r="A251" s="28"/>
      <c r="B251" s="45" t="str">
        <f t="shared" si="9"/>
        <v>Aug-2023</v>
      </c>
      <c r="C251" s="57">
        <v>45140</v>
      </c>
      <c r="D251" s="43">
        <f t="shared" si="10"/>
        <v>972</v>
      </c>
      <c r="E251" s="76">
        <v>27</v>
      </c>
      <c r="F251" s="50">
        <v>53</v>
      </c>
      <c r="G251" s="49">
        <v>26900</v>
      </c>
      <c r="H251" s="73">
        <v>53</v>
      </c>
      <c r="I251" s="52">
        <v>53</v>
      </c>
      <c r="J251" s="51">
        <v>20393.530000000006</v>
      </c>
      <c r="K251" s="52"/>
      <c r="L251" s="51"/>
      <c r="M251" s="52">
        <v>27</v>
      </c>
      <c r="N251" s="49">
        <v>11018.18</v>
      </c>
      <c r="O251" s="75">
        <v>25</v>
      </c>
      <c r="P251" s="54">
        <v>4511.7099999999973</v>
      </c>
      <c r="Q251" s="54">
        <v>487.78999999999996</v>
      </c>
      <c r="R251" s="53">
        <f t="shared" si="11"/>
        <v>1345</v>
      </c>
      <c r="S251" s="51">
        <v>20393.53000000001</v>
      </c>
    </row>
    <row r="252" spans="1:19" ht="15" x14ac:dyDescent="0.25">
      <c r="A252" s="28"/>
      <c r="B252" s="45" t="str">
        <f t="shared" si="9"/>
        <v>Aug-2023</v>
      </c>
      <c r="C252" s="57">
        <v>45141</v>
      </c>
      <c r="D252" s="43">
        <f t="shared" si="10"/>
        <v>971</v>
      </c>
      <c r="E252" s="76">
        <v>9</v>
      </c>
      <c r="F252" s="50">
        <v>21</v>
      </c>
      <c r="G252" s="49">
        <v>12020</v>
      </c>
      <c r="H252" s="73">
        <v>21</v>
      </c>
      <c r="I252" s="52">
        <v>21</v>
      </c>
      <c r="J252" s="51">
        <v>5018.88</v>
      </c>
      <c r="K252" s="52"/>
      <c r="L252" s="51"/>
      <c r="M252" s="52">
        <v>18</v>
      </c>
      <c r="N252" s="49">
        <v>8158.87</v>
      </c>
      <c r="O252" s="75">
        <v>18</v>
      </c>
      <c r="P252" s="54">
        <v>1157.75</v>
      </c>
      <c r="Q252" s="54">
        <v>138.87</v>
      </c>
      <c r="R252" s="53">
        <f t="shared" si="11"/>
        <v>601</v>
      </c>
      <c r="S252" s="51">
        <v>5018.88</v>
      </c>
    </row>
    <row r="253" spans="1:19" ht="15" x14ac:dyDescent="0.25">
      <c r="A253" s="28"/>
      <c r="B253" s="45" t="str">
        <f t="shared" si="9"/>
        <v>Aug-2023</v>
      </c>
      <c r="C253" s="57">
        <v>45142</v>
      </c>
      <c r="D253" s="43">
        <f t="shared" si="10"/>
        <v>970</v>
      </c>
      <c r="E253" s="76">
        <v>8</v>
      </c>
      <c r="F253" s="50">
        <v>22</v>
      </c>
      <c r="G253" s="49">
        <v>12250</v>
      </c>
      <c r="H253" s="73">
        <v>22</v>
      </c>
      <c r="I253" s="52">
        <v>22</v>
      </c>
      <c r="J253" s="51">
        <v>6272.2999999999993</v>
      </c>
      <c r="K253" s="52"/>
      <c r="L253" s="51"/>
      <c r="M253" s="52">
        <v>12</v>
      </c>
      <c r="N253" s="49">
        <v>7341.64</v>
      </c>
      <c r="O253" s="75">
        <v>12</v>
      </c>
      <c r="P253" s="54">
        <v>1363.9400000000003</v>
      </c>
      <c r="Q253" s="54">
        <v>91.64</v>
      </c>
      <c r="R253" s="53">
        <f t="shared" si="11"/>
        <v>612.5</v>
      </c>
      <c r="S253" s="51">
        <v>6272.2999999999993</v>
      </c>
    </row>
    <row r="254" spans="1:19" ht="15" x14ac:dyDescent="0.25">
      <c r="A254" s="28"/>
      <c r="B254" s="45" t="str">
        <f t="shared" si="9"/>
        <v>Aug-2023</v>
      </c>
      <c r="C254" s="57">
        <v>45143</v>
      </c>
      <c r="D254" s="43">
        <f t="shared" si="10"/>
        <v>969</v>
      </c>
      <c r="E254" s="76">
        <v>6</v>
      </c>
      <c r="F254" s="50">
        <v>28</v>
      </c>
      <c r="G254" s="49">
        <v>15250</v>
      </c>
      <c r="H254" s="73">
        <v>28</v>
      </c>
      <c r="I254" s="52">
        <v>28</v>
      </c>
      <c r="J254" s="51">
        <v>8152.300000000002</v>
      </c>
      <c r="K254" s="52"/>
      <c r="L254" s="51"/>
      <c r="M254" s="52">
        <v>21</v>
      </c>
      <c r="N254" s="49">
        <v>8813.98</v>
      </c>
      <c r="O254" s="75">
        <v>19</v>
      </c>
      <c r="P254" s="54">
        <v>1716.2799999999995</v>
      </c>
      <c r="Q254" s="54">
        <v>63.98</v>
      </c>
      <c r="R254" s="53">
        <f t="shared" si="11"/>
        <v>762.5</v>
      </c>
      <c r="S254" s="51">
        <v>8152.300000000002</v>
      </c>
    </row>
    <row r="255" spans="1:19" ht="15" x14ac:dyDescent="0.25">
      <c r="A255" s="28"/>
      <c r="B255" s="45" t="str">
        <f t="shared" si="9"/>
        <v>Aug-2023</v>
      </c>
      <c r="C255" s="57">
        <v>45144</v>
      </c>
      <c r="D255" s="43">
        <f t="shared" si="10"/>
        <v>968</v>
      </c>
      <c r="E255" s="76">
        <v>13</v>
      </c>
      <c r="F255" s="50">
        <v>27</v>
      </c>
      <c r="G255" s="49">
        <v>15150</v>
      </c>
      <c r="H255" s="73">
        <v>24</v>
      </c>
      <c r="I255" s="52">
        <v>27</v>
      </c>
      <c r="J255" s="51">
        <v>8777.5800000000017</v>
      </c>
      <c r="K255" s="52">
        <v>3</v>
      </c>
      <c r="L255" s="51">
        <v>1500.33</v>
      </c>
      <c r="M255" s="52">
        <v>15</v>
      </c>
      <c r="N255" s="49">
        <v>8203.68</v>
      </c>
      <c r="O255" s="75">
        <v>15</v>
      </c>
      <c r="P255" s="54">
        <v>1831.26</v>
      </c>
      <c r="Q255" s="54">
        <v>53.680000000000007</v>
      </c>
      <c r="R255" s="53">
        <f t="shared" si="11"/>
        <v>757.5</v>
      </c>
      <c r="S255" s="51">
        <v>8777.5800000000017</v>
      </c>
    </row>
    <row r="256" spans="1:19" ht="15" x14ac:dyDescent="0.25">
      <c r="A256" s="28"/>
      <c r="B256" s="45" t="str">
        <f t="shared" si="9"/>
        <v>Aug-2023</v>
      </c>
      <c r="C256" s="57">
        <v>45145</v>
      </c>
      <c r="D256" s="43">
        <f t="shared" si="10"/>
        <v>967</v>
      </c>
      <c r="E256" s="76">
        <v>6</v>
      </c>
      <c r="F256" s="50">
        <v>25</v>
      </c>
      <c r="G256" s="49">
        <v>12500</v>
      </c>
      <c r="H256" s="73">
        <v>25</v>
      </c>
      <c r="I256" s="52">
        <v>23</v>
      </c>
      <c r="J256" s="51">
        <v>6016.8</v>
      </c>
      <c r="K256" s="52"/>
      <c r="L256" s="51"/>
      <c r="M256" s="52">
        <v>15</v>
      </c>
      <c r="N256" s="49">
        <v>7825.81</v>
      </c>
      <c r="O256" s="75">
        <v>15</v>
      </c>
      <c r="P256" s="54">
        <v>1342.61</v>
      </c>
      <c r="Q256" s="54">
        <v>138.48000000000002</v>
      </c>
      <c r="R256" s="53">
        <f t="shared" si="11"/>
        <v>625</v>
      </c>
      <c r="S256" s="51">
        <v>6016.8000000000011</v>
      </c>
    </row>
    <row r="257" spans="1:19" ht="15" x14ac:dyDescent="0.25">
      <c r="A257" s="28"/>
      <c r="B257" s="45" t="str">
        <f t="shared" si="9"/>
        <v>Aug-2023</v>
      </c>
      <c r="C257" s="57">
        <v>45146</v>
      </c>
      <c r="D257" s="43">
        <f t="shared" si="10"/>
        <v>966</v>
      </c>
      <c r="E257" s="76">
        <v>12</v>
      </c>
      <c r="F257" s="50">
        <v>23</v>
      </c>
      <c r="G257" s="49">
        <v>12950</v>
      </c>
      <c r="H257" s="73">
        <v>23</v>
      </c>
      <c r="I257" s="52">
        <v>23</v>
      </c>
      <c r="J257" s="51">
        <v>8147.2300000000005</v>
      </c>
      <c r="K257" s="52"/>
      <c r="L257" s="51"/>
      <c r="M257" s="52">
        <v>10</v>
      </c>
      <c r="N257" s="49">
        <v>6499.41</v>
      </c>
      <c r="O257" s="75">
        <v>10</v>
      </c>
      <c r="P257" s="54">
        <v>1696.6400000000003</v>
      </c>
      <c r="Q257" s="54">
        <v>49.41</v>
      </c>
      <c r="R257" s="53">
        <f t="shared" si="11"/>
        <v>647.5</v>
      </c>
      <c r="S257" s="51">
        <v>8147.2300000000005</v>
      </c>
    </row>
    <row r="258" spans="1:19" ht="15" x14ac:dyDescent="0.25">
      <c r="A258" s="28"/>
      <c r="B258" s="45" t="str">
        <f t="shared" si="9"/>
        <v>Aug-2023</v>
      </c>
      <c r="C258" s="57">
        <v>45147</v>
      </c>
      <c r="D258" s="43">
        <f t="shared" si="10"/>
        <v>965</v>
      </c>
      <c r="E258" s="76">
        <v>5</v>
      </c>
      <c r="F258" s="50">
        <v>23</v>
      </c>
      <c r="G258" s="49">
        <v>12650</v>
      </c>
      <c r="H258" s="73">
        <v>20</v>
      </c>
      <c r="I258" s="52">
        <v>23</v>
      </c>
      <c r="J258" s="51">
        <v>2110.2399999999998</v>
      </c>
      <c r="K258" s="52">
        <v>3</v>
      </c>
      <c r="L258" s="51">
        <v>1500.33</v>
      </c>
      <c r="M258" s="52">
        <v>21</v>
      </c>
      <c r="N258" s="49">
        <v>11037.48</v>
      </c>
      <c r="O258" s="75">
        <v>21</v>
      </c>
      <c r="P258" s="54">
        <v>497.72000000000008</v>
      </c>
      <c r="Q258" s="54">
        <v>69.38</v>
      </c>
      <c r="R258" s="53">
        <f t="shared" si="11"/>
        <v>632.5</v>
      </c>
      <c r="S258" s="51">
        <v>2110.2400000000002</v>
      </c>
    </row>
    <row r="259" spans="1:19" ht="15" x14ac:dyDescent="0.25">
      <c r="A259" s="28"/>
      <c r="B259" s="45" t="str">
        <f t="shared" si="9"/>
        <v>Aug-2023</v>
      </c>
      <c r="C259" s="57">
        <v>45148</v>
      </c>
      <c r="D259" s="43">
        <f t="shared" si="10"/>
        <v>964</v>
      </c>
      <c r="E259" s="76">
        <v>5</v>
      </c>
      <c r="F259" s="50">
        <v>24</v>
      </c>
      <c r="G259" s="49">
        <v>13670</v>
      </c>
      <c r="H259" s="73">
        <v>24</v>
      </c>
      <c r="I259" s="52">
        <v>24</v>
      </c>
      <c r="J259" s="51">
        <v>5837.0499999999993</v>
      </c>
      <c r="K259" s="52">
        <v>1</v>
      </c>
      <c r="L259" s="51">
        <v>500.11</v>
      </c>
      <c r="M259" s="52">
        <v>15</v>
      </c>
      <c r="N259" s="49">
        <v>9064.77</v>
      </c>
      <c r="O259" s="75">
        <v>14</v>
      </c>
      <c r="P259" s="54">
        <v>1231.8200000000004</v>
      </c>
      <c r="Q259" s="54">
        <v>54.769999999999996</v>
      </c>
      <c r="R259" s="53">
        <f t="shared" si="11"/>
        <v>683.5</v>
      </c>
      <c r="S259" s="51">
        <v>5837.0499999999993</v>
      </c>
    </row>
    <row r="260" spans="1:19" ht="15" x14ac:dyDescent="0.25">
      <c r="A260" s="28"/>
      <c r="B260" s="45" t="str">
        <f t="shared" si="9"/>
        <v>Aug-2023</v>
      </c>
      <c r="C260" s="57">
        <v>45149</v>
      </c>
      <c r="D260" s="43">
        <f t="shared" si="10"/>
        <v>963</v>
      </c>
      <c r="E260" s="76">
        <v>6</v>
      </c>
      <c r="F260" s="50">
        <v>19</v>
      </c>
      <c r="G260" s="49">
        <v>9850</v>
      </c>
      <c r="H260" s="73">
        <v>18</v>
      </c>
      <c r="I260" s="52">
        <v>19</v>
      </c>
      <c r="J260" s="51">
        <v>4384.2400000000007</v>
      </c>
      <c r="K260" s="52">
        <v>3</v>
      </c>
      <c r="L260" s="51">
        <v>1048.22</v>
      </c>
      <c r="M260" s="52">
        <v>17</v>
      </c>
      <c r="N260" s="49">
        <v>6381.51</v>
      </c>
      <c r="O260" s="75">
        <v>16</v>
      </c>
      <c r="P260" s="54">
        <v>915.74999999999977</v>
      </c>
      <c r="Q260" s="54">
        <v>31.51</v>
      </c>
      <c r="R260" s="53">
        <f t="shared" si="11"/>
        <v>492.5</v>
      </c>
      <c r="S260" s="51">
        <v>4384.2400000000007</v>
      </c>
    </row>
    <row r="261" spans="1:19" ht="15" x14ac:dyDescent="0.25">
      <c r="A261" s="28"/>
      <c r="B261" s="45" t="str">
        <f t="shared" ref="B261:B324" si="12">TEXT(C261,"MMM-YYYY")</f>
        <v>Aug-2023</v>
      </c>
      <c r="C261" s="57">
        <v>45150</v>
      </c>
      <c r="D261" s="43">
        <f t="shared" ref="D261:D324" si="13">$A$1-C261</f>
        <v>962</v>
      </c>
      <c r="E261" s="76">
        <v>11</v>
      </c>
      <c r="F261" s="50">
        <v>14</v>
      </c>
      <c r="G261" s="49">
        <v>6700</v>
      </c>
      <c r="H261" s="73">
        <v>14</v>
      </c>
      <c r="I261" s="52">
        <v>14</v>
      </c>
      <c r="J261" s="51">
        <v>4323.6000000000004</v>
      </c>
      <c r="K261" s="52">
        <v>2</v>
      </c>
      <c r="L261" s="51">
        <v>400.09</v>
      </c>
      <c r="M261" s="52">
        <v>10</v>
      </c>
      <c r="N261" s="49">
        <v>3261.52</v>
      </c>
      <c r="O261" s="75">
        <v>9</v>
      </c>
      <c r="P261" s="54">
        <v>885.12000000000023</v>
      </c>
      <c r="Q261" s="54">
        <v>11.52</v>
      </c>
      <c r="R261" s="53">
        <f t="shared" ref="R261:R324" si="14">G261*5%</f>
        <v>335</v>
      </c>
      <c r="S261" s="51">
        <v>4323.6000000000004</v>
      </c>
    </row>
    <row r="262" spans="1:19" ht="15" x14ac:dyDescent="0.25">
      <c r="A262" s="28"/>
      <c r="B262" s="45" t="str">
        <f t="shared" si="12"/>
        <v>Aug-2023</v>
      </c>
      <c r="C262" s="57">
        <v>45151</v>
      </c>
      <c r="D262" s="43">
        <f t="shared" si="13"/>
        <v>961</v>
      </c>
      <c r="E262" s="76">
        <v>9</v>
      </c>
      <c r="F262" s="50">
        <v>27</v>
      </c>
      <c r="G262" s="49">
        <v>16200</v>
      </c>
      <c r="H262" s="73">
        <v>27</v>
      </c>
      <c r="I262" s="52">
        <v>27</v>
      </c>
      <c r="J262" s="51">
        <v>8267.7899999999972</v>
      </c>
      <c r="K262" s="52"/>
      <c r="L262" s="51"/>
      <c r="M262" s="52">
        <v>19</v>
      </c>
      <c r="N262" s="49">
        <v>9637.9</v>
      </c>
      <c r="O262" s="75">
        <v>19</v>
      </c>
      <c r="P262" s="54">
        <v>1705.6899999999996</v>
      </c>
      <c r="Q262" s="54">
        <v>37.899999999999991</v>
      </c>
      <c r="R262" s="53">
        <f t="shared" si="14"/>
        <v>810</v>
      </c>
      <c r="S262" s="51">
        <v>8267.7899999999972</v>
      </c>
    </row>
    <row r="263" spans="1:19" ht="15" x14ac:dyDescent="0.25">
      <c r="A263" s="28"/>
      <c r="B263" s="45" t="str">
        <f t="shared" si="12"/>
        <v>Aug-2023</v>
      </c>
      <c r="C263" s="57">
        <v>45152</v>
      </c>
      <c r="D263" s="43">
        <f t="shared" si="13"/>
        <v>960</v>
      </c>
      <c r="E263" s="76">
        <v>10</v>
      </c>
      <c r="F263" s="50">
        <v>28</v>
      </c>
      <c r="G263" s="49">
        <v>15150</v>
      </c>
      <c r="H263" s="73">
        <v>28</v>
      </c>
      <c r="I263" s="52">
        <v>27</v>
      </c>
      <c r="J263" s="51">
        <v>10076.290000000001</v>
      </c>
      <c r="K263" s="52"/>
      <c r="L263" s="51"/>
      <c r="M263" s="52">
        <v>12</v>
      </c>
      <c r="N263" s="49">
        <v>7164.21</v>
      </c>
      <c r="O263" s="75">
        <v>12</v>
      </c>
      <c r="P263" s="54">
        <v>2090.5000000000005</v>
      </c>
      <c r="Q263" s="54">
        <v>68.16</v>
      </c>
      <c r="R263" s="53">
        <f t="shared" si="14"/>
        <v>757.5</v>
      </c>
      <c r="S263" s="51">
        <v>10076.290000000001</v>
      </c>
    </row>
    <row r="264" spans="1:19" ht="15" x14ac:dyDescent="0.25">
      <c r="A264" s="28"/>
      <c r="B264" s="45" t="str">
        <f t="shared" si="12"/>
        <v>Aug-2023</v>
      </c>
      <c r="C264" s="57">
        <v>45153</v>
      </c>
      <c r="D264" s="43">
        <f t="shared" si="13"/>
        <v>959</v>
      </c>
      <c r="E264" s="76">
        <v>8</v>
      </c>
      <c r="F264" s="50">
        <v>20</v>
      </c>
      <c r="G264" s="49">
        <v>11200</v>
      </c>
      <c r="H264" s="73">
        <v>20</v>
      </c>
      <c r="I264" s="52">
        <v>20</v>
      </c>
      <c r="J264" s="51">
        <v>5124.0700000000006</v>
      </c>
      <c r="K264" s="52"/>
      <c r="L264" s="51"/>
      <c r="M264" s="52">
        <v>20</v>
      </c>
      <c r="N264" s="49">
        <v>7269.04</v>
      </c>
      <c r="O264" s="75">
        <v>18</v>
      </c>
      <c r="P264" s="54">
        <v>1193.1100000000001</v>
      </c>
      <c r="Q264" s="54">
        <v>210.06</v>
      </c>
      <c r="R264" s="53">
        <f t="shared" si="14"/>
        <v>560</v>
      </c>
      <c r="S264" s="51">
        <v>5124.07</v>
      </c>
    </row>
    <row r="265" spans="1:19" ht="15" x14ac:dyDescent="0.25">
      <c r="A265" s="28"/>
      <c r="B265" s="45" t="str">
        <f t="shared" si="12"/>
        <v>Aug-2023</v>
      </c>
      <c r="C265" s="57">
        <v>45154</v>
      </c>
      <c r="D265" s="43">
        <f t="shared" si="13"/>
        <v>958</v>
      </c>
      <c r="E265" s="76">
        <v>25</v>
      </c>
      <c r="F265" s="50">
        <v>35</v>
      </c>
      <c r="G265" s="49">
        <v>19150</v>
      </c>
      <c r="H265" s="73">
        <v>35</v>
      </c>
      <c r="I265" s="52">
        <v>35</v>
      </c>
      <c r="J265" s="51">
        <v>12453.710000000001</v>
      </c>
      <c r="K265" s="52">
        <v>1</v>
      </c>
      <c r="L265" s="51">
        <v>185</v>
      </c>
      <c r="M265" s="52">
        <v>26</v>
      </c>
      <c r="N265" s="49">
        <v>9267.17</v>
      </c>
      <c r="O265" s="75">
        <v>16</v>
      </c>
      <c r="P265" s="54">
        <v>2570.880000000001</v>
      </c>
      <c r="Q265" s="54">
        <v>67.170000000000016</v>
      </c>
      <c r="R265" s="53">
        <f t="shared" si="14"/>
        <v>957.5</v>
      </c>
      <c r="S265" s="51">
        <v>12453.71</v>
      </c>
    </row>
    <row r="266" spans="1:19" ht="15" x14ac:dyDescent="0.25">
      <c r="A266" s="28"/>
      <c r="B266" s="45" t="str">
        <f t="shared" si="12"/>
        <v>Aug-2023</v>
      </c>
      <c r="C266" s="57">
        <v>45155</v>
      </c>
      <c r="D266" s="43">
        <f t="shared" si="13"/>
        <v>957</v>
      </c>
      <c r="E266" s="76">
        <v>39</v>
      </c>
      <c r="F266" s="50">
        <v>54</v>
      </c>
      <c r="G266" s="49">
        <v>28750</v>
      </c>
      <c r="H266" s="73">
        <v>54</v>
      </c>
      <c r="I266" s="52">
        <v>54</v>
      </c>
      <c r="J266" s="51">
        <v>24763.35000000002</v>
      </c>
      <c r="K266" s="52"/>
      <c r="L266" s="51"/>
      <c r="M266" s="52">
        <v>17</v>
      </c>
      <c r="N266" s="49">
        <v>9029.7999999999993</v>
      </c>
      <c r="O266" s="75">
        <v>16</v>
      </c>
      <c r="P266" s="54">
        <v>5043.1499999999987</v>
      </c>
      <c r="Q266" s="54">
        <v>69.8</v>
      </c>
      <c r="R266" s="53">
        <f t="shared" si="14"/>
        <v>1437.5</v>
      </c>
      <c r="S266" s="51">
        <v>24763.35000000002</v>
      </c>
    </row>
    <row r="267" spans="1:19" ht="15" x14ac:dyDescent="0.25">
      <c r="A267" s="28"/>
      <c r="B267" s="45" t="str">
        <f t="shared" si="12"/>
        <v>Aug-2023</v>
      </c>
      <c r="C267" s="57">
        <v>45156</v>
      </c>
      <c r="D267" s="43">
        <f t="shared" si="13"/>
        <v>956</v>
      </c>
      <c r="E267" s="76">
        <v>25</v>
      </c>
      <c r="F267" s="50">
        <v>25</v>
      </c>
      <c r="G267" s="49">
        <v>13680</v>
      </c>
      <c r="H267" s="73">
        <v>25</v>
      </c>
      <c r="I267" s="52">
        <v>25</v>
      </c>
      <c r="J267" s="51">
        <v>10166.049999999999</v>
      </c>
      <c r="K267" s="52"/>
      <c r="L267" s="51"/>
      <c r="M267" s="52">
        <v>17</v>
      </c>
      <c r="N267" s="49">
        <v>5587.18</v>
      </c>
      <c r="O267" s="75">
        <v>13</v>
      </c>
      <c r="P267" s="54">
        <v>2073.23</v>
      </c>
      <c r="Q267" s="54">
        <v>38.39</v>
      </c>
      <c r="R267" s="53">
        <f t="shared" si="14"/>
        <v>684</v>
      </c>
      <c r="S267" s="51">
        <v>10166.049999999999</v>
      </c>
    </row>
    <row r="268" spans="1:19" ht="15" x14ac:dyDescent="0.25">
      <c r="A268" s="28"/>
      <c r="B268" s="45" t="str">
        <f t="shared" si="12"/>
        <v>Aug-2023</v>
      </c>
      <c r="C268" s="57">
        <v>45157</v>
      </c>
      <c r="D268" s="43">
        <f t="shared" si="13"/>
        <v>955</v>
      </c>
      <c r="E268" s="76">
        <v>17</v>
      </c>
      <c r="F268" s="50">
        <v>30</v>
      </c>
      <c r="G268" s="49">
        <v>15600</v>
      </c>
      <c r="H268" s="73">
        <v>30</v>
      </c>
      <c r="I268" s="52">
        <v>30</v>
      </c>
      <c r="J268" s="51">
        <v>9379.1999999999989</v>
      </c>
      <c r="K268" s="52">
        <v>3</v>
      </c>
      <c r="L268" s="51">
        <v>500.02</v>
      </c>
      <c r="M268" s="52">
        <v>25</v>
      </c>
      <c r="N268" s="49">
        <v>8181.34</v>
      </c>
      <c r="O268" s="75">
        <v>23</v>
      </c>
      <c r="P268" s="54">
        <v>1960.5400000000002</v>
      </c>
      <c r="Q268" s="54">
        <v>81.34</v>
      </c>
      <c r="R268" s="53">
        <f t="shared" si="14"/>
        <v>780</v>
      </c>
      <c r="S268" s="51">
        <v>9379.1999999999989</v>
      </c>
    </row>
    <row r="269" spans="1:19" ht="15" x14ac:dyDescent="0.25">
      <c r="A269" s="28"/>
      <c r="B269" s="45" t="str">
        <f t="shared" si="12"/>
        <v>Aug-2023</v>
      </c>
      <c r="C269" s="57">
        <v>45158</v>
      </c>
      <c r="D269" s="43">
        <f t="shared" si="13"/>
        <v>954</v>
      </c>
      <c r="E269" s="76">
        <v>8</v>
      </c>
      <c r="F269" s="50">
        <v>20</v>
      </c>
      <c r="G269" s="49">
        <v>12270</v>
      </c>
      <c r="H269" s="73">
        <v>20</v>
      </c>
      <c r="I269" s="52">
        <v>20</v>
      </c>
      <c r="J269" s="51">
        <v>6212.829999999999</v>
      </c>
      <c r="K269" s="52"/>
      <c r="L269" s="51"/>
      <c r="M269" s="52">
        <v>11</v>
      </c>
      <c r="N269" s="49">
        <v>7356.76</v>
      </c>
      <c r="O269" s="75">
        <v>11</v>
      </c>
      <c r="P269" s="54">
        <v>1299.5899999999999</v>
      </c>
      <c r="Q269" s="54">
        <v>59.929999999999993</v>
      </c>
      <c r="R269" s="53">
        <f t="shared" si="14"/>
        <v>613.5</v>
      </c>
      <c r="S269" s="51">
        <v>6212.829999999999</v>
      </c>
    </row>
    <row r="270" spans="1:19" ht="15" x14ac:dyDescent="0.25">
      <c r="A270" s="28"/>
      <c r="B270" s="45" t="str">
        <f t="shared" si="12"/>
        <v>Aug-2023</v>
      </c>
      <c r="C270" s="57">
        <v>45159</v>
      </c>
      <c r="D270" s="43">
        <f t="shared" si="13"/>
        <v>953</v>
      </c>
      <c r="E270" s="76">
        <v>7</v>
      </c>
      <c r="F270" s="50">
        <v>21</v>
      </c>
      <c r="G270" s="49">
        <v>11900</v>
      </c>
      <c r="H270" s="73">
        <v>21</v>
      </c>
      <c r="I270" s="52">
        <v>21</v>
      </c>
      <c r="J270" s="51">
        <v>8031.2300000000014</v>
      </c>
      <c r="K270" s="52">
        <v>1</v>
      </c>
      <c r="L270" s="51">
        <v>475</v>
      </c>
      <c r="M270" s="52">
        <v>14</v>
      </c>
      <c r="N270" s="49">
        <v>5498.5</v>
      </c>
      <c r="O270" s="75">
        <v>12</v>
      </c>
      <c r="P270" s="54">
        <v>1629.7299999999996</v>
      </c>
      <c r="Q270" s="54">
        <v>23.61</v>
      </c>
      <c r="R270" s="53">
        <f t="shared" si="14"/>
        <v>595</v>
      </c>
      <c r="S270" s="51">
        <v>8031.2300000000014</v>
      </c>
    </row>
    <row r="271" spans="1:19" ht="15" x14ac:dyDescent="0.25">
      <c r="A271" s="28"/>
      <c r="B271" s="45" t="str">
        <f t="shared" si="12"/>
        <v>Aug-2023</v>
      </c>
      <c r="C271" s="57">
        <v>45160</v>
      </c>
      <c r="D271" s="43">
        <f t="shared" si="13"/>
        <v>952</v>
      </c>
      <c r="E271" s="76">
        <v>20</v>
      </c>
      <c r="F271" s="50">
        <v>36</v>
      </c>
      <c r="G271" s="49">
        <v>19200</v>
      </c>
      <c r="H271" s="73">
        <v>36</v>
      </c>
      <c r="I271" s="52">
        <v>36</v>
      </c>
      <c r="J271" s="51">
        <v>13936.689999999995</v>
      </c>
      <c r="K271" s="52"/>
      <c r="L271" s="51"/>
      <c r="M271" s="52">
        <v>20</v>
      </c>
      <c r="N271" s="49">
        <v>8145.04</v>
      </c>
      <c r="O271" s="75">
        <v>19</v>
      </c>
      <c r="P271" s="54">
        <v>2881.73</v>
      </c>
      <c r="Q271" s="54">
        <v>97.95</v>
      </c>
      <c r="R271" s="53">
        <f t="shared" si="14"/>
        <v>960</v>
      </c>
      <c r="S271" s="51">
        <v>13936.689999999995</v>
      </c>
    </row>
    <row r="272" spans="1:19" ht="15" x14ac:dyDescent="0.25">
      <c r="A272" s="28"/>
      <c r="B272" s="45" t="str">
        <f t="shared" si="12"/>
        <v>Aug-2023</v>
      </c>
      <c r="C272" s="57">
        <v>45161</v>
      </c>
      <c r="D272" s="43">
        <f t="shared" si="13"/>
        <v>951</v>
      </c>
      <c r="E272" s="76">
        <v>20</v>
      </c>
      <c r="F272" s="50">
        <v>29</v>
      </c>
      <c r="G272" s="49">
        <v>15850</v>
      </c>
      <c r="H272" s="73">
        <v>29</v>
      </c>
      <c r="I272" s="52">
        <v>29</v>
      </c>
      <c r="J272" s="51">
        <v>9406.5200000000023</v>
      </c>
      <c r="K272" s="52">
        <v>2</v>
      </c>
      <c r="L272" s="51">
        <v>500.11</v>
      </c>
      <c r="M272" s="52">
        <v>23</v>
      </c>
      <c r="N272" s="49">
        <v>8444.08</v>
      </c>
      <c r="O272" s="75">
        <v>20</v>
      </c>
      <c r="P272" s="54">
        <v>2000.6</v>
      </c>
      <c r="Q272" s="54">
        <v>120.71000000000001</v>
      </c>
      <c r="R272" s="53">
        <f t="shared" si="14"/>
        <v>792.5</v>
      </c>
      <c r="S272" s="51">
        <v>9406.5200000000023</v>
      </c>
    </row>
    <row r="273" spans="1:19" ht="15" x14ac:dyDescent="0.25">
      <c r="A273" s="28"/>
      <c r="B273" s="45" t="str">
        <f t="shared" si="12"/>
        <v>Aug-2023</v>
      </c>
      <c r="C273" s="57">
        <v>45162</v>
      </c>
      <c r="D273" s="43">
        <f t="shared" si="13"/>
        <v>950</v>
      </c>
      <c r="E273" s="76">
        <v>24</v>
      </c>
      <c r="F273" s="50">
        <v>31</v>
      </c>
      <c r="G273" s="49">
        <v>17200</v>
      </c>
      <c r="H273" s="73">
        <v>30</v>
      </c>
      <c r="I273" s="52">
        <v>31</v>
      </c>
      <c r="J273" s="51">
        <v>9464.619999999999</v>
      </c>
      <c r="K273" s="52">
        <v>1</v>
      </c>
      <c r="L273" s="51">
        <v>500.11</v>
      </c>
      <c r="M273" s="52">
        <v>21</v>
      </c>
      <c r="N273" s="49">
        <v>9769.4500000000007</v>
      </c>
      <c r="O273" s="75">
        <v>18</v>
      </c>
      <c r="P273" s="54">
        <v>2034.0700000000002</v>
      </c>
      <c r="Q273" s="54">
        <v>147.6</v>
      </c>
      <c r="R273" s="53">
        <f t="shared" si="14"/>
        <v>860</v>
      </c>
      <c r="S273" s="51">
        <v>9464.619999999999</v>
      </c>
    </row>
    <row r="274" spans="1:19" ht="15" x14ac:dyDescent="0.25">
      <c r="A274" s="28"/>
      <c r="B274" s="45" t="str">
        <f t="shared" si="12"/>
        <v>Aug-2023</v>
      </c>
      <c r="C274" s="57">
        <v>45163</v>
      </c>
      <c r="D274" s="43">
        <f t="shared" si="13"/>
        <v>949</v>
      </c>
      <c r="E274" s="76">
        <v>14</v>
      </c>
      <c r="F274" s="50">
        <v>28</v>
      </c>
      <c r="G274" s="49">
        <v>15990</v>
      </c>
      <c r="H274" s="73">
        <v>28</v>
      </c>
      <c r="I274" s="52">
        <v>28</v>
      </c>
      <c r="J274" s="51">
        <v>10933.7</v>
      </c>
      <c r="K274" s="52"/>
      <c r="L274" s="51"/>
      <c r="M274" s="52">
        <v>12</v>
      </c>
      <c r="N274" s="49">
        <v>7371.47</v>
      </c>
      <c r="O274" s="75">
        <v>12</v>
      </c>
      <c r="P274" s="54">
        <v>2315.17</v>
      </c>
      <c r="Q274" s="54">
        <v>132.01999999999998</v>
      </c>
      <c r="R274" s="53">
        <f t="shared" si="14"/>
        <v>799.5</v>
      </c>
      <c r="S274" s="51">
        <v>10933.7</v>
      </c>
    </row>
    <row r="275" spans="1:19" ht="15" x14ac:dyDescent="0.25">
      <c r="A275" s="28"/>
      <c r="B275" s="45" t="str">
        <f t="shared" si="12"/>
        <v>Aug-2023</v>
      </c>
      <c r="C275" s="57">
        <v>45164</v>
      </c>
      <c r="D275" s="43">
        <f t="shared" si="13"/>
        <v>948</v>
      </c>
      <c r="E275" s="76">
        <v>23</v>
      </c>
      <c r="F275" s="50">
        <v>29</v>
      </c>
      <c r="G275" s="49">
        <v>15430</v>
      </c>
      <c r="H275" s="73">
        <v>29</v>
      </c>
      <c r="I275" s="52">
        <v>29</v>
      </c>
      <c r="J275" s="51">
        <v>12457.960000000005</v>
      </c>
      <c r="K275" s="52"/>
      <c r="L275" s="51"/>
      <c r="M275" s="52">
        <v>18</v>
      </c>
      <c r="N275" s="49">
        <v>5489.11</v>
      </c>
      <c r="O275" s="75">
        <v>18</v>
      </c>
      <c r="P275" s="54">
        <v>2517.0699999999988</v>
      </c>
      <c r="Q275" s="54">
        <v>39.109999999999992</v>
      </c>
      <c r="R275" s="53">
        <f t="shared" si="14"/>
        <v>771.5</v>
      </c>
      <c r="S275" s="51">
        <v>12457.960000000005</v>
      </c>
    </row>
    <row r="276" spans="1:19" ht="15" x14ac:dyDescent="0.25">
      <c r="A276" s="28"/>
      <c r="B276" s="45" t="str">
        <f t="shared" si="12"/>
        <v>Aug-2023</v>
      </c>
      <c r="C276" s="57">
        <v>45165</v>
      </c>
      <c r="D276" s="43">
        <f t="shared" si="13"/>
        <v>947</v>
      </c>
      <c r="E276" s="76">
        <v>11</v>
      </c>
      <c r="F276" s="50">
        <v>29</v>
      </c>
      <c r="G276" s="49">
        <v>15050</v>
      </c>
      <c r="H276" s="73">
        <v>29</v>
      </c>
      <c r="I276" s="52">
        <v>29</v>
      </c>
      <c r="J276" s="51">
        <v>8749.8399999999983</v>
      </c>
      <c r="K276" s="52"/>
      <c r="L276" s="51"/>
      <c r="M276" s="52">
        <v>15</v>
      </c>
      <c r="N276" s="49">
        <v>8080</v>
      </c>
      <c r="O276" s="75">
        <v>15</v>
      </c>
      <c r="P276" s="54">
        <v>1779.8399999999997</v>
      </c>
      <c r="Q276" s="54">
        <v>32.300000000000004</v>
      </c>
      <c r="R276" s="53">
        <f t="shared" si="14"/>
        <v>752.5</v>
      </c>
      <c r="S276" s="51">
        <v>8749.8399999999983</v>
      </c>
    </row>
    <row r="277" spans="1:19" ht="15" x14ac:dyDescent="0.25">
      <c r="A277" s="28"/>
      <c r="B277" s="45" t="str">
        <f t="shared" si="12"/>
        <v>Aug-2023</v>
      </c>
      <c r="C277" s="57">
        <v>45166</v>
      </c>
      <c r="D277" s="43">
        <f t="shared" si="13"/>
        <v>946</v>
      </c>
      <c r="E277" s="76">
        <v>15</v>
      </c>
      <c r="F277" s="50">
        <v>37</v>
      </c>
      <c r="G277" s="49">
        <v>18302</v>
      </c>
      <c r="H277" s="73">
        <v>37</v>
      </c>
      <c r="I277" s="52">
        <v>37</v>
      </c>
      <c r="J277" s="51">
        <v>11759.490000000002</v>
      </c>
      <c r="K277" s="52"/>
      <c r="L277" s="51"/>
      <c r="M277" s="52">
        <v>24</v>
      </c>
      <c r="N277" s="49">
        <v>9020.93</v>
      </c>
      <c r="O277" s="75">
        <v>23</v>
      </c>
      <c r="P277" s="54">
        <v>2478.4199999999992</v>
      </c>
      <c r="Q277" s="54">
        <v>145.65000000000003</v>
      </c>
      <c r="R277" s="53">
        <f t="shared" si="14"/>
        <v>915.1</v>
      </c>
      <c r="S277" s="51">
        <v>11759.490000000002</v>
      </c>
    </row>
    <row r="278" spans="1:19" ht="15" x14ac:dyDescent="0.25">
      <c r="A278" s="28"/>
      <c r="B278" s="45" t="str">
        <f t="shared" si="12"/>
        <v>Aug-2023</v>
      </c>
      <c r="C278" s="57">
        <v>45167</v>
      </c>
      <c r="D278" s="43">
        <f t="shared" si="13"/>
        <v>945</v>
      </c>
      <c r="E278" s="76">
        <v>11</v>
      </c>
      <c r="F278" s="50">
        <v>30</v>
      </c>
      <c r="G278" s="49">
        <v>15850</v>
      </c>
      <c r="H278" s="73">
        <v>30</v>
      </c>
      <c r="I278" s="52">
        <v>30</v>
      </c>
      <c r="J278" s="51">
        <v>12479.599999999995</v>
      </c>
      <c r="K278" s="52"/>
      <c r="L278" s="51"/>
      <c r="M278" s="52">
        <v>11</v>
      </c>
      <c r="N278" s="49">
        <v>5895.91</v>
      </c>
      <c r="O278" s="75">
        <v>11</v>
      </c>
      <c r="P278" s="54">
        <v>2525.5099999999998</v>
      </c>
      <c r="Q278" s="54">
        <v>45.910000000000004</v>
      </c>
      <c r="R278" s="53">
        <f t="shared" si="14"/>
        <v>792.5</v>
      </c>
      <c r="S278" s="51">
        <v>12479.599999999995</v>
      </c>
    </row>
    <row r="279" spans="1:19" ht="15" x14ac:dyDescent="0.25">
      <c r="A279" s="28"/>
      <c r="B279" s="45" t="str">
        <f t="shared" si="12"/>
        <v>Aug-2023</v>
      </c>
      <c r="C279" s="57">
        <v>45168</v>
      </c>
      <c r="D279" s="43">
        <f t="shared" si="13"/>
        <v>944</v>
      </c>
      <c r="E279" s="76">
        <v>23</v>
      </c>
      <c r="F279" s="50">
        <v>40</v>
      </c>
      <c r="G279" s="49">
        <v>21100</v>
      </c>
      <c r="H279" s="73">
        <v>40</v>
      </c>
      <c r="I279" s="52">
        <v>40</v>
      </c>
      <c r="J279" s="51">
        <v>16170.100000000006</v>
      </c>
      <c r="K279" s="52">
        <v>1</v>
      </c>
      <c r="L279" s="51">
        <v>800.18</v>
      </c>
      <c r="M279" s="52">
        <v>21</v>
      </c>
      <c r="N279" s="49">
        <v>8263.89</v>
      </c>
      <c r="O279" s="75">
        <v>19</v>
      </c>
      <c r="P279" s="54">
        <v>3333.9899999999975</v>
      </c>
      <c r="Q279" s="54">
        <v>163.89</v>
      </c>
      <c r="R279" s="53">
        <f t="shared" si="14"/>
        <v>1055</v>
      </c>
      <c r="S279" s="51">
        <v>16170.100000000006</v>
      </c>
    </row>
    <row r="280" spans="1:19" ht="15" x14ac:dyDescent="0.25">
      <c r="A280" s="28"/>
      <c r="B280" s="45" t="str">
        <f t="shared" si="12"/>
        <v>Aug-2023</v>
      </c>
      <c r="C280" s="57">
        <v>45169</v>
      </c>
      <c r="D280" s="43">
        <f t="shared" si="13"/>
        <v>943</v>
      </c>
      <c r="E280" s="76">
        <v>7</v>
      </c>
      <c r="F280" s="50">
        <v>24</v>
      </c>
      <c r="G280" s="49">
        <v>13105</v>
      </c>
      <c r="H280" s="73">
        <v>24</v>
      </c>
      <c r="I280" s="52">
        <v>24</v>
      </c>
      <c r="J280" s="51">
        <v>6524.9000000000015</v>
      </c>
      <c r="K280" s="52"/>
      <c r="L280" s="51"/>
      <c r="M280" s="52">
        <v>16</v>
      </c>
      <c r="N280" s="49">
        <v>8008.29</v>
      </c>
      <c r="O280" s="75">
        <v>15</v>
      </c>
      <c r="P280" s="54">
        <v>1428.190000000001</v>
      </c>
      <c r="Q280" s="54">
        <v>145.84000000000003</v>
      </c>
      <c r="R280" s="53">
        <f t="shared" si="14"/>
        <v>655.25</v>
      </c>
      <c r="S280" s="51">
        <v>6524.9000000000015</v>
      </c>
    </row>
    <row r="281" spans="1:19" ht="15" x14ac:dyDescent="0.25">
      <c r="A281" s="28"/>
      <c r="B281" s="45" t="str">
        <f t="shared" si="12"/>
        <v>Sep-2023</v>
      </c>
      <c r="C281" s="57">
        <v>45170</v>
      </c>
      <c r="D281" s="43">
        <f t="shared" si="13"/>
        <v>942</v>
      </c>
      <c r="E281" s="76">
        <v>16</v>
      </c>
      <c r="F281" s="50">
        <v>26</v>
      </c>
      <c r="G281" s="49">
        <v>14480</v>
      </c>
      <c r="H281" s="73">
        <v>26</v>
      </c>
      <c r="I281" s="52">
        <v>26</v>
      </c>
      <c r="J281" s="51">
        <v>6830.1100000000006</v>
      </c>
      <c r="K281" s="52"/>
      <c r="L281" s="51"/>
      <c r="M281" s="52">
        <v>17</v>
      </c>
      <c r="N281" s="49">
        <v>9071.33</v>
      </c>
      <c r="O281" s="75">
        <v>16</v>
      </c>
      <c r="P281" s="54">
        <v>1421.4400000000005</v>
      </c>
      <c r="Q281" s="54">
        <v>71.330000000000013</v>
      </c>
      <c r="R281" s="53">
        <f t="shared" si="14"/>
        <v>724</v>
      </c>
      <c r="S281" s="51">
        <v>6830.1100000000006</v>
      </c>
    </row>
    <row r="282" spans="1:19" ht="15" x14ac:dyDescent="0.25">
      <c r="A282" s="28"/>
      <c r="B282" s="45" t="str">
        <f t="shared" si="12"/>
        <v>Sep-2023</v>
      </c>
      <c r="C282" s="57">
        <v>45171</v>
      </c>
      <c r="D282" s="43">
        <f t="shared" si="13"/>
        <v>941</v>
      </c>
      <c r="E282" s="76">
        <v>13</v>
      </c>
      <c r="F282" s="50">
        <v>22</v>
      </c>
      <c r="G282" s="49">
        <v>11250</v>
      </c>
      <c r="H282" s="73">
        <v>22</v>
      </c>
      <c r="I282" s="52">
        <v>22</v>
      </c>
      <c r="J282" s="51">
        <v>5846.9000000000005</v>
      </c>
      <c r="K282" s="52"/>
      <c r="L282" s="51"/>
      <c r="M282" s="52">
        <v>14</v>
      </c>
      <c r="N282" s="49">
        <v>6701.78</v>
      </c>
      <c r="O282" s="75">
        <v>13</v>
      </c>
      <c r="P282" s="54">
        <v>1298.68</v>
      </c>
      <c r="Q282" s="54">
        <v>157.70000000000002</v>
      </c>
      <c r="R282" s="53">
        <f t="shared" si="14"/>
        <v>562.5</v>
      </c>
      <c r="S282" s="51">
        <v>5846.9000000000005</v>
      </c>
    </row>
    <row r="283" spans="1:19" ht="15" x14ac:dyDescent="0.25">
      <c r="A283" s="28"/>
      <c r="B283" s="45" t="str">
        <f t="shared" si="12"/>
        <v>Sep-2023</v>
      </c>
      <c r="C283" s="57">
        <v>45172</v>
      </c>
      <c r="D283" s="43">
        <f t="shared" si="13"/>
        <v>940</v>
      </c>
      <c r="E283" s="76">
        <v>10</v>
      </c>
      <c r="F283" s="50">
        <v>27</v>
      </c>
      <c r="G283" s="49">
        <v>15525</v>
      </c>
      <c r="H283" s="73">
        <v>27</v>
      </c>
      <c r="I283" s="52">
        <v>27</v>
      </c>
      <c r="J283" s="51">
        <v>6822.12</v>
      </c>
      <c r="K283" s="52"/>
      <c r="L283" s="51"/>
      <c r="M283" s="52">
        <v>17</v>
      </c>
      <c r="N283" s="49">
        <v>10151.86</v>
      </c>
      <c r="O283" s="75">
        <v>17</v>
      </c>
      <c r="P283" s="54">
        <v>1448.98</v>
      </c>
      <c r="Q283" s="54">
        <v>101.86</v>
      </c>
      <c r="R283" s="53">
        <f t="shared" si="14"/>
        <v>776.25</v>
      </c>
      <c r="S283" s="51">
        <v>6822.12</v>
      </c>
    </row>
    <row r="284" spans="1:19" ht="15" x14ac:dyDescent="0.25">
      <c r="A284" s="28"/>
      <c r="B284" s="45" t="str">
        <f t="shared" si="12"/>
        <v>Sep-2023</v>
      </c>
      <c r="C284" s="57">
        <v>45173</v>
      </c>
      <c r="D284" s="43">
        <f t="shared" si="13"/>
        <v>939</v>
      </c>
      <c r="E284" s="76">
        <v>14</v>
      </c>
      <c r="F284" s="50">
        <v>23</v>
      </c>
      <c r="G284" s="49">
        <v>12175</v>
      </c>
      <c r="H284" s="73">
        <v>23</v>
      </c>
      <c r="I284" s="52">
        <v>23</v>
      </c>
      <c r="J284" s="51">
        <v>9313.5</v>
      </c>
      <c r="K284" s="52"/>
      <c r="L284" s="51"/>
      <c r="M284" s="52">
        <v>10</v>
      </c>
      <c r="N284" s="49">
        <v>4759.32</v>
      </c>
      <c r="O284" s="75">
        <v>8</v>
      </c>
      <c r="P284" s="54">
        <v>1897.8200000000006</v>
      </c>
      <c r="Q284" s="54">
        <v>59.319999999999993</v>
      </c>
      <c r="R284" s="53">
        <f t="shared" si="14"/>
        <v>608.75</v>
      </c>
      <c r="S284" s="51">
        <v>9313.5</v>
      </c>
    </row>
    <row r="285" spans="1:19" ht="15" x14ac:dyDescent="0.25">
      <c r="A285" s="28"/>
      <c r="B285" s="45" t="str">
        <f t="shared" si="12"/>
        <v>Sep-2023</v>
      </c>
      <c r="C285" s="57">
        <v>45174</v>
      </c>
      <c r="D285" s="43">
        <f t="shared" si="13"/>
        <v>938</v>
      </c>
      <c r="E285" s="76">
        <v>10</v>
      </c>
      <c r="F285" s="50">
        <v>32</v>
      </c>
      <c r="G285" s="49">
        <v>18350</v>
      </c>
      <c r="H285" s="73">
        <v>31</v>
      </c>
      <c r="I285" s="52">
        <v>32</v>
      </c>
      <c r="J285" s="51">
        <v>7980.9299999999994</v>
      </c>
      <c r="K285" s="52">
        <v>1</v>
      </c>
      <c r="L285" s="51">
        <v>850.19</v>
      </c>
      <c r="M285" s="52">
        <v>24</v>
      </c>
      <c r="N285" s="49">
        <v>12070.29</v>
      </c>
      <c r="O285" s="75">
        <v>24</v>
      </c>
      <c r="P285" s="54">
        <v>1701.2199999999998</v>
      </c>
      <c r="Q285" s="54">
        <v>120.28999999999999</v>
      </c>
      <c r="R285" s="53">
        <f t="shared" si="14"/>
        <v>917.5</v>
      </c>
      <c r="S285" s="51">
        <v>7980.9299999999994</v>
      </c>
    </row>
    <row r="286" spans="1:19" ht="15" x14ac:dyDescent="0.25">
      <c r="A286" s="28"/>
      <c r="B286" s="45" t="str">
        <f t="shared" si="12"/>
        <v>Sep-2023</v>
      </c>
      <c r="C286" s="57">
        <v>45175</v>
      </c>
      <c r="D286" s="43">
        <f t="shared" si="13"/>
        <v>937</v>
      </c>
      <c r="E286" s="76">
        <v>19</v>
      </c>
      <c r="F286" s="50">
        <v>23</v>
      </c>
      <c r="G286" s="49">
        <v>13200</v>
      </c>
      <c r="H286" s="73">
        <v>23</v>
      </c>
      <c r="I286" s="52">
        <v>23</v>
      </c>
      <c r="J286" s="51">
        <v>8098.220000000003</v>
      </c>
      <c r="K286" s="52"/>
      <c r="L286" s="51"/>
      <c r="M286" s="52">
        <v>12</v>
      </c>
      <c r="N286" s="49">
        <v>6748.39</v>
      </c>
      <c r="O286" s="75">
        <v>11</v>
      </c>
      <c r="P286" s="54">
        <v>1646.6100000000006</v>
      </c>
      <c r="Q286" s="54">
        <v>48.39</v>
      </c>
      <c r="R286" s="53">
        <f t="shared" si="14"/>
        <v>660</v>
      </c>
      <c r="S286" s="51">
        <v>8098.220000000003</v>
      </c>
    </row>
    <row r="287" spans="1:19" ht="15" x14ac:dyDescent="0.25">
      <c r="A287" s="28"/>
      <c r="B287" s="45" t="str">
        <f t="shared" si="12"/>
        <v>Sep-2023</v>
      </c>
      <c r="C287" s="57">
        <v>45176</v>
      </c>
      <c r="D287" s="43">
        <f t="shared" si="13"/>
        <v>936</v>
      </c>
      <c r="E287" s="76">
        <v>18</v>
      </c>
      <c r="F287" s="50">
        <v>25</v>
      </c>
      <c r="G287" s="49">
        <v>13100</v>
      </c>
      <c r="H287" s="73">
        <v>25</v>
      </c>
      <c r="I287" s="52">
        <v>25</v>
      </c>
      <c r="J287" s="51">
        <v>8660.3099999999977</v>
      </c>
      <c r="K287" s="52"/>
      <c r="L287" s="51"/>
      <c r="M287" s="52">
        <v>12</v>
      </c>
      <c r="N287" s="49">
        <v>6183.12</v>
      </c>
      <c r="O287" s="75">
        <v>12</v>
      </c>
      <c r="P287" s="54">
        <v>1743.4299999999994</v>
      </c>
      <c r="Q287" s="54">
        <v>38.539999999999992</v>
      </c>
      <c r="R287" s="53">
        <f t="shared" si="14"/>
        <v>655</v>
      </c>
      <c r="S287" s="51">
        <v>8660.3099999999977</v>
      </c>
    </row>
    <row r="288" spans="1:19" ht="15" x14ac:dyDescent="0.25">
      <c r="A288" s="28"/>
      <c r="B288" s="45" t="str">
        <f t="shared" si="12"/>
        <v>Sep-2023</v>
      </c>
      <c r="C288" s="57">
        <v>45177</v>
      </c>
      <c r="D288" s="43">
        <f t="shared" si="13"/>
        <v>935</v>
      </c>
      <c r="E288" s="76">
        <v>7</v>
      </c>
      <c r="F288" s="50">
        <v>16</v>
      </c>
      <c r="G288" s="49">
        <v>8000</v>
      </c>
      <c r="H288" s="73">
        <v>15</v>
      </c>
      <c r="I288" s="52">
        <v>15</v>
      </c>
      <c r="J288" s="51">
        <v>5696.84</v>
      </c>
      <c r="K288" s="52">
        <v>1</v>
      </c>
      <c r="L288" s="51">
        <v>475</v>
      </c>
      <c r="M288" s="52">
        <v>6</v>
      </c>
      <c r="N288" s="49">
        <v>3460.59</v>
      </c>
      <c r="O288" s="75">
        <v>6</v>
      </c>
      <c r="P288" s="54">
        <v>1157.4300000000003</v>
      </c>
      <c r="Q288" s="54">
        <v>36.4</v>
      </c>
      <c r="R288" s="53">
        <f t="shared" si="14"/>
        <v>400</v>
      </c>
      <c r="S288" s="51">
        <v>5696.84</v>
      </c>
    </row>
    <row r="289" spans="1:19" ht="15" x14ac:dyDescent="0.25">
      <c r="A289" s="28"/>
      <c r="B289" s="45" t="str">
        <f t="shared" si="12"/>
        <v>Sep-2023</v>
      </c>
      <c r="C289" s="57">
        <v>45178</v>
      </c>
      <c r="D289" s="43">
        <f t="shared" si="13"/>
        <v>934</v>
      </c>
      <c r="E289" s="76">
        <v>13</v>
      </c>
      <c r="F289" s="50">
        <v>17</v>
      </c>
      <c r="G289" s="49">
        <v>10100</v>
      </c>
      <c r="H289" s="73">
        <v>17</v>
      </c>
      <c r="I289" s="52">
        <v>17</v>
      </c>
      <c r="J289" s="51">
        <v>5602.9500000000007</v>
      </c>
      <c r="K289" s="52"/>
      <c r="L289" s="51"/>
      <c r="M289" s="52">
        <v>8</v>
      </c>
      <c r="N289" s="49">
        <v>5631.55</v>
      </c>
      <c r="O289" s="75">
        <v>8</v>
      </c>
      <c r="P289" s="54">
        <v>1134.4999999999998</v>
      </c>
      <c r="Q289" s="54">
        <v>31.549999999999997</v>
      </c>
      <c r="R289" s="53">
        <f t="shared" si="14"/>
        <v>505</v>
      </c>
      <c r="S289" s="51">
        <v>5602.9500000000007</v>
      </c>
    </row>
    <row r="290" spans="1:19" ht="15" x14ac:dyDescent="0.25">
      <c r="A290" s="28"/>
      <c r="B290" s="45" t="str">
        <f t="shared" si="12"/>
        <v>Sep-2023</v>
      </c>
      <c r="C290" s="57">
        <v>45179</v>
      </c>
      <c r="D290" s="43">
        <f t="shared" si="13"/>
        <v>933</v>
      </c>
      <c r="E290" s="76">
        <v>21</v>
      </c>
      <c r="F290" s="50">
        <v>33</v>
      </c>
      <c r="G290" s="49">
        <v>19850</v>
      </c>
      <c r="H290" s="73">
        <v>33</v>
      </c>
      <c r="I290" s="52">
        <v>33</v>
      </c>
      <c r="J290" s="51">
        <v>11954.78</v>
      </c>
      <c r="K290" s="52"/>
      <c r="L290" s="51"/>
      <c r="M290" s="52">
        <v>14</v>
      </c>
      <c r="N290" s="49">
        <v>10356.709999999999</v>
      </c>
      <c r="O290" s="75">
        <v>14</v>
      </c>
      <c r="P290" s="54">
        <v>2461.4900000000007</v>
      </c>
      <c r="Q290" s="54">
        <v>107.47999999999999</v>
      </c>
      <c r="R290" s="53">
        <f t="shared" si="14"/>
        <v>992.5</v>
      </c>
      <c r="S290" s="51">
        <v>11954.78</v>
      </c>
    </row>
    <row r="291" spans="1:19" ht="15" x14ac:dyDescent="0.25">
      <c r="A291" s="28"/>
      <c r="B291" s="45" t="str">
        <f t="shared" si="12"/>
        <v>Sep-2023</v>
      </c>
      <c r="C291" s="57">
        <v>45180</v>
      </c>
      <c r="D291" s="43">
        <f t="shared" si="13"/>
        <v>932</v>
      </c>
      <c r="E291" s="76">
        <v>23</v>
      </c>
      <c r="F291" s="50">
        <v>37</v>
      </c>
      <c r="G291" s="49">
        <v>19580</v>
      </c>
      <c r="H291" s="73">
        <v>37</v>
      </c>
      <c r="I291" s="52">
        <v>37</v>
      </c>
      <c r="J291" s="51">
        <v>14283.390000000007</v>
      </c>
      <c r="K291" s="52"/>
      <c r="L291" s="51"/>
      <c r="M291" s="52">
        <v>18</v>
      </c>
      <c r="N291" s="49">
        <v>8169</v>
      </c>
      <c r="O291" s="75">
        <v>18</v>
      </c>
      <c r="P291" s="54">
        <v>2872.389999999999</v>
      </c>
      <c r="Q291" s="54">
        <v>69</v>
      </c>
      <c r="R291" s="53">
        <f t="shared" si="14"/>
        <v>979</v>
      </c>
      <c r="S291" s="51">
        <v>14283.390000000007</v>
      </c>
    </row>
    <row r="292" spans="1:19" ht="15" x14ac:dyDescent="0.25">
      <c r="A292" s="28"/>
      <c r="B292" s="45" t="str">
        <f t="shared" si="12"/>
        <v>Sep-2023</v>
      </c>
      <c r="C292" s="57">
        <v>45181</v>
      </c>
      <c r="D292" s="43">
        <f t="shared" si="13"/>
        <v>931</v>
      </c>
      <c r="E292" s="76">
        <v>23</v>
      </c>
      <c r="F292" s="50">
        <v>28</v>
      </c>
      <c r="G292" s="49">
        <v>14404</v>
      </c>
      <c r="H292" s="73">
        <v>28</v>
      </c>
      <c r="I292" s="52">
        <v>28</v>
      </c>
      <c r="J292" s="51">
        <v>10335.629999999999</v>
      </c>
      <c r="K292" s="52"/>
      <c r="L292" s="51"/>
      <c r="M292" s="52">
        <v>14</v>
      </c>
      <c r="N292" s="49">
        <v>6167.49</v>
      </c>
      <c r="O292" s="75">
        <v>14</v>
      </c>
      <c r="P292" s="54">
        <v>2099.1200000000008</v>
      </c>
      <c r="Q292" s="54">
        <v>69.53</v>
      </c>
      <c r="R292" s="53">
        <f t="shared" si="14"/>
        <v>720.2</v>
      </c>
      <c r="S292" s="51">
        <v>10335.629999999999</v>
      </c>
    </row>
    <row r="293" spans="1:19" ht="15" x14ac:dyDescent="0.25">
      <c r="A293" s="28"/>
      <c r="B293" s="45" t="str">
        <f t="shared" si="12"/>
        <v>Sep-2023</v>
      </c>
      <c r="C293" s="57">
        <v>45182</v>
      </c>
      <c r="D293" s="43">
        <f t="shared" si="13"/>
        <v>930</v>
      </c>
      <c r="E293" s="76">
        <v>28</v>
      </c>
      <c r="F293" s="50">
        <v>38</v>
      </c>
      <c r="G293" s="49">
        <v>20300</v>
      </c>
      <c r="H293" s="73">
        <v>38</v>
      </c>
      <c r="I293" s="52">
        <v>38</v>
      </c>
      <c r="J293" s="51">
        <v>13079.140000000003</v>
      </c>
      <c r="K293" s="52">
        <v>1</v>
      </c>
      <c r="L293" s="51">
        <v>500.11</v>
      </c>
      <c r="M293" s="52">
        <v>34</v>
      </c>
      <c r="N293" s="49">
        <v>9968.33</v>
      </c>
      <c r="O293" s="75">
        <v>34</v>
      </c>
      <c r="P293" s="54">
        <v>2747.47</v>
      </c>
      <c r="Q293" s="54">
        <v>248.63</v>
      </c>
      <c r="R293" s="53">
        <f t="shared" si="14"/>
        <v>1015</v>
      </c>
      <c r="S293" s="51">
        <v>13079.140000000003</v>
      </c>
    </row>
    <row r="294" spans="1:19" ht="15" x14ac:dyDescent="0.25">
      <c r="A294" s="28"/>
      <c r="B294" s="45" t="str">
        <f t="shared" si="12"/>
        <v>Sep-2023</v>
      </c>
      <c r="C294" s="57">
        <v>45183</v>
      </c>
      <c r="D294" s="43">
        <f t="shared" si="13"/>
        <v>929</v>
      </c>
      <c r="E294" s="76">
        <v>14</v>
      </c>
      <c r="F294" s="50">
        <v>34</v>
      </c>
      <c r="G294" s="49">
        <v>18670</v>
      </c>
      <c r="H294" s="73">
        <v>34</v>
      </c>
      <c r="I294" s="52">
        <v>34</v>
      </c>
      <c r="J294" s="51">
        <v>8883.7799999999988</v>
      </c>
      <c r="K294" s="52"/>
      <c r="L294" s="51"/>
      <c r="M294" s="52">
        <v>22</v>
      </c>
      <c r="N294" s="49">
        <v>11648.38</v>
      </c>
      <c r="O294" s="75">
        <v>22</v>
      </c>
      <c r="P294" s="54">
        <v>1862.16</v>
      </c>
      <c r="Q294" s="54">
        <v>125.72000000000001</v>
      </c>
      <c r="R294" s="53">
        <f t="shared" si="14"/>
        <v>933.5</v>
      </c>
      <c r="S294" s="51">
        <v>8883.7799999999988</v>
      </c>
    </row>
    <row r="295" spans="1:19" ht="15" x14ac:dyDescent="0.25">
      <c r="A295" s="28"/>
      <c r="B295" s="45" t="str">
        <f t="shared" si="12"/>
        <v>Sep-2023</v>
      </c>
      <c r="C295" s="57">
        <v>45184</v>
      </c>
      <c r="D295" s="43">
        <f t="shared" si="13"/>
        <v>928</v>
      </c>
      <c r="E295" s="76">
        <v>5</v>
      </c>
      <c r="F295" s="50">
        <v>19</v>
      </c>
      <c r="G295" s="49">
        <v>9910</v>
      </c>
      <c r="H295" s="73">
        <v>19</v>
      </c>
      <c r="I295" s="52">
        <v>19</v>
      </c>
      <c r="J295" s="51">
        <v>6618.02</v>
      </c>
      <c r="K295" s="52">
        <v>1</v>
      </c>
      <c r="L295" s="51">
        <v>160</v>
      </c>
      <c r="M295" s="52">
        <v>12</v>
      </c>
      <c r="N295" s="49">
        <v>4643.04</v>
      </c>
      <c r="O295" s="75">
        <v>12</v>
      </c>
      <c r="P295" s="54">
        <v>1351.0600000000002</v>
      </c>
      <c r="Q295" s="54">
        <v>58.39</v>
      </c>
      <c r="R295" s="53">
        <f t="shared" si="14"/>
        <v>495.5</v>
      </c>
      <c r="S295" s="51">
        <v>6618.02</v>
      </c>
    </row>
    <row r="296" spans="1:19" ht="15" x14ac:dyDescent="0.25">
      <c r="A296" s="28"/>
      <c r="B296" s="45" t="str">
        <f t="shared" si="12"/>
        <v>Sep-2023</v>
      </c>
      <c r="C296" s="57">
        <v>45185</v>
      </c>
      <c r="D296" s="43">
        <f t="shared" si="13"/>
        <v>927</v>
      </c>
      <c r="E296" s="76">
        <v>19</v>
      </c>
      <c r="F296" s="50">
        <v>33</v>
      </c>
      <c r="G296" s="49">
        <v>16450</v>
      </c>
      <c r="H296" s="73">
        <v>33</v>
      </c>
      <c r="I296" s="52">
        <v>33</v>
      </c>
      <c r="J296" s="51">
        <v>11113.65</v>
      </c>
      <c r="K296" s="52"/>
      <c r="L296" s="51"/>
      <c r="M296" s="52">
        <v>26</v>
      </c>
      <c r="N296" s="49">
        <v>7575.61</v>
      </c>
      <c r="O296" s="75">
        <v>23</v>
      </c>
      <c r="P296" s="54">
        <v>2239.2600000000002</v>
      </c>
      <c r="Q296" s="54">
        <v>75.27000000000001</v>
      </c>
      <c r="R296" s="53">
        <f t="shared" si="14"/>
        <v>822.5</v>
      </c>
      <c r="S296" s="51">
        <v>11113.649999999998</v>
      </c>
    </row>
    <row r="297" spans="1:19" ht="15" x14ac:dyDescent="0.25">
      <c r="A297" s="28"/>
      <c r="B297" s="45" t="str">
        <f t="shared" si="12"/>
        <v>Sep-2023</v>
      </c>
      <c r="C297" s="57">
        <v>45186</v>
      </c>
      <c r="D297" s="43">
        <f t="shared" si="13"/>
        <v>926</v>
      </c>
      <c r="E297" s="76">
        <v>10</v>
      </c>
      <c r="F297" s="50">
        <v>31</v>
      </c>
      <c r="G297" s="49">
        <v>16720</v>
      </c>
      <c r="H297" s="73">
        <v>31</v>
      </c>
      <c r="I297" s="52">
        <v>31</v>
      </c>
      <c r="J297" s="51">
        <v>8593.3300000000017</v>
      </c>
      <c r="K297" s="52">
        <v>1</v>
      </c>
      <c r="L297" s="51">
        <v>465</v>
      </c>
      <c r="M297" s="52">
        <v>24</v>
      </c>
      <c r="N297" s="49">
        <v>10081.89</v>
      </c>
      <c r="O297" s="75">
        <v>23</v>
      </c>
      <c r="P297" s="54">
        <v>1955.2200000000003</v>
      </c>
      <c r="Q297" s="54">
        <v>281.89000000000004</v>
      </c>
      <c r="R297" s="53">
        <f t="shared" si="14"/>
        <v>836</v>
      </c>
      <c r="S297" s="51">
        <v>8593.3300000000017</v>
      </c>
    </row>
    <row r="298" spans="1:19" ht="15" x14ac:dyDescent="0.25">
      <c r="A298" s="28"/>
      <c r="B298" s="45" t="str">
        <f t="shared" si="12"/>
        <v>Sep-2023</v>
      </c>
      <c r="C298" s="57">
        <v>45187</v>
      </c>
      <c r="D298" s="43">
        <f t="shared" si="13"/>
        <v>925</v>
      </c>
      <c r="E298" s="76">
        <v>9</v>
      </c>
      <c r="F298" s="50">
        <v>32</v>
      </c>
      <c r="G298" s="49">
        <v>16950</v>
      </c>
      <c r="H298" s="73">
        <v>31</v>
      </c>
      <c r="I298" s="52">
        <v>32</v>
      </c>
      <c r="J298" s="51">
        <v>6861.88</v>
      </c>
      <c r="K298" s="52">
        <v>1</v>
      </c>
      <c r="L298" s="51">
        <v>500.11</v>
      </c>
      <c r="M298" s="52">
        <v>22</v>
      </c>
      <c r="N298" s="49">
        <v>11497.39</v>
      </c>
      <c r="O298" s="75">
        <v>22</v>
      </c>
      <c r="P298" s="54">
        <v>1409.2699999999998</v>
      </c>
      <c r="Q298" s="54">
        <v>74.95</v>
      </c>
      <c r="R298" s="53">
        <f t="shared" si="14"/>
        <v>847.5</v>
      </c>
      <c r="S298" s="51">
        <v>6861.88</v>
      </c>
    </row>
    <row r="299" spans="1:19" ht="15" x14ac:dyDescent="0.25">
      <c r="A299" s="28"/>
      <c r="B299" s="45" t="str">
        <f t="shared" si="12"/>
        <v>Sep-2023</v>
      </c>
      <c r="C299" s="57">
        <v>45188</v>
      </c>
      <c r="D299" s="43">
        <f t="shared" si="13"/>
        <v>924</v>
      </c>
      <c r="E299" s="76">
        <v>15</v>
      </c>
      <c r="F299" s="50">
        <v>31</v>
      </c>
      <c r="G299" s="49">
        <v>16550</v>
      </c>
      <c r="H299" s="73">
        <v>31</v>
      </c>
      <c r="I299" s="52">
        <v>31</v>
      </c>
      <c r="J299" s="51">
        <v>9996.73</v>
      </c>
      <c r="K299" s="52">
        <v>1</v>
      </c>
      <c r="L299" s="51">
        <v>500.11</v>
      </c>
      <c r="M299" s="52">
        <v>16</v>
      </c>
      <c r="N299" s="49">
        <v>8616.82</v>
      </c>
      <c r="O299" s="75">
        <v>16</v>
      </c>
      <c r="P299" s="54">
        <v>2063.5499999999997</v>
      </c>
      <c r="Q299" s="54">
        <v>116.08999999999999</v>
      </c>
      <c r="R299" s="53">
        <f t="shared" si="14"/>
        <v>827.5</v>
      </c>
      <c r="S299" s="51">
        <v>9996.73</v>
      </c>
    </row>
    <row r="300" spans="1:19" ht="15" x14ac:dyDescent="0.25">
      <c r="A300" s="28"/>
      <c r="B300" s="45" t="str">
        <f t="shared" si="12"/>
        <v>Sep-2023</v>
      </c>
      <c r="C300" s="57">
        <v>45189</v>
      </c>
      <c r="D300" s="43">
        <f t="shared" si="13"/>
        <v>923</v>
      </c>
      <c r="E300" s="76">
        <v>19</v>
      </c>
      <c r="F300" s="50">
        <v>31</v>
      </c>
      <c r="G300" s="49">
        <v>15350</v>
      </c>
      <c r="H300" s="73">
        <v>31</v>
      </c>
      <c r="I300" s="52">
        <v>31</v>
      </c>
      <c r="J300" s="51">
        <v>9361.4700000000012</v>
      </c>
      <c r="K300" s="52"/>
      <c r="L300" s="51"/>
      <c r="M300" s="52">
        <v>31</v>
      </c>
      <c r="N300" s="49">
        <v>7898.15</v>
      </c>
      <c r="O300" s="75">
        <v>28</v>
      </c>
      <c r="P300" s="54">
        <v>1909.619999999999</v>
      </c>
      <c r="Q300" s="54">
        <v>96.43</v>
      </c>
      <c r="R300" s="53">
        <f t="shared" si="14"/>
        <v>767.5</v>
      </c>
      <c r="S300" s="51">
        <v>9361.4699999999993</v>
      </c>
    </row>
    <row r="301" spans="1:19" ht="15" x14ac:dyDescent="0.25">
      <c r="A301" s="28"/>
      <c r="B301" s="45" t="str">
        <f t="shared" si="12"/>
        <v>Sep-2023</v>
      </c>
      <c r="C301" s="57">
        <v>45190</v>
      </c>
      <c r="D301" s="43">
        <f t="shared" si="13"/>
        <v>922</v>
      </c>
      <c r="E301" s="76">
        <v>9</v>
      </c>
      <c r="F301" s="50">
        <v>21</v>
      </c>
      <c r="G301" s="49">
        <v>11000</v>
      </c>
      <c r="H301" s="73">
        <v>21</v>
      </c>
      <c r="I301" s="52">
        <v>21</v>
      </c>
      <c r="J301" s="51">
        <v>4403.3999999999996</v>
      </c>
      <c r="K301" s="52"/>
      <c r="L301" s="51"/>
      <c r="M301" s="52">
        <v>15</v>
      </c>
      <c r="N301" s="49">
        <v>7507.16</v>
      </c>
      <c r="O301" s="75">
        <v>14</v>
      </c>
      <c r="P301" s="54">
        <v>910.56</v>
      </c>
      <c r="Q301" s="54">
        <v>56.169999999999995</v>
      </c>
      <c r="R301" s="53">
        <f t="shared" si="14"/>
        <v>550</v>
      </c>
      <c r="S301" s="51">
        <v>4403.3999999999996</v>
      </c>
    </row>
    <row r="302" spans="1:19" ht="15" x14ac:dyDescent="0.25">
      <c r="A302" s="28"/>
      <c r="B302" s="45" t="str">
        <f t="shared" si="12"/>
        <v>Sep-2023</v>
      </c>
      <c r="C302" s="57">
        <v>45191</v>
      </c>
      <c r="D302" s="43">
        <f t="shared" si="13"/>
        <v>921</v>
      </c>
      <c r="E302" s="76">
        <v>16</v>
      </c>
      <c r="F302" s="50">
        <v>30</v>
      </c>
      <c r="G302" s="49">
        <v>15580</v>
      </c>
      <c r="H302" s="73">
        <v>30</v>
      </c>
      <c r="I302" s="52">
        <v>30</v>
      </c>
      <c r="J302" s="51">
        <v>12444.370000000003</v>
      </c>
      <c r="K302" s="52"/>
      <c r="L302" s="51"/>
      <c r="M302" s="52">
        <v>10</v>
      </c>
      <c r="N302" s="49">
        <v>5597.75</v>
      </c>
      <c r="O302" s="75">
        <v>10</v>
      </c>
      <c r="P302" s="54">
        <v>2462.1199999999994</v>
      </c>
      <c r="Q302" s="54">
        <v>46.63</v>
      </c>
      <c r="R302" s="53">
        <f t="shared" si="14"/>
        <v>779</v>
      </c>
      <c r="S302" s="51">
        <v>12444.37</v>
      </c>
    </row>
    <row r="303" spans="1:19" ht="15" x14ac:dyDescent="0.25">
      <c r="A303" s="28"/>
      <c r="B303" s="45" t="str">
        <f t="shared" si="12"/>
        <v>Sep-2023</v>
      </c>
      <c r="C303" s="57">
        <v>45192</v>
      </c>
      <c r="D303" s="43">
        <f t="shared" si="13"/>
        <v>920</v>
      </c>
      <c r="E303" s="76">
        <v>16</v>
      </c>
      <c r="F303" s="50">
        <v>26</v>
      </c>
      <c r="G303" s="49">
        <v>14770</v>
      </c>
      <c r="H303" s="73">
        <v>26</v>
      </c>
      <c r="I303" s="52">
        <v>26</v>
      </c>
      <c r="J303" s="51">
        <v>6670.9199999999983</v>
      </c>
      <c r="K303" s="52"/>
      <c r="L303" s="51"/>
      <c r="M303" s="52">
        <v>16</v>
      </c>
      <c r="N303" s="49">
        <v>9454.6299999999992</v>
      </c>
      <c r="O303" s="75">
        <v>16</v>
      </c>
      <c r="P303" s="54">
        <v>1355.55</v>
      </c>
      <c r="Q303" s="54">
        <v>59.66</v>
      </c>
      <c r="R303" s="53">
        <f t="shared" si="14"/>
        <v>738.5</v>
      </c>
      <c r="S303" s="51">
        <v>6670.9199999999983</v>
      </c>
    </row>
    <row r="304" spans="1:19" ht="15" x14ac:dyDescent="0.25">
      <c r="A304" s="28"/>
      <c r="B304" s="45" t="str">
        <f t="shared" si="12"/>
        <v>Sep-2023</v>
      </c>
      <c r="C304" s="57">
        <v>45193</v>
      </c>
      <c r="D304" s="43">
        <f t="shared" si="13"/>
        <v>919</v>
      </c>
      <c r="E304" s="76">
        <v>12</v>
      </c>
      <c r="F304" s="50">
        <v>29</v>
      </c>
      <c r="G304" s="49">
        <v>17325</v>
      </c>
      <c r="H304" s="73">
        <v>29</v>
      </c>
      <c r="I304" s="52">
        <v>29</v>
      </c>
      <c r="J304" s="51">
        <v>8064.5800000000017</v>
      </c>
      <c r="K304" s="52"/>
      <c r="L304" s="51"/>
      <c r="M304" s="52">
        <v>21</v>
      </c>
      <c r="N304" s="49">
        <v>10923.86</v>
      </c>
      <c r="O304" s="75">
        <v>21</v>
      </c>
      <c r="P304" s="54">
        <v>1663.4399999999994</v>
      </c>
      <c r="Q304" s="54">
        <v>97.47999999999999</v>
      </c>
      <c r="R304" s="53">
        <f t="shared" si="14"/>
        <v>866.25</v>
      </c>
      <c r="S304" s="51">
        <v>8064.5800000000017</v>
      </c>
    </row>
    <row r="305" spans="1:19" ht="15" x14ac:dyDescent="0.25">
      <c r="A305" s="28"/>
      <c r="B305" s="45" t="str">
        <f t="shared" si="12"/>
        <v>Sep-2023</v>
      </c>
      <c r="C305" s="57">
        <v>45194</v>
      </c>
      <c r="D305" s="43">
        <f t="shared" si="13"/>
        <v>918</v>
      </c>
      <c r="E305" s="76">
        <v>16</v>
      </c>
      <c r="F305" s="50">
        <v>32</v>
      </c>
      <c r="G305" s="49">
        <v>16630</v>
      </c>
      <c r="H305" s="73">
        <v>32</v>
      </c>
      <c r="I305" s="52">
        <v>32</v>
      </c>
      <c r="J305" s="51">
        <v>11737.289999999999</v>
      </c>
      <c r="K305" s="52"/>
      <c r="L305" s="51"/>
      <c r="M305" s="52">
        <v>19</v>
      </c>
      <c r="N305" s="49">
        <v>7305.76</v>
      </c>
      <c r="O305" s="75">
        <v>15</v>
      </c>
      <c r="P305" s="54">
        <v>2413.0499999999988</v>
      </c>
      <c r="Q305" s="54">
        <v>149.72000000000003</v>
      </c>
      <c r="R305" s="53">
        <f t="shared" si="14"/>
        <v>831.5</v>
      </c>
      <c r="S305" s="51">
        <v>11737.29</v>
      </c>
    </row>
    <row r="306" spans="1:19" ht="15" x14ac:dyDescent="0.25">
      <c r="A306" s="28"/>
      <c r="B306" s="45" t="str">
        <f t="shared" si="12"/>
        <v>Sep-2023</v>
      </c>
      <c r="C306" s="57">
        <v>45195</v>
      </c>
      <c r="D306" s="43">
        <f t="shared" si="13"/>
        <v>917</v>
      </c>
      <c r="E306" s="76">
        <v>9</v>
      </c>
      <c r="F306" s="50">
        <v>17</v>
      </c>
      <c r="G306" s="49">
        <v>10600</v>
      </c>
      <c r="H306" s="73">
        <v>17</v>
      </c>
      <c r="I306" s="52">
        <v>17</v>
      </c>
      <c r="J306" s="51">
        <v>6577.4900000000007</v>
      </c>
      <c r="K306" s="52"/>
      <c r="L306" s="51"/>
      <c r="M306" s="52">
        <v>9</v>
      </c>
      <c r="N306" s="49">
        <v>5446.42</v>
      </c>
      <c r="O306" s="75">
        <v>8</v>
      </c>
      <c r="P306" s="54">
        <v>1423.9100000000003</v>
      </c>
      <c r="Q306" s="54">
        <v>146.41999999999996</v>
      </c>
      <c r="R306" s="53">
        <f t="shared" si="14"/>
        <v>530</v>
      </c>
      <c r="S306" s="51">
        <v>6577.4900000000007</v>
      </c>
    </row>
    <row r="307" spans="1:19" ht="15" x14ac:dyDescent="0.25">
      <c r="A307" s="28"/>
      <c r="B307" s="45" t="str">
        <f t="shared" si="12"/>
        <v>Sep-2023</v>
      </c>
      <c r="C307" s="57">
        <v>45196</v>
      </c>
      <c r="D307" s="43">
        <f t="shared" si="13"/>
        <v>916</v>
      </c>
      <c r="E307" s="76">
        <v>12</v>
      </c>
      <c r="F307" s="50">
        <v>22</v>
      </c>
      <c r="G307" s="49">
        <v>11670</v>
      </c>
      <c r="H307" s="73">
        <v>22</v>
      </c>
      <c r="I307" s="52">
        <v>22</v>
      </c>
      <c r="J307" s="51">
        <v>5033.79</v>
      </c>
      <c r="K307" s="52">
        <v>1</v>
      </c>
      <c r="L307" s="51">
        <v>1000.22</v>
      </c>
      <c r="M307" s="52">
        <v>17</v>
      </c>
      <c r="N307" s="49">
        <v>7685.97</v>
      </c>
      <c r="O307" s="75">
        <v>17</v>
      </c>
      <c r="P307" s="54">
        <v>1049.76</v>
      </c>
      <c r="Q307" s="54">
        <v>82.43</v>
      </c>
      <c r="R307" s="53">
        <f t="shared" si="14"/>
        <v>583.5</v>
      </c>
      <c r="S307" s="51">
        <v>5033.79</v>
      </c>
    </row>
    <row r="308" spans="1:19" ht="15" x14ac:dyDescent="0.25">
      <c r="A308" s="28"/>
      <c r="B308" s="45" t="str">
        <f t="shared" si="12"/>
        <v>Sep-2023</v>
      </c>
      <c r="C308" s="57">
        <v>45197</v>
      </c>
      <c r="D308" s="43">
        <f t="shared" si="13"/>
        <v>915</v>
      </c>
      <c r="E308" s="76">
        <v>6</v>
      </c>
      <c r="F308" s="50">
        <v>11</v>
      </c>
      <c r="G308" s="49">
        <v>6100</v>
      </c>
      <c r="H308" s="73">
        <v>11</v>
      </c>
      <c r="I308" s="52">
        <v>11</v>
      </c>
      <c r="J308" s="51">
        <v>1915.8000000000002</v>
      </c>
      <c r="K308" s="52"/>
      <c r="L308" s="51"/>
      <c r="M308" s="52">
        <v>10</v>
      </c>
      <c r="N308" s="49">
        <v>4588.2700000000004</v>
      </c>
      <c r="O308" s="75">
        <v>8</v>
      </c>
      <c r="P308" s="54">
        <v>404.07</v>
      </c>
      <c r="Q308" s="54">
        <v>36.370000000000005</v>
      </c>
      <c r="R308" s="53">
        <f t="shared" si="14"/>
        <v>305</v>
      </c>
      <c r="S308" s="51">
        <v>1915.8000000000002</v>
      </c>
    </row>
    <row r="309" spans="1:19" ht="15" x14ac:dyDescent="0.25">
      <c r="A309" s="28"/>
      <c r="B309" s="45" t="str">
        <f t="shared" si="12"/>
        <v>Sep-2023</v>
      </c>
      <c r="C309" s="57">
        <v>45198</v>
      </c>
      <c r="D309" s="43">
        <f t="shared" si="13"/>
        <v>914</v>
      </c>
      <c r="E309" s="76">
        <v>30</v>
      </c>
      <c r="F309" s="50">
        <v>19</v>
      </c>
      <c r="G309" s="49">
        <v>9850</v>
      </c>
      <c r="H309" s="73">
        <v>19</v>
      </c>
      <c r="I309" s="52">
        <v>19</v>
      </c>
      <c r="J309" s="51">
        <v>6254.9299999999994</v>
      </c>
      <c r="K309" s="52"/>
      <c r="L309" s="51"/>
      <c r="M309" s="52">
        <v>11</v>
      </c>
      <c r="N309" s="49">
        <v>4887.3999999999996</v>
      </c>
      <c r="O309" s="75">
        <v>9</v>
      </c>
      <c r="P309" s="54">
        <v>1292.3300000000006</v>
      </c>
      <c r="Q309" s="54">
        <v>85.36999999999999</v>
      </c>
      <c r="R309" s="53">
        <f t="shared" si="14"/>
        <v>492.5</v>
      </c>
      <c r="S309" s="51">
        <v>6254.9299999999994</v>
      </c>
    </row>
    <row r="310" spans="1:19" ht="15" x14ac:dyDescent="0.25">
      <c r="A310" s="28"/>
      <c r="B310" s="45" t="str">
        <f t="shared" si="12"/>
        <v>Sep-2023</v>
      </c>
      <c r="C310" s="57">
        <v>45199</v>
      </c>
      <c r="D310" s="43">
        <f t="shared" si="13"/>
        <v>913</v>
      </c>
      <c r="E310" s="76">
        <v>25</v>
      </c>
      <c r="F310" s="50">
        <v>7</v>
      </c>
      <c r="G310" s="49">
        <v>3500</v>
      </c>
      <c r="H310" s="73">
        <v>7</v>
      </c>
      <c r="I310" s="52">
        <v>7</v>
      </c>
      <c r="J310" s="51">
        <v>3152.4000000000005</v>
      </c>
      <c r="K310" s="52"/>
      <c r="L310" s="51"/>
      <c r="M310" s="52">
        <v>3</v>
      </c>
      <c r="N310" s="49">
        <v>980.6</v>
      </c>
      <c r="O310" s="75">
        <v>3</v>
      </c>
      <c r="P310" s="54">
        <v>632.99999999999989</v>
      </c>
      <c r="Q310" s="54">
        <v>27.21</v>
      </c>
      <c r="R310" s="53">
        <f t="shared" si="14"/>
        <v>175</v>
      </c>
      <c r="S310" s="51">
        <v>3152.4000000000005</v>
      </c>
    </row>
    <row r="311" spans="1:19" ht="15" x14ac:dyDescent="0.25">
      <c r="A311" s="28"/>
      <c r="B311" s="45" t="str">
        <f t="shared" si="12"/>
        <v>Oct-2023</v>
      </c>
      <c r="C311" s="57">
        <v>45200</v>
      </c>
      <c r="D311" s="43">
        <f t="shared" si="13"/>
        <v>912</v>
      </c>
      <c r="E311" s="76">
        <v>9</v>
      </c>
      <c r="F311" s="50">
        <v>5</v>
      </c>
      <c r="G311" s="49">
        <v>3000</v>
      </c>
      <c r="H311" s="73">
        <v>5</v>
      </c>
      <c r="I311" s="52">
        <v>5</v>
      </c>
      <c r="J311" s="51">
        <v>1239.3800000000001</v>
      </c>
      <c r="K311" s="52"/>
      <c r="L311" s="51"/>
      <c r="M311" s="52">
        <v>3</v>
      </c>
      <c r="N311" s="49">
        <v>2008.79</v>
      </c>
      <c r="O311" s="75">
        <v>3</v>
      </c>
      <c r="P311" s="54">
        <v>248.17</v>
      </c>
      <c r="Q311" s="54">
        <v>8.7899999999999991</v>
      </c>
      <c r="R311" s="53">
        <f t="shared" si="14"/>
        <v>150</v>
      </c>
      <c r="S311" s="51">
        <v>1239.3800000000001</v>
      </c>
    </row>
    <row r="312" spans="1:19" ht="15" x14ac:dyDescent="0.25">
      <c r="A312" s="28"/>
      <c r="B312" s="45" t="str">
        <f t="shared" si="12"/>
        <v>Oct-2023</v>
      </c>
      <c r="C312" s="57">
        <v>45201</v>
      </c>
      <c r="D312" s="43">
        <f t="shared" si="13"/>
        <v>911</v>
      </c>
      <c r="E312" s="76">
        <v>9</v>
      </c>
      <c r="F312" s="50">
        <v>3</v>
      </c>
      <c r="G312" s="49">
        <v>1500</v>
      </c>
      <c r="H312" s="73">
        <v>3</v>
      </c>
      <c r="I312" s="52">
        <v>3</v>
      </c>
      <c r="J312" s="51">
        <v>619.55999999999995</v>
      </c>
      <c r="K312" s="52"/>
      <c r="L312" s="51"/>
      <c r="M312" s="52">
        <v>2</v>
      </c>
      <c r="N312" s="49">
        <v>1003.97</v>
      </c>
      <c r="O312" s="75">
        <v>2</v>
      </c>
      <c r="P312" s="54">
        <v>123.53000000000002</v>
      </c>
      <c r="Q312" s="54">
        <v>3.97</v>
      </c>
      <c r="R312" s="53">
        <f t="shared" si="14"/>
        <v>75</v>
      </c>
      <c r="S312" s="51">
        <v>619.55999999999995</v>
      </c>
    </row>
    <row r="313" spans="1:19" ht="15" x14ac:dyDescent="0.25">
      <c r="A313" s="28"/>
      <c r="B313" s="45" t="str">
        <f t="shared" si="12"/>
        <v>Oct-2023</v>
      </c>
      <c r="C313" s="57">
        <v>45202</v>
      </c>
      <c r="D313" s="43">
        <f t="shared" si="13"/>
        <v>910</v>
      </c>
      <c r="E313" s="76">
        <v>9</v>
      </c>
      <c r="F313" s="50">
        <v>7</v>
      </c>
      <c r="G313" s="49">
        <v>3470</v>
      </c>
      <c r="H313" s="73">
        <v>7</v>
      </c>
      <c r="I313" s="52">
        <v>7</v>
      </c>
      <c r="J313" s="51">
        <v>2548.33</v>
      </c>
      <c r="K313" s="52"/>
      <c r="L313" s="51"/>
      <c r="M313" s="52">
        <v>3</v>
      </c>
      <c r="N313" s="49">
        <v>1455.81</v>
      </c>
      <c r="O313" s="75">
        <v>3</v>
      </c>
      <c r="P313" s="54">
        <v>534.14</v>
      </c>
      <c r="Q313" s="54">
        <v>50.709999999999994</v>
      </c>
      <c r="R313" s="53">
        <f t="shared" si="14"/>
        <v>173.5</v>
      </c>
      <c r="S313" s="51">
        <v>2548.33</v>
      </c>
    </row>
    <row r="314" spans="1:19" ht="15" x14ac:dyDescent="0.25">
      <c r="A314" s="28"/>
      <c r="B314" s="45" t="str">
        <f t="shared" si="12"/>
        <v>Oct-2023</v>
      </c>
      <c r="C314" s="57">
        <v>45203</v>
      </c>
      <c r="D314" s="43">
        <f t="shared" si="13"/>
        <v>909</v>
      </c>
      <c r="E314" s="76">
        <v>6</v>
      </c>
      <c r="F314" s="50">
        <v>2</v>
      </c>
      <c r="G314" s="49">
        <v>1000</v>
      </c>
      <c r="H314" s="73">
        <v>2</v>
      </c>
      <c r="I314" s="52">
        <v>2</v>
      </c>
      <c r="J314" s="51">
        <v>1238.5999999999999</v>
      </c>
      <c r="K314" s="52"/>
      <c r="L314" s="51"/>
      <c r="M314" s="52"/>
      <c r="N314" s="49"/>
      <c r="O314" s="75"/>
      <c r="P314" s="54">
        <v>238.6</v>
      </c>
      <c r="Q314" s="54">
        <v>0</v>
      </c>
      <c r="R314" s="53">
        <f t="shared" si="14"/>
        <v>50</v>
      </c>
      <c r="S314" s="51">
        <v>1238.5999999999999</v>
      </c>
    </row>
    <row r="315" spans="1:19" ht="15" x14ac:dyDescent="0.25">
      <c r="A315" s="28"/>
      <c r="B315" s="45" t="str">
        <f t="shared" si="12"/>
        <v>Oct-2023</v>
      </c>
      <c r="C315" s="57">
        <v>45204</v>
      </c>
      <c r="D315" s="43">
        <f t="shared" si="13"/>
        <v>908</v>
      </c>
      <c r="E315" s="76">
        <v>26</v>
      </c>
      <c r="F315" s="50">
        <v>36</v>
      </c>
      <c r="G315" s="49">
        <v>19520</v>
      </c>
      <c r="H315" s="73">
        <v>36</v>
      </c>
      <c r="I315" s="52">
        <v>36</v>
      </c>
      <c r="J315" s="51">
        <v>13424.26</v>
      </c>
      <c r="K315" s="52"/>
      <c r="L315" s="51"/>
      <c r="M315" s="52">
        <v>31</v>
      </c>
      <c r="N315" s="49">
        <v>8774.48</v>
      </c>
      <c r="O315" s="75">
        <v>26</v>
      </c>
      <c r="P315" s="54">
        <v>2678.7400000000007</v>
      </c>
      <c r="Q315" s="54">
        <v>114.94999999999999</v>
      </c>
      <c r="R315" s="53">
        <f t="shared" si="14"/>
        <v>976</v>
      </c>
      <c r="S315" s="51">
        <v>13424.26</v>
      </c>
    </row>
    <row r="316" spans="1:19" ht="15" x14ac:dyDescent="0.25">
      <c r="A316" s="28"/>
      <c r="B316" s="45" t="str">
        <f t="shared" si="12"/>
        <v>Oct-2023</v>
      </c>
      <c r="C316" s="57">
        <v>45205</v>
      </c>
      <c r="D316" s="43">
        <f t="shared" si="13"/>
        <v>907</v>
      </c>
      <c r="E316" s="76">
        <v>18</v>
      </c>
      <c r="F316" s="50">
        <v>43</v>
      </c>
      <c r="G316" s="49">
        <v>24120</v>
      </c>
      <c r="H316" s="73">
        <v>43</v>
      </c>
      <c r="I316" s="52">
        <v>43</v>
      </c>
      <c r="J316" s="51">
        <v>9360.82</v>
      </c>
      <c r="K316" s="52"/>
      <c r="L316" s="51"/>
      <c r="M316" s="52">
        <v>30</v>
      </c>
      <c r="N316" s="49">
        <v>16742.580000000002</v>
      </c>
      <c r="O316" s="75">
        <v>30</v>
      </c>
      <c r="P316" s="54">
        <v>1983.3999999999996</v>
      </c>
      <c r="Q316" s="54">
        <v>190.40999999999997</v>
      </c>
      <c r="R316" s="53">
        <f t="shared" si="14"/>
        <v>1206</v>
      </c>
      <c r="S316" s="51">
        <v>9360.8200000000015</v>
      </c>
    </row>
    <row r="317" spans="1:19" ht="15" x14ac:dyDescent="0.25">
      <c r="A317" s="28"/>
      <c r="B317" s="45" t="str">
        <f t="shared" si="12"/>
        <v>Oct-2023</v>
      </c>
      <c r="C317" s="57">
        <v>45206</v>
      </c>
      <c r="D317" s="43">
        <f t="shared" si="13"/>
        <v>906</v>
      </c>
      <c r="E317" s="76">
        <v>19</v>
      </c>
      <c r="F317" s="50">
        <v>30</v>
      </c>
      <c r="G317" s="49">
        <v>15755</v>
      </c>
      <c r="H317" s="73">
        <v>30</v>
      </c>
      <c r="I317" s="52">
        <v>30</v>
      </c>
      <c r="J317" s="51">
        <v>9166.0299999999988</v>
      </c>
      <c r="K317" s="52">
        <v>1</v>
      </c>
      <c r="L317" s="51">
        <v>190</v>
      </c>
      <c r="M317" s="52">
        <v>21</v>
      </c>
      <c r="N317" s="49">
        <v>8415.56</v>
      </c>
      <c r="O317" s="75">
        <v>21</v>
      </c>
      <c r="P317" s="54">
        <v>1826.5900000000004</v>
      </c>
      <c r="Q317" s="54">
        <v>72.59</v>
      </c>
      <c r="R317" s="53">
        <f t="shared" si="14"/>
        <v>787.75</v>
      </c>
      <c r="S317" s="51">
        <v>9166.0299999999988</v>
      </c>
    </row>
    <row r="318" spans="1:19" ht="15" x14ac:dyDescent="0.25">
      <c r="A318" s="28"/>
      <c r="B318" s="45" t="str">
        <f t="shared" si="12"/>
        <v>Oct-2023</v>
      </c>
      <c r="C318" s="57">
        <v>45207</v>
      </c>
      <c r="D318" s="43">
        <f t="shared" si="13"/>
        <v>905</v>
      </c>
      <c r="E318" s="76">
        <v>13</v>
      </c>
      <c r="F318" s="50">
        <v>23</v>
      </c>
      <c r="G318" s="49">
        <v>12450</v>
      </c>
      <c r="H318" s="73">
        <v>23</v>
      </c>
      <c r="I318" s="52">
        <v>23</v>
      </c>
      <c r="J318" s="51">
        <v>6648.0499999999984</v>
      </c>
      <c r="K318" s="52"/>
      <c r="L318" s="51"/>
      <c r="M318" s="52">
        <v>20</v>
      </c>
      <c r="N318" s="49">
        <v>7164.69</v>
      </c>
      <c r="O318" s="75">
        <v>20</v>
      </c>
      <c r="P318" s="54">
        <v>1362.7399999999998</v>
      </c>
      <c r="Q318" s="54">
        <v>114.93</v>
      </c>
      <c r="R318" s="53">
        <f t="shared" si="14"/>
        <v>622.5</v>
      </c>
      <c r="S318" s="51">
        <v>6648.0499999999993</v>
      </c>
    </row>
    <row r="319" spans="1:19" ht="15" x14ac:dyDescent="0.25">
      <c r="A319" s="28"/>
      <c r="B319" s="45" t="str">
        <f t="shared" si="12"/>
        <v>Oct-2023</v>
      </c>
      <c r="C319" s="57">
        <v>45208</v>
      </c>
      <c r="D319" s="43">
        <f t="shared" si="13"/>
        <v>904</v>
      </c>
      <c r="E319" s="76">
        <v>30</v>
      </c>
      <c r="F319" s="50">
        <v>39</v>
      </c>
      <c r="G319" s="49">
        <v>20280</v>
      </c>
      <c r="H319" s="73">
        <v>39</v>
      </c>
      <c r="I319" s="52">
        <v>39</v>
      </c>
      <c r="J319" s="51">
        <v>18657.650000000001</v>
      </c>
      <c r="K319" s="52"/>
      <c r="L319" s="51"/>
      <c r="M319" s="52">
        <v>8</v>
      </c>
      <c r="N319" s="49">
        <v>5245.23</v>
      </c>
      <c r="O319" s="75">
        <v>8</v>
      </c>
      <c r="P319" s="54">
        <v>3622.8800000000015</v>
      </c>
      <c r="Q319" s="54">
        <v>45.230000000000004</v>
      </c>
      <c r="R319" s="53">
        <f t="shared" si="14"/>
        <v>1014</v>
      </c>
      <c r="S319" s="51">
        <v>18657.650000000001</v>
      </c>
    </row>
    <row r="320" spans="1:19" ht="15" x14ac:dyDescent="0.25">
      <c r="A320" s="28"/>
      <c r="B320" s="45" t="str">
        <f t="shared" si="12"/>
        <v>Oct-2023</v>
      </c>
      <c r="C320" s="57">
        <v>45209</v>
      </c>
      <c r="D320" s="43">
        <f t="shared" si="13"/>
        <v>903</v>
      </c>
      <c r="E320" s="76">
        <v>39</v>
      </c>
      <c r="F320" s="50">
        <v>52</v>
      </c>
      <c r="G320" s="49">
        <v>28100</v>
      </c>
      <c r="H320" s="73">
        <v>52</v>
      </c>
      <c r="I320" s="52">
        <v>52</v>
      </c>
      <c r="J320" s="51">
        <v>24967.350000000013</v>
      </c>
      <c r="K320" s="52"/>
      <c r="L320" s="51"/>
      <c r="M320" s="52">
        <v>15</v>
      </c>
      <c r="N320" s="49">
        <v>7974.72</v>
      </c>
      <c r="O320" s="75">
        <v>14</v>
      </c>
      <c r="P320" s="54">
        <v>4842.0700000000015</v>
      </c>
      <c r="Q320" s="54">
        <v>74.72</v>
      </c>
      <c r="R320" s="53">
        <f t="shared" si="14"/>
        <v>1405</v>
      </c>
      <c r="S320" s="51">
        <v>24967.350000000013</v>
      </c>
    </row>
    <row r="321" spans="1:19" ht="15" x14ac:dyDescent="0.25">
      <c r="A321" s="28"/>
      <c r="B321" s="45" t="str">
        <f t="shared" si="12"/>
        <v>Oct-2023</v>
      </c>
      <c r="C321" s="57">
        <v>45210</v>
      </c>
      <c r="D321" s="43">
        <f t="shared" si="13"/>
        <v>902</v>
      </c>
      <c r="E321" s="76">
        <v>15</v>
      </c>
      <c r="F321" s="50">
        <v>34</v>
      </c>
      <c r="G321" s="49">
        <v>17750</v>
      </c>
      <c r="H321" s="73">
        <v>34</v>
      </c>
      <c r="I321" s="52">
        <v>34</v>
      </c>
      <c r="J321" s="51">
        <v>9282.35</v>
      </c>
      <c r="K321" s="52"/>
      <c r="L321" s="51"/>
      <c r="M321" s="52">
        <v>21</v>
      </c>
      <c r="N321" s="49">
        <v>10399.35</v>
      </c>
      <c r="O321" s="75">
        <v>20</v>
      </c>
      <c r="P321" s="54">
        <v>1931.7000000000007</v>
      </c>
      <c r="Q321" s="54">
        <v>162.41</v>
      </c>
      <c r="R321" s="53">
        <f t="shared" si="14"/>
        <v>887.5</v>
      </c>
      <c r="S321" s="51">
        <v>9282.3500000000022</v>
      </c>
    </row>
    <row r="322" spans="1:19" ht="15" x14ac:dyDescent="0.25">
      <c r="A322" s="28"/>
      <c r="B322" s="45" t="str">
        <f t="shared" si="12"/>
        <v>Oct-2023</v>
      </c>
      <c r="C322" s="57">
        <v>45211</v>
      </c>
      <c r="D322" s="43">
        <f t="shared" si="13"/>
        <v>901</v>
      </c>
      <c r="E322" s="76">
        <v>13</v>
      </c>
      <c r="F322" s="50">
        <v>39</v>
      </c>
      <c r="G322" s="49">
        <v>20295</v>
      </c>
      <c r="H322" s="73">
        <v>39</v>
      </c>
      <c r="I322" s="52">
        <v>39</v>
      </c>
      <c r="J322" s="51">
        <v>9578.4700000000012</v>
      </c>
      <c r="K322" s="52"/>
      <c r="L322" s="51"/>
      <c r="M322" s="52">
        <v>29</v>
      </c>
      <c r="N322" s="49">
        <v>12628.18</v>
      </c>
      <c r="O322" s="75">
        <v>25</v>
      </c>
      <c r="P322" s="54">
        <v>1911.65</v>
      </c>
      <c r="Q322" s="54">
        <v>83.179999999999993</v>
      </c>
      <c r="R322" s="53">
        <f t="shared" si="14"/>
        <v>1014.75</v>
      </c>
      <c r="S322" s="51">
        <v>9578.470000000003</v>
      </c>
    </row>
    <row r="323" spans="1:19" ht="15" x14ac:dyDescent="0.25">
      <c r="A323" s="28"/>
      <c r="B323" s="45" t="str">
        <f t="shared" si="12"/>
        <v>Oct-2023</v>
      </c>
      <c r="C323" s="57">
        <v>45212</v>
      </c>
      <c r="D323" s="43">
        <f t="shared" si="13"/>
        <v>900</v>
      </c>
      <c r="E323" s="76">
        <v>25</v>
      </c>
      <c r="F323" s="50">
        <v>35</v>
      </c>
      <c r="G323" s="49">
        <v>18800</v>
      </c>
      <c r="H323" s="73">
        <v>35</v>
      </c>
      <c r="I323" s="52">
        <v>35</v>
      </c>
      <c r="J323" s="51">
        <v>13407.069999999996</v>
      </c>
      <c r="K323" s="52"/>
      <c r="L323" s="51"/>
      <c r="M323" s="52">
        <v>20</v>
      </c>
      <c r="N323" s="49">
        <v>8082.03</v>
      </c>
      <c r="O323" s="75">
        <v>19</v>
      </c>
      <c r="P323" s="54">
        <v>2689.1000000000017</v>
      </c>
      <c r="Q323" s="54">
        <v>128.17999999999998</v>
      </c>
      <c r="R323" s="53">
        <f t="shared" si="14"/>
        <v>940</v>
      </c>
      <c r="S323" s="51">
        <v>13407.069999999996</v>
      </c>
    </row>
    <row r="324" spans="1:19" ht="15" x14ac:dyDescent="0.25">
      <c r="A324" s="28"/>
      <c r="B324" s="45" t="str">
        <f t="shared" si="12"/>
        <v>Oct-2023</v>
      </c>
      <c r="C324" s="57">
        <v>45213</v>
      </c>
      <c r="D324" s="43">
        <f t="shared" si="13"/>
        <v>899</v>
      </c>
      <c r="E324" s="76">
        <v>9</v>
      </c>
      <c r="F324" s="50">
        <v>24</v>
      </c>
      <c r="G324" s="49">
        <v>13950</v>
      </c>
      <c r="H324" s="73">
        <v>24</v>
      </c>
      <c r="I324" s="52">
        <v>24</v>
      </c>
      <c r="J324" s="51">
        <v>4944.0200000000004</v>
      </c>
      <c r="K324" s="52">
        <v>1</v>
      </c>
      <c r="L324" s="51">
        <v>475</v>
      </c>
      <c r="M324" s="52">
        <v>18</v>
      </c>
      <c r="N324" s="49">
        <v>10009.32</v>
      </c>
      <c r="O324" s="75">
        <v>18</v>
      </c>
      <c r="P324" s="54">
        <v>1003.3400000000003</v>
      </c>
      <c r="Q324" s="54">
        <v>59.339999999999989</v>
      </c>
      <c r="R324" s="53">
        <f t="shared" si="14"/>
        <v>697.5</v>
      </c>
      <c r="S324" s="51">
        <v>4944.0200000000004</v>
      </c>
    </row>
    <row r="325" spans="1:19" ht="15" x14ac:dyDescent="0.25">
      <c r="A325" s="28"/>
      <c r="B325" s="45" t="str">
        <f t="shared" ref="B325:B388" si="15">TEXT(C325,"MMM-YYYY")</f>
        <v>Oct-2023</v>
      </c>
      <c r="C325" s="57">
        <v>45214</v>
      </c>
      <c r="D325" s="43">
        <f t="shared" ref="D325:D388" si="16">$A$1-C325</f>
        <v>898</v>
      </c>
      <c r="E325" s="76">
        <v>18</v>
      </c>
      <c r="F325" s="50">
        <v>21</v>
      </c>
      <c r="G325" s="49">
        <v>10500</v>
      </c>
      <c r="H325" s="73">
        <v>21</v>
      </c>
      <c r="I325" s="52">
        <v>21</v>
      </c>
      <c r="J325" s="51">
        <v>9885.9200000000019</v>
      </c>
      <c r="K325" s="52"/>
      <c r="L325" s="51"/>
      <c r="M325" s="52">
        <v>5</v>
      </c>
      <c r="N325" s="49">
        <v>2509.7199999999998</v>
      </c>
      <c r="O325" s="75">
        <v>5</v>
      </c>
      <c r="P325" s="54">
        <v>1895.639999999999</v>
      </c>
      <c r="Q325" s="54">
        <v>9.7199999999999989</v>
      </c>
      <c r="R325" s="53">
        <f t="shared" ref="R325:R388" si="17">G325*5%</f>
        <v>525</v>
      </c>
      <c r="S325" s="51">
        <v>9885.9200000000019</v>
      </c>
    </row>
    <row r="326" spans="1:19" ht="15" x14ac:dyDescent="0.25">
      <c r="A326" s="28"/>
      <c r="B326" s="45" t="str">
        <f t="shared" si="15"/>
        <v>Oct-2023</v>
      </c>
      <c r="C326" s="57">
        <v>45215</v>
      </c>
      <c r="D326" s="43">
        <f t="shared" si="16"/>
        <v>897</v>
      </c>
      <c r="E326" s="76">
        <v>10</v>
      </c>
      <c r="F326" s="50">
        <v>29</v>
      </c>
      <c r="G326" s="49">
        <v>16530</v>
      </c>
      <c r="H326" s="73">
        <v>29</v>
      </c>
      <c r="I326" s="52">
        <v>29</v>
      </c>
      <c r="J326" s="51">
        <v>7995.8299999999981</v>
      </c>
      <c r="K326" s="52"/>
      <c r="L326" s="51"/>
      <c r="M326" s="52">
        <v>16</v>
      </c>
      <c r="N326" s="49">
        <v>10211.58</v>
      </c>
      <c r="O326" s="75">
        <v>16</v>
      </c>
      <c r="P326" s="54">
        <v>1677.4100000000003</v>
      </c>
      <c r="Q326" s="54">
        <v>157.34</v>
      </c>
      <c r="R326" s="53">
        <f t="shared" si="17"/>
        <v>826.5</v>
      </c>
      <c r="S326" s="51">
        <v>7995.8299999999981</v>
      </c>
    </row>
    <row r="327" spans="1:19" ht="15" x14ac:dyDescent="0.25">
      <c r="A327" s="28"/>
      <c r="B327" s="45" t="str">
        <f t="shared" si="15"/>
        <v>Oct-2023</v>
      </c>
      <c r="C327" s="57">
        <v>45216</v>
      </c>
      <c r="D327" s="43">
        <f t="shared" si="16"/>
        <v>896</v>
      </c>
      <c r="E327" s="76">
        <v>19</v>
      </c>
      <c r="F327" s="50">
        <v>30</v>
      </c>
      <c r="G327" s="49">
        <v>16170</v>
      </c>
      <c r="H327" s="73">
        <v>30</v>
      </c>
      <c r="I327" s="52">
        <v>30</v>
      </c>
      <c r="J327" s="51">
        <v>8096.0399999999991</v>
      </c>
      <c r="K327" s="52"/>
      <c r="L327" s="51"/>
      <c r="M327" s="52">
        <v>26</v>
      </c>
      <c r="N327" s="49">
        <v>9741.5300000000007</v>
      </c>
      <c r="O327" s="75">
        <v>21</v>
      </c>
      <c r="P327" s="54">
        <v>1667.5699999999993</v>
      </c>
      <c r="Q327" s="54">
        <v>132.79</v>
      </c>
      <c r="R327" s="53">
        <f t="shared" si="17"/>
        <v>808.5</v>
      </c>
      <c r="S327" s="51">
        <v>8096.0399999999991</v>
      </c>
    </row>
    <row r="328" spans="1:19" ht="15" x14ac:dyDescent="0.25">
      <c r="A328" s="28"/>
      <c r="B328" s="45" t="str">
        <f t="shared" si="15"/>
        <v>Oct-2023</v>
      </c>
      <c r="C328" s="57">
        <v>45217</v>
      </c>
      <c r="D328" s="43">
        <f t="shared" si="16"/>
        <v>895</v>
      </c>
      <c r="E328" s="76">
        <v>12</v>
      </c>
      <c r="F328" s="50">
        <v>25</v>
      </c>
      <c r="G328" s="49">
        <v>12900</v>
      </c>
      <c r="H328" s="73">
        <v>25</v>
      </c>
      <c r="I328" s="52">
        <v>25</v>
      </c>
      <c r="J328" s="51">
        <v>8678.8799999999974</v>
      </c>
      <c r="K328" s="52">
        <v>3</v>
      </c>
      <c r="L328" s="51">
        <v>950</v>
      </c>
      <c r="M328" s="52">
        <v>14</v>
      </c>
      <c r="N328" s="49">
        <v>5912.9</v>
      </c>
      <c r="O328" s="75">
        <v>13</v>
      </c>
      <c r="P328" s="54">
        <v>1691.78</v>
      </c>
      <c r="Q328" s="54">
        <v>38.010000000000005</v>
      </c>
      <c r="R328" s="53">
        <f t="shared" si="17"/>
        <v>645</v>
      </c>
      <c r="S328" s="51">
        <v>8678.8799999999974</v>
      </c>
    </row>
    <row r="329" spans="1:19" ht="15" x14ac:dyDescent="0.25">
      <c r="A329" s="28"/>
      <c r="B329" s="45" t="str">
        <f t="shared" si="15"/>
        <v>Oct-2023</v>
      </c>
      <c r="C329" s="57">
        <v>45218</v>
      </c>
      <c r="D329" s="43">
        <f t="shared" si="16"/>
        <v>894</v>
      </c>
      <c r="E329" s="76">
        <v>5</v>
      </c>
      <c r="F329" s="50">
        <v>20</v>
      </c>
      <c r="G329" s="49">
        <v>11600</v>
      </c>
      <c r="H329" s="73">
        <v>20</v>
      </c>
      <c r="I329" s="52">
        <v>20</v>
      </c>
      <c r="J329" s="51">
        <v>4321.45</v>
      </c>
      <c r="K329" s="52"/>
      <c r="L329" s="51"/>
      <c r="M329" s="52">
        <v>13</v>
      </c>
      <c r="N329" s="49">
        <v>8138.35</v>
      </c>
      <c r="O329" s="75">
        <v>13</v>
      </c>
      <c r="P329" s="54">
        <v>859.8</v>
      </c>
      <c r="Q329" s="54">
        <v>38.349999999999994</v>
      </c>
      <c r="R329" s="53">
        <f t="shared" si="17"/>
        <v>580</v>
      </c>
      <c r="S329" s="51">
        <v>4321.45</v>
      </c>
    </row>
    <row r="330" spans="1:19" ht="15" x14ac:dyDescent="0.25">
      <c r="A330" s="28"/>
      <c r="B330" s="45" t="str">
        <f t="shared" si="15"/>
        <v>Oct-2023</v>
      </c>
      <c r="C330" s="57">
        <v>45219</v>
      </c>
      <c r="D330" s="43">
        <f t="shared" si="16"/>
        <v>893</v>
      </c>
      <c r="E330" s="76">
        <v>16</v>
      </c>
      <c r="F330" s="50">
        <v>22</v>
      </c>
      <c r="G330" s="49">
        <v>11000</v>
      </c>
      <c r="H330" s="73">
        <v>22</v>
      </c>
      <c r="I330" s="52">
        <v>22</v>
      </c>
      <c r="J330" s="51">
        <v>6782.4200000000019</v>
      </c>
      <c r="K330" s="52"/>
      <c r="L330" s="51"/>
      <c r="M330" s="52">
        <v>13</v>
      </c>
      <c r="N330" s="49">
        <v>5549.01</v>
      </c>
      <c r="O330" s="75">
        <v>13</v>
      </c>
      <c r="P330" s="54">
        <v>1331.4300000000003</v>
      </c>
      <c r="Q330" s="54">
        <v>42.78</v>
      </c>
      <c r="R330" s="53">
        <f t="shared" si="17"/>
        <v>550</v>
      </c>
      <c r="S330" s="51">
        <v>6782.4200000000019</v>
      </c>
    </row>
    <row r="331" spans="1:19" ht="15" x14ac:dyDescent="0.25">
      <c r="A331" s="28"/>
      <c r="B331" s="45" t="str">
        <f t="shared" si="15"/>
        <v>Oct-2023</v>
      </c>
      <c r="C331" s="57">
        <v>45220</v>
      </c>
      <c r="D331" s="43">
        <f t="shared" si="16"/>
        <v>892</v>
      </c>
      <c r="E331" s="76">
        <v>15</v>
      </c>
      <c r="F331" s="50">
        <v>23</v>
      </c>
      <c r="G331" s="49">
        <v>13000</v>
      </c>
      <c r="H331" s="73">
        <v>23</v>
      </c>
      <c r="I331" s="52">
        <v>23</v>
      </c>
      <c r="J331" s="51">
        <v>7963.3700000000008</v>
      </c>
      <c r="K331" s="52">
        <v>1</v>
      </c>
      <c r="L331" s="51">
        <v>1000.22</v>
      </c>
      <c r="M331" s="52">
        <v>13</v>
      </c>
      <c r="N331" s="49">
        <v>6582.7</v>
      </c>
      <c r="O331" s="75">
        <v>13</v>
      </c>
      <c r="P331" s="54">
        <v>1546.0700000000002</v>
      </c>
      <c r="Q331" s="54">
        <v>39.590000000000003</v>
      </c>
      <c r="R331" s="53">
        <f t="shared" si="17"/>
        <v>650</v>
      </c>
      <c r="S331" s="51">
        <v>7963.3700000000008</v>
      </c>
    </row>
    <row r="332" spans="1:19" ht="15" x14ac:dyDescent="0.25">
      <c r="A332" s="28"/>
      <c r="B332" s="45" t="str">
        <f t="shared" si="15"/>
        <v>Oct-2023</v>
      </c>
      <c r="C332" s="57">
        <v>45221</v>
      </c>
      <c r="D332" s="43">
        <f t="shared" si="16"/>
        <v>891</v>
      </c>
      <c r="E332" s="76">
        <v>19</v>
      </c>
      <c r="F332" s="50">
        <v>26</v>
      </c>
      <c r="G332" s="49">
        <v>14100</v>
      </c>
      <c r="H332" s="73">
        <v>26</v>
      </c>
      <c r="I332" s="52">
        <v>26</v>
      </c>
      <c r="J332" s="51">
        <v>3473.9100000000003</v>
      </c>
      <c r="K332" s="52"/>
      <c r="L332" s="51"/>
      <c r="M332" s="52">
        <v>25</v>
      </c>
      <c r="N332" s="49">
        <v>11508.44</v>
      </c>
      <c r="O332" s="75">
        <v>24</v>
      </c>
      <c r="P332" s="54">
        <v>882.34999999999991</v>
      </c>
      <c r="Q332" s="54">
        <v>233.34</v>
      </c>
      <c r="R332" s="53">
        <f t="shared" si="17"/>
        <v>705</v>
      </c>
      <c r="S332" s="51">
        <v>3473.9100000000003</v>
      </c>
    </row>
    <row r="333" spans="1:19" ht="15" x14ac:dyDescent="0.25">
      <c r="A333" s="28"/>
      <c r="B333" s="45" t="str">
        <f t="shared" si="15"/>
        <v>Oct-2023</v>
      </c>
      <c r="C333" s="57">
        <v>45222</v>
      </c>
      <c r="D333" s="43">
        <f t="shared" si="16"/>
        <v>890</v>
      </c>
      <c r="E333" s="76">
        <v>12</v>
      </c>
      <c r="F333" s="50">
        <v>31</v>
      </c>
      <c r="G333" s="49">
        <v>17700</v>
      </c>
      <c r="H333" s="73">
        <v>31</v>
      </c>
      <c r="I333" s="52">
        <v>31</v>
      </c>
      <c r="J333" s="51">
        <v>9205.2900000000009</v>
      </c>
      <c r="K333" s="52">
        <v>1</v>
      </c>
      <c r="L333" s="51">
        <v>475</v>
      </c>
      <c r="M333" s="52">
        <v>18</v>
      </c>
      <c r="N333" s="49">
        <v>10316.040000000001</v>
      </c>
      <c r="O333" s="75">
        <v>18</v>
      </c>
      <c r="P333" s="54">
        <v>1821.3299999999992</v>
      </c>
      <c r="Q333" s="54">
        <v>80.849999999999994</v>
      </c>
      <c r="R333" s="53">
        <f t="shared" si="17"/>
        <v>885</v>
      </c>
      <c r="S333" s="51">
        <v>9205.2900000000009</v>
      </c>
    </row>
    <row r="334" spans="1:19" ht="15" x14ac:dyDescent="0.25">
      <c r="A334" s="28"/>
      <c r="B334" s="45" t="str">
        <f t="shared" si="15"/>
        <v>Oct-2023</v>
      </c>
      <c r="C334" s="57">
        <v>45223</v>
      </c>
      <c r="D334" s="43">
        <f t="shared" si="16"/>
        <v>889</v>
      </c>
      <c r="E334" s="76">
        <v>11</v>
      </c>
      <c r="F334" s="50">
        <v>25</v>
      </c>
      <c r="G334" s="49">
        <v>14300</v>
      </c>
      <c r="H334" s="73">
        <v>25</v>
      </c>
      <c r="I334" s="52">
        <v>25</v>
      </c>
      <c r="J334" s="51">
        <v>6783.6999999999989</v>
      </c>
      <c r="K334" s="52"/>
      <c r="L334" s="51"/>
      <c r="M334" s="52">
        <v>16</v>
      </c>
      <c r="N334" s="49">
        <v>8907.25</v>
      </c>
      <c r="O334" s="75">
        <v>16</v>
      </c>
      <c r="P334" s="54">
        <v>1390.95</v>
      </c>
      <c r="Q334" s="54">
        <v>107.25</v>
      </c>
      <c r="R334" s="53">
        <f t="shared" si="17"/>
        <v>715</v>
      </c>
      <c r="S334" s="51">
        <v>6783.6999999999989</v>
      </c>
    </row>
    <row r="335" spans="1:19" ht="15" x14ac:dyDescent="0.25">
      <c r="A335" s="28"/>
      <c r="B335" s="45" t="str">
        <f t="shared" si="15"/>
        <v>Oct-2023</v>
      </c>
      <c r="C335" s="57">
        <v>45224</v>
      </c>
      <c r="D335" s="43">
        <f t="shared" si="16"/>
        <v>888</v>
      </c>
      <c r="E335" s="76">
        <v>15</v>
      </c>
      <c r="F335" s="50">
        <v>29</v>
      </c>
      <c r="G335" s="49">
        <v>15700</v>
      </c>
      <c r="H335" s="73">
        <v>29</v>
      </c>
      <c r="I335" s="52">
        <v>29</v>
      </c>
      <c r="J335" s="51">
        <v>9646.9799999999977</v>
      </c>
      <c r="K335" s="52">
        <v>1</v>
      </c>
      <c r="L335" s="51">
        <v>1000.22</v>
      </c>
      <c r="M335" s="52">
        <v>15</v>
      </c>
      <c r="N335" s="49">
        <v>7903.69</v>
      </c>
      <c r="O335" s="75">
        <v>15</v>
      </c>
      <c r="P335" s="54">
        <v>1850.6699999999998</v>
      </c>
      <c r="Q335" s="54">
        <v>30.64</v>
      </c>
      <c r="R335" s="53">
        <f t="shared" si="17"/>
        <v>785</v>
      </c>
      <c r="S335" s="51">
        <v>9646.9799999999977</v>
      </c>
    </row>
    <row r="336" spans="1:19" ht="15" x14ac:dyDescent="0.25">
      <c r="A336" s="28"/>
      <c r="B336" s="45" t="str">
        <f t="shared" si="15"/>
        <v>Oct-2023</v>
      </c>
      <c r="C336" s="57">
        <v>45225</v>
      </c>
      <c r="D336" s="43">
        <f t="shared" si="16"/>
        <v>887</v>
      </c>
      <c r="E336" s="76">
        <v>12</v>
      </c>
      <c r="F336" s="50">
        <v>21</v>
      </c>
      <c r="G336" s="49">
        <v>12300</v>
      </c>
      <c r="H336" s="73">
        <v>21</v>
      </c>
      <c r="I336" s="52">
        <v>21</v>
      </c>
      <c r="J336" s="51">
        <v>5035.3600000000006</v>
      </c>
      <c r="K336" s="52">
        <v>1</v>
      </c>
      <c r="L336" s="51">
        <v>1000.22</v>
      </c>
      <c r="M336" s="52">
        <v>13</v>
      </c>
      <c r="N336" s="49">
        <v>8302.2099999999991</v>
      </c>
      <c r="O336" s="75">
        <v>13</v>
      </c>
      <c r="P336" s="54">
        <v>1037.5700000000002</v>
      </c>
      <c r="Q336" s="54">
        <v>91.13000000000001</v>
      </c>
      <c r="R336" s="53">
        <f t="shared" si="17"/>
        <v>615</v>
      </c>
      <c r="S336" s="51">
        <v>5035.3600000000006</v>
      </c>
    </row>
    <row r="337" spans="1:19" ht="15" x14ac:dyDescent="0.25">
      <c r="A337" s="28"/>
      <c r="B337" s="45" t="str">
        <f t="shared" si="15"/>
        <v>Oct-2023</v>
      </c>
      <c r="C337" s="57">
        <v>45226</v>
      </c>
      <c r="D337" s="43">
        <f t="shared" si="16"/>
        <v>886</v>
      </c>
      <c r="E337" s="76">
        <v>14</v>
      </c>
      <c r="F337" s="50">
        <v>18</v>
      </c>
      <c r="G337" s="49">
        <v>9000</v>
      </c>
      <c r="H337" s="73">
        <v>18</v>
      </c>
      <c r="I337" s="52">
        <v>18</v>
      </c>
      <c r="J337" s="51">
        <v>6769.409999999998</v>
      </c>
      <c r="K337" s="52"/>
      <c r="L337" s="51"/>
      <c r="M337" s="52">
        <v>11</v>
      </c>
      <c r="N337" s="49">
        <v>3533.35</v>
      </c>
      <c r="O337" s="75">
        <v>11</v>
      </c>
      <c r="P337" s="54">
        <v>1302.7599999999998</v>
      </c>
      <c r="Q337" s="54">
        <v>33.35</v>
      </c>
      <c r="R337" s="53">
        <f t="shared" si="17"/>
        <v>450</v>
      </c>
      <c r="S337" s="51">
        <v>6769.409999999998</v>
      </c>
    </row>
    <row r="338" spans="1:19" ht="15" x14ac:dyDescent="0.25">
      <c r="A338" s="28"/>
      <c r="B338" s="45" t="str">
        <f t="shared" si="15"/>
        <v>Oct-2023</v>
      </c>
      <c r="C338" s="57">
        <v>45227</v>
      </c>
      <c r="D338" s="43">
        <f t="shared" si="16"/>
        <v>885</v>
      </c>
      <c r="E338" s="76">
        <v>14</v>
      </c>
      <c r="F338" s="50">
        <v>15</v>
      </c>
      <c r="G338" s="49">
        <v>7985</v>
      </c>
      <c r="H338" s="73">
        <v>15</v>
      </c>
      <c r="I338" s="52">
        <v>15</v>
      </c>
      <c r="J338" s="51">
        <v>5531.62</v>
      </c>
      <c r="K338" s="52"/>
      <c r="L338" s="51"/>
      <c r="M338" s="52">
        <v>9</v>
      </c>
      <c r="N338" s="49">
        <v>3538.58</v>
      </c>
      <c r="O338" s="75">
        <v>9</v>
      </c>
      <c r="P338" s="54">
        <v>1085.1999999999998</v>
      </c>
      <c r="Q338" s="54">
        <v>43.58</v>
      </c>
      <c r="R338" s="53">
        <f t="shared" si="17"/>
        <v>399.25</v>
      </c>
      <c r="S338" s="51">
        <v>5531.62</v>
      </c>
    </row>
    <row r="339" spans="1:19" ht="15" x14ac:dyDescent="0.25">
      <c r="A339" s="28"/>
      <c r="B339" s="45" t="str">
        <f t="shared" si="15"/>
        <v>Oct-2023</v>
      </c>
      <c r="C339" s="57">
        <v>45228</v>
      </c>
      <c r="D339" s="43">
        <f t="shared" si="16"/>
        <v>884</v>
      </c>
      <c r="E339" s="76">
        <v>5</v>
      </c>
      <c r="F339" s="50">
        <v>16</v>
      </c>
      <c r="G339" s="49">
        <v>9000</v>
      </c>
      <c r="H339" s="73">
        <v>16</v>
      </c>
      <c r="I339" s="52">
        <v>16</v>
      </c>
      <c r="J339" s="51">
        <v>6776.55</v>
      </c>
      <c r="K339" s="52"/>
      <c r="L339" s="51"/>
      <c r="M339" s="52">
        <v>6</v>
      </c>
      <c r="N339" s="49">
        <v>3514.73</v>
      </c>
      <c r="O339" s="75">
        <v>6</v>
      </c>
      <c r="P339" s="54">
        <v>1291.2799999999997</v>
      </c>
      <c r="Q339" s="54">
        <v>14.730000000000002</v>
      </c>
      <c r="R339" s="53">
        <f t="shared" si="17"/>
        <v>450</v>
      </c>
      <c r="S339" s="51">
        <v>6776.5500000000011</v>
      </c>
    </row>
    <row r="340" spans="1:19" ht="15" x14ac:dyDescent="0.25">
      <c r="A340" s="28"/>
      <c r="B340" s="45" t="str">
        <f t="shared" si="15"/>
        <v>Oct-2023</v>
      </c>
      <c r="C340" s="57">
        <v>45229</v>
      </c>
      <c r="D340" s="43">
        <f t="shared" si="16"/>
        <v>883</v>
      </c>
      <c r="E340" s="76">
        <v>8</v>
      </c>
      <c r="F340" s="50">
        <v>17</v>
      </c>
      <c r="G340" s="49">
        <v>9950</v>
      </c>
      <c r="H340" s="73">
        <v>17</v>
      </c>
      <c r="I340" s="52">
        <v>17</v>
      </c>
      <c r="J340" s="51">
        <v>3990.4700000000003</v>
      </c>
      <c r="K340" s="52">
        <v>1</v>
      </c>
      <c r="L340" s="51">
        <v>13</v>
      </c>
      <c r="M340" s="52">
        <v>13</v>
      </c>
      <c r="N340" s="49">
        <v>6736.7</v>
      </c>
      <c r="O340" s="75">
        <v>13</v>
      </c>
      <c r="P340" s="54">
        <v>777.17</v>
      </c>
      <c r="Q340" s="54">
        <v>25.24</v>
      </c>
      <c r="R340" s="53">
        <f t="shared" si="17"/>
        <v>497.5</v>
      </c>
      <c r="S340" s="51">
        <v>3990.47</v>
      </c>
    </row>
    <row r="341" spans="1:19" ht="15" x14ac:dyDescent="0.25">
      <c r="A341" s="28"/>
      <c r="B341" s="45" t="str">
        <f t="shared" si="15"/>
        <v>Oct-2023</v>
      </c>
      <c r="C341" s="57">
        <v>45230</v>
      </c>
      <c r="D341" s="43">
        <f t="shared" si="16"/>
        <v>882</v>
      </c>
      <c r="F341" s="50">
        <v>1</v>
      </c>
      <c r="G341" s="49">
        <v>500</v>
      </c>
      <c r="H341" s="73">
        <v>1</v>
      </c>
      <c r="I341" s="52">
        <v>1</v>
      </c>
      <c r="J341" s="51">
        <v>0</v>
      </c>
      <c r="K341" s="52"/>
      <c r="L341" s="51"/>
      <c r="M341" s="52">
        <v>1</v>
      </c>
      <c r="N341" s="49">
        <v>502.04</v>
      </c>
      <c r="O341" s="75">
        <v>1</v>
      </c>
      <c r="P341" s="54">
        <v>2.04</v>
      </c>
      <c r="Q341" s="54">
        <v>2.04</v>
      </c>
      <c r="R341" s="53">
        <f t="shared" si="17"/>
        <v>25</v>
      </c>
      <c r="S341" s="51"/>
    </row>
    <row r="342" spans="1:19" ht="15" x14ac:dyDescent="0.25">
      <c r="A342" s="28"/>
      <c r="B342" s="45" t="str">
        <f t="shared" si="15"/>
        <v>Nov-2023</v>
      </c>
      <c r="C342" s="57">
        <v>45231</v>
      </c>
      <c r="D342" s="43">
        <f t="shared" si="16"/>
        <v>881</v>
      </c>
      <c r="F342" s="50">
        <v>11</v>
      </c>
      <c r="G342" s="49">
        <v>7500</v>
      </c>
      <c r="H342" s="73">
        <v>11</v>
      </c>
      <c r="I342" s="52">
        <v>11</v>
      </c>
      <c r="J342" s="51">
        <v>615.66</v>
      </c>
      <c r="K342" s="52"/>
      <c r="L342" s="51"/>
      <c r="M342" s="52">
        <v>11</v>
      </c>
      <c r="N342" s="49">
        <v>7088.04</v>
      </c>
      <c r="O342" s="75">
        <v>11</v>
      </c>
      <c r="P342" s="54">
        <v>203.7</v>
      </c>
      <c r="Q342" s="54">
        <v>88.039999999999992</v>
      </c>
      <c r="R342" s="53">
        <f t="shared" si="17"/>
        <v>375</v>
      </c>
      <c r="S342" s="51">
        <v>615.66</v>
      </c>
    </row>
    <row r="343" spans="1:19" ht="15" x14ac:dyDescent="0.25">
      <c r="A343" s="28"/>
      <c r="B343" s="45" t="str">
        <f t="shared" si="15"/>
        <v>Nov-2023</v>
      </c>
      <c r="C343" s="57">
        <v>45232</v>
      </c>
      <c r="D343" s="43">
        <f t="shared" si="16"/>
        <v>880</v>
      </c>
      <c r="E343" s="76">
        <v>11</v>
      </c>
      <c r="F343" s="50">
        <v>17</v>
      </c>
      <c r="G343" s="49">
        <v>9800</v>
      </c>
      <c r="H343" s="73">
        <v>17</v>
      </c>
      <c r="I343" s="52">
        <v>17</v>
      </c>
      <c r="J343" s="51">
        <v>2717.17</v>
      </c>
      <c r="K343" s="52"/>
      <c r="L343" s="51"/>
      <c r="M343" s="52">
        <v>14</v>
      </c>
      <c r="N343" s="49">
        <v>7717.92</v>
      </c>
      <c r="O343" s="75">
        <v>14</v>
      </c>
      <c r="P343" s="54">
        <v>635.09</v>
      </c>
      <c r="Q343" s="54">
        <v>135.66999999999999</v>
      </c>
      <c r="R343" s="53">
        <f t="shared" si="17"/>
        <v>490</v>
      </c>
      <c r="S343" s="51">
        <v>2717.17</v>
      </c>
    </row>
    <row r="344" spans="1:19" ht="15" x14ac:dyDescent="0.25">
      <c r="A344" s="28"/>
      <c r="B344" s="45" t="str">
        <f t="shared" si="15"/>
        <v>Nov-2023</v>
      </c>
      <c r="C344" s="57">
        <v>45233</v>
      </c>
      <c r="D344" s="43">
        <f t="shared" si="16"/>
        <v>879</v>
      </c>
      <c r="E344" s="76">
        <v>8</v>
      </c>
      <c r="F344" s="50">
        <v>20</v>
      </c>
      <c r="G344" s="49">
        <v>11200</v>
      </c>
      <c r="H344" s="73">
        <v>20</v>
      </c>
      <c r="I344" s="52">
        <v>20</v>
      </c>
      <c r="J344" s="51">
        <v>3895.9200000000005</v>
      </c>
      <c r="K344" s="52"/>
      <c r="L344" s="51"/>
      <c r="M344" s="52">
        <v>14</v>
      </c>
      <c r="N344" s="49">
        <v>8191.59</v>
      </c>
      <c r="O344" s="75">
        <v>14</v>
      </c>
      <c r="P344" s="54">
        <v>887.51</v>
      </c>
      <c r="Q344" s="54">
        <v>165.26999999999998</v>
      </c>
      <c r="R344" s="53">
        <f t="shared" si="17"/>
        <v>560</v>
      </c>
      <c r="S344" s="51">
        <v>3895.9200000000005</v>
      </c>
    </row>
    <row r="345" spans="1:19" ht="15" x14ac:dyDescent="0.25">
      <c r="A345" s="28"/>
      <c r="B345" s="45" t="str">
        <f t="shared" si="15"/>
        <v>Nov-2023</v>
      </c>
      <c r="C345" s="57">
        <v>45234</v>
      </c>
      <c r="D345" s="43">
        <f t="shared" si="16"/>
        <v>878</v>
      </c>
      <c r="F345" s="50">
        <v>13</v>
      </c>
      <c r="G345" s="49">
        <v>8400</v>
      </c>
      <c r="H345" s="73">
        <v>13</v>
      </c>
      <c r="I345" s="52">
        <v>13</v>
      </c>
      <c r="J345" s="51">
        <v>1230.54</v>
      </c>
      <c r="K345" s="52"/>
      <c r="L345" s="51"/>
      <c r="M345" s="52">
        <v>31</v>
      </c>
      <c r="N345" s="49">
        <v>7451.53</v>
      </c>
      <c r="O345" s="75">
        <v>28</v>
      </c>
      <c r="P345" s="54">
        <v>282.07000000000011</v>
      </c>
      <c r="Q345" s="54">
        <v>51.530000000000008</v>
      </c>
      <c r="R345" s="53">
        <f t="shared" si="17"/>
        <v>420</v>
      </c>
      <c r="S345" s="51">
        <v>1230.54</v>
      </c>
    </row>
    <row r="346" spans="1:19" ht="15" x14ac:dyDescent="0.25">
      <c r="A346" s="28"/>
      <c r="B346" s="45" t="str">
        <f t="shared" si="15"/>
        <v>Nov-2023</v>
      </c>
      <c r="C346" s="57">
        <v>45235</v>
      </c>
      <c r="D346" s="43">
        <f t="shared" si="16"/>
        <v>877</v>
      </c>
      <c r="F346" s="50">
        <v>2</v>
      </c>
      <c r="G346" s="49">
        <v>1000</v>
      </c>
      <c r="H346" s="73">
        <v>2</v>
      </c>
      <c r="I346" s="52">
        <v>2</v>
      </c>
      <c r="J346" s="51">
        <v>615.14</v>
      </c>
      <c r="K346" s="52"/>
      <c r="L346" s="51"/>
      <c r="M346" s="52">
        <v>1</v>
      </c>
      <c r="N346" s="49">
        <v>503.47</v>
      </c>
      <c r="O346" s="75">
        <v>1</v>
      </c>
      <c r="P346" s="54">
        <v>118.61</v>
      </c>
      <c r="Q346" s="54">
        <v>3.47</v>
      </c>
      <c r="R346" s="53">
        <f t="shared" si="17"/>
        <v>50</v>
      </c>
      <c r="S346" s="51">
        <v>615.14</v>
      </c>
    </row>
    <row r="347" spans="1:19" ht="15" x14ac:dyDescent="0.25">
      <c r="A347" s="28"/>
      <c r="B347" s="45" t="str">
        <f t="shared" si="15"/>
        <v>Nov-2023</v>
      </c>
      <c r="C347" s="57">
        <v>45236</v>
      </c>
      <c r="D347" s="43">
        <f t="shared" si="16"/>
        <v>876</v>
      </c>
      <c r="F347" s="50">
        <v>14</v>
      </c>
      <c r="G347" s="49">
        <v>7700</v>
      </c>
      <c r="H347" s="73">
        <v>14</v>
      </c>
      <c r="I347" s="52">
        <v>14</v>
      </c>
      <c r="J347" s="51">
        <v>1895.52</v>
      </c>
      <c r="K347" s="52"/>
      <c r="L347" s="51"/>
      <c r="M347" s="52">
        <v>11</v>
      </c>
      <c r="N347" s="49">
        <v>6213.62</v>
      </c>
      <c r="O347" s="75">
        <v>11</v>
      </c>
      <c r="P347" s="54">
        <v>409.1400000000001</v>
      </c>
      <c r="Q347" s="54">
        <v>56.650000000000006</v>
      </c>
      <c r="R347" s="53">
        <f t="shared" si="17"/>
        <v>385</v>
      </c>
      <c r="S347" s="51">
        <v>1895.52</v>
      </c>
    </row>
    <row r="348" spans="1:19" ht="15" x14ac:dyDescent="0.25">
      <c r="A348" s="28"/>
      <c r="B348" s="45" t="str">
        <f t="shared" si="15"/>
        <v>Nov-2023</v>
      </c>
      <c r="C348" s="57">
        <v>45237</v>
      </c>
      <c r="D348" s="43">
        <f t="shared" si="16"/>
        <v>875</v>
      </c>
      <c r="E348" s="76">
        <v>25</v>
      </c>
      <c r="F348" s="50">
        <v>28</v>
      </c>
      <c r="G348" s="49">
        <v>14000</v>
      </c>
      <c r="H348" s="73">
        <v>28</v>
      </c>
      <c r="I348" s="52">
        <v>28</v>
      </c>
      <c r="J348" s="51">
        <v>14563.329999999994</v>
      </c>
      <c r="K348" s="52"/>
      <c r="L348" s="51"/>
      <c r="M348" s="52">
        <v>6</v>
      </c>
      <c r="N348" s="49">
        <v>2202.5100000000002</v>
      </c>
      <c r="O348" s="75">
        <v>6</v>
      </c>
      <c r="P348" s="54">
        <v>2765.840000000002</v>
      </c>
      <c r="Q348" s="54">
        <v>45.41</v>
      </c>
      <c r="R348" s="53">
        <f t="shared" si="17"/>
        <v>700</v>
      </c>
      <c r="S348" s="51">
        <v>14563.329999999994</v>
      </c>
    </row>
    <row r="349" spans="1:19" ht="15" x14ac:dyDescent="0.25">
      <c r="A349" s="28"/>
      <c r="B349" s="45" t="str">
        <f t="shared" si="15"/>
        <v>Nov-2023</v>
      </c>
      <c r="C349" s="57">
        <v>45238</v>
      </c>
      <c r="D349" s="43">
        <f t="shared" si="16"/>
        <v>874</v>
      </c>
      <c r="E349" s="76">
        <v>19</v>
      </c>
      <c r="F349" s="50">
        <v>27</v>
      </c>
      <c r="G349" s="49">
        <v>15000</v>
      </c>
      <c r="H349" s="73">
        <v>27</v>
      </c>
      <c r="I349" s="52">
        <v>27</v>
      </c>
      <c r="J349" s="51">
        <v>5767.619999999999</v>
      </c>
      <c r="K349" s="52">
        <v>1</v>
      </c>
      <c r="L349" s="51">
        <v>475</v>
      </c>
      <c r="M349" s="52">
        <v>25</v>
      </c>
      <c r="N349" s="49">
        <v>10468.35</v>
      </c>
      <c r="O349" s="75">
        <v>19</v>
      </c>
      <c r="P349" s="54">
        <v>1235.9700000000003</v>
      </c>
      <c r="Q349" s="54">
        <v>164.54000000000002</v>
      </c>
      <c r="R349" s="53">
        <f t="shared" si="17"/>
        <v>750</v>
      </c>
      <c r="S349" s="51">
        <v>5767.619999999999</v>
      </c>
    </row>
    <row r="350" spans="1:19" ht="15" x14ac:dyDescent="0.25">
      <c r="A350" s="28"/>
      <c r="B350" s="45" t="str">
        <f t="shared" si="15"/>
        <v>Nov-2023</v>
      </c>
      <c r="C350" s="57">
        <v>45239</v>
      </c>
      <c r="D350" s="43">
        <f t="shared" si="16"/>
        <v>873</v>
      </c>
      <c r="E350" s="76">
        <v>18</v>
      </c>
      <c r="F350" s="50">
        <v>30</v>
      </c>
      <c r="G350" s="49">
        <v>15750</v>
      </c>
      <c r="H350" s="73">
        <v>30</v>
      </c>
      <c r="I350" s="52">
        <v>30</v>
      </c>
      <c r="J350" s="51">
        <v>11063.160000000003</v>
      </c>
      <c r="K350" s="52">
        <v>1</v>
      </c>
      <c r="L350" s="51">
        <v>500.11</v>
      </c>
      <c r="M350" s="52">
        <v>12</v>
      </c>
      <c r="N350" s="49">
        <v>6777.96</v>
      </c>
      <c r="O350" s="75">
        <v>12</v>
      </c>
      <c r="P350" s="54">
        <v>2091.12</v>
      </c>
      <c r="Q350" s="54">
        <v>27.96</v>
      </c>
      <c r="R350" s="53">
        <f t="shared" si="17"/>
        <v>787.5</v>
      </c>
      <c r="S350" s="51">
        <v>11063.160000000003</v>
      </c>
    </row>
    <row r="351" spans="1:19" ht="15" x14ac:dyDescent="0.25">
      <c r="A351" s="28"/>
      <c r="B351" s="45" t="str">
        <f t="shared" si="15"/>
        <v>Nov-2023</v>
      </c>
      <c r="C351" s="57">
        <v>45240</v>
      </c>
      <c r="D351" s="43">
        <f t="shared" si="16"/>
        <v>872</v>
      </c>
      <c r="E351" s="76">
        <v>17</v>
      </c>
      <c r="F351" s="50">
        <v>29</v>
      </c>
      <c r="G351" s="49">
        <v>14550</v>
      </c>
      <c r="H351" s="73">
        <v>29</v>
      </c>
      <c r="I351" s="52">
        <v>29</v>
      </c>
      <c r="J351" s="51">
        <v>12224.409999999996</v>
      </c>
      <c r="K351" s="52">
        <v>1</v>
      </c>
      <c r="L351" s="51">
        <v>10</v>
      </c>
      <c r="M351" s="52">
        <v>12</v>
      </c>
      <c r="N351" s="49">
        <v>4654.3900000000003</v>
      </c>
      <c r="O351" s="75">
        <v>12</v>
      </c>
      <c r="P351" s="54">
        <v>2328.8000000000002</v>
      </c>
      <c r="Q351" s="54">
        <v>51.149999999999991</v>
      </c>
      <c r="R351" s="53">
        <f t="shared" si="17"/>
        <v>727.5</v>
      </c>
      <c r="S351" s="51">
        <v>12224.409999999996</v>
      </c>
    </row>
    <row r="352" spans="1:19" ht="15" x14ac:dyDescent="0.25">
      <c r="A352" s="28"/>
      <c r="B352" s="45" t="str">
        <f t="shared" si="15"/>
        <v>Nov-2023</v>
      </c>
      <c r="C352" s="57">
        <v>45241</v>
      </c>
      <c r="D352" s="43">
        <f t="shared" si="16"/>
        <v>871</v>
      </c>
      <c r="E352" s="76">
        <v>10</v>
      </c>
      <c r="F352" s="50">
        <v>13</v>
      </c>
      <c r="G352" s="49">
        <v>7125</v>
      </c>
      <c r="H352" s="73">
        <v>13</v>
      </c>
      <c r="I352" s="52">
        <v>13</v>
      </c>
      <c r="J352" s="51">
        <v>5251.47</v>
      </c>
      <c r="K352" s="52"/>
      <c r="L352" s="51"/>
      <c r="M352" s="52">
        <v>5</v>
      </c>
      <c r="N352" s="49">
        <v>2863.88</v>
      </c>
      <c r="O352" s="75">
        <v>5</v>
      </c>
      <c r="P352" s="54">
        <v>990.35</v>
      </c>
      <c r="Q352" s="54">
        <v>13.879999999999999</v>
      </c>
      <c r="R352" s="53">
        <f t="shared" si="17"/>
        <v>356.25</v>
      </c>
      <c r="S352" s="51">
        <v>5251.47</v>
      </c>
    </row>
    <row r="353" spans="1:19" ht="15" x14ac:dyDescent="0.25">
      <c r="A353" s="28"/>
      <c r="B353" s="45" t="str">
        <f t="shared" si="15"/>
        <v>Nov-2023</v>
      </c>
      <c r="C353" s="57">
        <v>45242</v>
      </c>
      <c r="D353" s="43">
        <f t="shared" si="16"/>
        <v>870</v>
      </c>
      <c r="E353" s="76">
        <v>15</v>
      </c>
      <c r="F353" s="50">
        <v>16</v>
      </c>
      <c r="G353" s="49">
        <v>9350</v>
      </c>
      <c r="H353" s="73">
        <v>16</v>
      </c>
      <c r="I353" s="52">
        <v>16</v>
      </c>
      <c r="J353" s="51">
        <v>2506.63</v>
      </c>
      <c r="K353" s="52"/>
      <c r="L353" s="51"/>
      <c r="M353" s="52">
        <v>14</v>
      </c>
      <c r="N353" s="49">
        <v>7370.86</v>
      </c>
      <c r="O353" s="75">
        <v>14</v>
      </c>
      <c r="P353" s="54">
        <v>527.49</v>
      </c>
      <c r="Q353" s="54">
        <v>63.11</v>
      </c>
      <c r="R353" s="53">
        <f t="shared" si="17"/>
        <v>467.5</v>
      </c>
      <c r="S353" s="51">
        <v>2506.63</v>
      </c>
    </row>
    <row r="354" spans="1:19" ht="15" x14ac:dyDescent="0.25">
      <c r="A354" s="28"/>
      <c r="B354" s="45" t="str">
        <f t="shared" si="15"/>
        <v>Nov-2023</v>
      </c>
      <c r="C354" s="57">
        <v>45243</v>
      </c>
      <c r="D354" s="43">
        <f t="shared" si="16"/>
        <v>869</v>
      </c>
      <c r="E354" s="76">
        <v>16</v>
      </c>
      <c r="F354" s="50">
        <v>29</v>
      </c>
      <c r="G354" s="49">
        <v>15920</v>
      </c>
      <c r="H354" s="73">
        <v>29</v>
      </c>
      <c r="I354" s="52">
        <v>29</v>
      </c>
      <c r="J354" s="51">
        <v>7983.300000000002</v>
      </c>
      <c r="K354" s="52"/>
      <c r="L354" s="51"/>
      <c r="M354" s="52">
        <v>22</v>
      </c>
      <c r="N354" s="49">
        <v>9458.6299999999992</v>
      </c>
      <c r="O354" s="75">
        <v>19</v>
      </c>
      <c r="P354" s="54">
        <v>1521.9299999999992</v>
      </c>
      <c r="Q354" s="54">
        <v>38.629999999999995</v>
      </c>
      <c r="R354" s="53">
        <f t="shared" si="17"/>
        <v>796</v>
      </c>
      <c r="S354" s="51">
        <v>7983.300000000002</v>
      </c>
    </row>
    <row r="355" spans="1:19" ht="15" x14ac:dyDescent="0.25">
      <c r="A355" s="28"/>
      <c r="B355" s="45" t="str">
        <f t="shared" si="15"/>
        <v>Nov-2023</v>
      </c>
      <c r="C355" s="57">
        <v>45244</v>
      </c>
      <c r="D355" s="43">
        <f t="shared" si="16"/>
        <v>868</v>
      </c>
      <c r="E355" s="76">
        <v>10</v>
      </c>
      <c r="F355" s="50">
        <v>18</v>
      </c>
      <c r="G355" s="49">
        <v>9650</v>
      </c>
      <c r="H355" s="73">
        <v>18</v>
      </c>
      <c r="I355" s="52">
        <v>18</v>
      </c>
      <c r="J355" s="51">
        <v>5683.920000000001</v>
      </c>
      <c r="K355" s="52"/>
      <c r="L355" s="51"/>
      <c r="M355" s="52">
        <v>9</v>
      </c>
      <c r="N355" s="49">
        <v>5138.3500000000004</v>
      </c>
      <c r="O355" s="75">
        <v>9</v>
      </c>
      <c r="P355" s="54">
        <v>1172.2699999999995</v>
      </c>
      <c r="Q355" s="54">
        <v>122.88</v>
      </c>
      <c r="R355" s="53">
        <f t="shared" si="17"/>
        <v>482.5</v>
      </c>
      <c r="S355" s="51">
        <v>5683.920000000001</v>
      </c>
    </row>
    <row r="356" spans="1:19" ht="15" x14ac:dyDescent="0.25">
      <c r="A356" s="28"/>
      <c r="B356" s="45" t="str">
        <f t="shared" si="15"/>
        <v>Nov-2023</v>
      </c>
      <c r="C356" s="57">
        <v>45245</v>
      </c>
      <c r="D356" s="43">
        <f t="shared" si="16"/>
        <v>867</v>
      </c>
      <c r="E356" s="76">
        <v>7</v>
      </c>
      <c r="F356" s="50">
        <v>16</v>
      </c>
      <c r="G356" s="49">
        <v>9700</v>
      </c>
      <c r="H356" s="73">
        <v>16</v>
      </c>
      <c r="I356" s="52">
        <v>16</v>
      </c>
      <c r="J356" s="51">
        <v>4784.5300000000007</v>
      </c>
      <c r="K356" s="52"/>
      <c r="L356" s="51"/>
      <c r="M356" s="52">
        <v>8</v>
      </c>
      <c r="N356" s="49">
        <v>5860.33</v>
      </c>
      <c r="O356" s="75">
        <v>8</v>
      </c>
      <c r="P356" s="54">
        <v>944.86</v>
      </c>
      <c r="Q356" s="54">
        <v>60.329999999999991</v>
      </c>
      <c r="R356" s="53">
        <f t="shared" si="17"/>
        <v>485</v>
      </c>
      <c r="S356" s="51">
        <v>4784.5300000000007</v>
      </c>
    </row>
    <row r="357" spans="1:19" ht="15" x14ac:dyDescent="0.25">
      <c r="A357" s="28"/>
      <c r="B357" s="45" t="str">
        <f t="shared" si="15"/>
        <v>Nov-2023</v>
      </c>
      <c r="C357" s="57">
        <v>45246</v>
      </c>
      <c r="D357" s="43">
        <f t="shared" si="16"/>
        <v>866</v>
      </c>
      <c r="E357" s="76">
        <v>7</v>
      </c>
      <c r="F357" s="50">
        <v>19</v>
      </c>
      <c r="G357" s="49">
        <v>10550</v>
      </c>
      <c r="H357" s="73">
        <v>19</v>
      </c>
      <c r="I357" s="52">
        <v>18</v>
      </c>
      <c r="J357" s="51">
        <v>3763.5800000000004</v>
      </c>
      <c r="K357" s="52"/>
      <c r="L357" s="51"/>
      <c r="M357" s="52">
        <v>22</v>
      </c>
      <c r="N357" s="49">
        <v>7568.49</v>
      </c>
      <c r="O357" s="75">
        <v>20</v>
      </c>
      <c r="P357" s="54">
        <v>782.07000000000016</v>
      </c>
      <c r="Q357" s="54">
        <v>84.83</v>
      </c>
      <c r="R357" s="53">
        <f t="shared" si="17"/>
        <v>527.5</v>
      </c>
      <c r="S357" s="51">
        <v>3763.5800000000004</v>
      </c>
    </row>
    <row r="358" spans="1:19" ht="15" x14ac:dyDescent="0.25">
      <c r="A358" s="28"/>
      <c r="B358" s="45" t="str">
        <f t="shared" si="15"/>
        <v>Nov-2023</v>
      </c>
      <c r="C358" s="57">
        <v>45247</v>
      </c>
      <c r="D358" s="43">
        <f t="shared" si="16"/>
        <v>865</v>
      </c>
      <c r="E358" s="76">
        <v>7</v>
      </c>
      <c r="F358" s="50">
        <v>16</v>
      </c>
      <c r="G358" s="49">
        <v>8930</v>
      </c>
      <c r="H358" s="73">
        <v>16</v>
      </c>
      <c r="I358" s="52">
        <v>16</v>
      </c>
      <c r="J358" s="51">
        <v>3692.23</v>
      </c>
      <c r="K358" s="52"/>
      <c r="L358" s="51"/>
      <c r="M358" s="52">
        <v>14</v>
      </c>
      <c r="N358" s="49">
        <v>5971.31</v>
      </c>
      <c r="O358" s="75">
        <v>13</v>
      </c>
      <c r="P358" s="54">
        <v>733.53999999999974</v>
      </c>
      <c r="Q358" s="54">
        <v>54.509999999999991</v>
      </c>
      <c r="R358" s="53">
        <f t="shared" si="17"/>
        <v>446.5</v>
      </c>
      <c r="S358" s="51">
        <v>3692.2299999999996</v>
      </c>
    </row>
    <row r="359" spans="1:19" ht="15" x14ac:dyDescent="0.25">
      <c r="A359" s="28"/>
      <c r="B359" s="45" t="str">
        <f t="shared" si="15"/>
        <v>Nov-2023</v>
      </c>
      <c r="C359" s="57">
        <v>45248</v>
      </c>
      <c r="D359" s="43">
        <f t="shared" si="16"/>
        <v>864</v>
      </c>
      <c r="E359" s="76">
        <v>11</v>
      </c>
      <c r="F359" s="50">
        <v>17</v>
      </c>
      <c r="G359" s="49">
        <v>9350</v>
      </c>
      <c r="H359" s="73">
        <v>17</v>
      </c>
      <c r="I359" s="52">
        <v>17</v>
      </c>
      <c r="J359" s="51">
        <v>3116.1800000000003</v>
      </c>
      <c r="K359" s="52"/>
      <c r="L359" s="51"/>
      <c r="M359" s="52">
        <v>12</v>
      </c>
      <c r="N359" s="49">
        <v>6858.2</v>
      </c>
      <c r="O359" s="75">
        <v>12</v>
      </c>
      <c r="P359" s="54">
        <v>624.37999999999988</v>
      </c>
      <c r="Q359" s="54">
        <v>49.67</v>
      </c>
      <c r="R359" s="53">
        <f t="shared" si="17"/>
        <v>467.5</v>
      </c>
      <c r="S359" s="51">
        <v>3116.1800000000003</v>
      </c>
    </row>
    <row r="360" spans="1:19" ht="15" x14ac:dyDescent="0.25">
      <c r="A360" s="28"/>
      <c r="B360" s="45" t="str">
        <f t="shared" si="15"/>
        <v>Nov-2023</v>
      </c>
      <c r="C360" s="57">
        <v>45249</v>
      </c>
      <c r="D360" s="43">
        <f t="shared" si="16"/>
        <v>863</v>
      </c>
      <c r="E360" s="76">
        <v>14</v>
      </c>
      <c r="F360" s="50">
        <v>27</v>
      </c>
      <c r="G360" s="49">
        <v>14200</v>
      </c>
      <c r="H360" s="73">
        <v>27</v>
      </c>
      <c r="I360" s="52">
        <v>27</v>
      </c>
      <c r="J360" s="51">
        <v>5784.23</v>
      </c>
      <c r="K360" s="52">
        <v>1</v>
      </c>
      <c r="L360" s="51">
        <v>100</v>
      </c>
      <c r="M360" s="52">
        <v>20</v>
      </c>
      <c r="N360" s="49">
        <v>9662.33</v>
      </c>
      <c r="O360" s="75">
        <v>20</v>
      </c>
      <c r="P360" s="54">
        <v>1246.56</v>
      </c>
      <c r="Q360" s="54">
        <v>193.16000000000003</v>
      </c>
      <c r="R360" s="53">
        <f t="shared" si="17"/>
        <v>710</v>
      </c>
      <c r="S360" s="51">
        <v>5784.2300000000014</v>
      </c>
    </row>
    <row r="361" spans="1:19" ht="15" x14ac:dyDescent="0.25">
      <c r="A361" s="28"/>
      <c r="B361" s="45" t="str">
        <f t="shared" si="15"/>
        <v>Nov-2023</v>
      </c>
      <c r="C361" s="57">
        <v>45250</v>
      </c>
      <c r="D361" s="43">
        <f t="shared" si="16"/>
        <v>862</v>
      </c>
      <c r="E361" s="76">
        <v>16</v>
      </c>
      <c r="F361" s="50">
        <v>31</v>
      </c>
      <c r="G361" s="49">
        <v>15100</v>
      </c>
      <c r="H361" s="73">
        <v>31</v>
      </c>
      <c r="I361" s="52">
        <v>31</v>
      </c>
      <c r="J361" s="51">
        <v>6988.4400000000023</v>
      </c>
      <c r="K361" s="52"/>
      <c r="L361" s="51"/>
      <c r="M361" s="52">
        <v>21</v>
      </c>
      <c r="N361" s="49">
        <v>9533.57</v>
      </c>
      <c r="O361" s="75">
        <v>21</v>
      </c>
      <c r="P361" s="54">
        <v>1422.0100000000009</v>
      </c>
      <c r="Q361" s="54">
        <v>139.62000000000003</v>
      </c>
      <c r="R361" s="53">
        <f t="shared" si="17"/>
        <v>755</v>
      </c>
      <c r="S361" s="51">
        <v>6988.4400000000023</v>
      </c>
    </row>
    <row r="362" spans="1:19" ht="15" x14ac:dyDescent="0.25">
      <c r="A362" s="28"/>
      <c r="B362" s="45" t="str">
        <f t="shared" si="15"/>
        <v>Nov-2023</v>
      </c>
      <c r="C362" s="57">
        <v>45251</v>
      </c>
      <c r="D362" s="43">
        <f t="shared" si="16"/>
        <v>861</v>
      </c>
      <c r="E362" s="76">
        <v>5</v>
      </c>
      <c r="F362" s="50">
        <v>19</v>
      </c>
      <c r="G362" s="49">
        <v>9450</v>
      </c>
      <c r="H362" s="73">
        <v>19</v>
      </c>
      <c r="I362" s="52">
        <v>18</v>
      </c>
      <c r="J362" s="51">
        <v>4928.2999999999993</v>
      </c>
      <c r="K362" s="52"/>
      <c r="L362" s="51"/>
      <c r="M362" s="52">
        <v>10</v>
      </c>
      <c r="N362" s="49">
        <v>5464.46</v>
      </c>
      <c r="O362" s="75">
        <v>10</v>
      </c>
      <c r="P362" s="54">
        <v>942.75999999999988</v>
      </c>
      <c r="Q362" s="54">
        <v>30.869999999999997</v>
      </c>
      <c r="R362" s="53">
        <f t="shared" si="17"/>
        <v>472.5</v>
      </c>
      <c r="S362" s="51">
        <v>4928.2999999999993</v>
      </c>
    </row>
    <row r="363" spans="1:19" ht="15" x14ac:dyDescent="0.25">
      <c r="A363" s="28"/>
      <c r="B363" s="45" t="str">
        <f t="shared" si="15"/>
        <v>Nov-2023</v>
      </c>
      <c r="C363" s="57">
        <v>45252</v>
      </c>
      <c r="D363" s="43">
        <f t="shared" si="16"/>
        <v>860</v>
      </c>
      <c r="E363" s="76">
        <v>4</v>
      </c>
      <c r="F363" s="50">
        <v>12</v>
      </c>
      <c r="G363" s="49">
        <v>6300</v>
      </c>
      <c r="H363" s="73">
        <v>12</v>
      </c>
      <c r="I363" s="52">
        <v>12</v>
      </c>
      <c r="J363" s="51">
        <v>1926.3700000000001</v>
      </c>
      <c r="K363" s="52"/>
      <c r="L363" s="51"/>
      <c r="M363" s="52">
        <v>9</v>
      </c>
      <c r="N363" s="49">
        <v>4767.54</v>
      </c>
      <c r="O363" s="75">
        <v>9</v>
      </c>
      <c r="P363" s="54">
        <v>393.91000000000014</v>
      </c>
      <c r="Q363" s="54">
        <v>39.430000000000007</v>
      </c>
      <c r="R363" s="53">
        <f t="shared" si="17"/>
        <v>315</v>
      </c>
      <c r="S363" s="51">
        <v>1926.3700000000001</v>
      </c>
    </row>
    <row r="364" spans="1:19" ht="15" x14ac:dyDescent="0.25">
      <c r="A364" s="28"/>
      <c r="B364" s="45" t="str">
        <f t="shared" si="15"/>
        <v>Nov-2023</v>
      </c>
      <c r="C364" s="57">
        <v>45253</v>
      </c>
      <c r="D364" s="43">
        <f t="shared" si="16"/>
        <v>859</v>
      </c>
      <c r="E364" s="76">
        <v>6</v>
      </c>
      <c r="F364" s="50">
        <v>14</v>
      </c>
      <c r="G364" s="49">
        <v>7810</v>
      </c>
      <c r="H364" s="73">
        <v>14</v>
      </c>
      <c r="I364" s="52">
        <v>14</v>
      </c>
      <c r="J364" s="51">
        <v>4298.6299999999992</v>
      </c>
      <c r="K364" s="52">
        <v>1</v>
      </c>
      <c r="L364" s="51">
        <v>1000.22</v>
      </c>
      <c r="M364" s="52">
        <v>13</v>
      </c>
      <c r="N364" s="49">
        <v>4336.1899999999996</v>
      </c>
      <c r="O364" s="75">
        <v>12</v>
      </c>
      <c r="P364" s="54">
        <v>824.82</v>
      </c>
      <c r="Q364" s="54">
        <v>34.989999999999995</v>
      </c>
      <c r="R364" s="53">
        <f t="shared" si="17"/>
        <v>390.5</v>
      </c>
      <c r="S364" s="51">
        <v>4298.63</v>
      </c>
    </row>
    <row r="365" spans="1:19" ht="15" x14ac:dyDescent="0.25">
      <c r="A365" s="28"/>
      <c r="B365" s="45" t="str">
        <f t="shared" si="15"/>
        <v>Nov-2023</v>
      </c>
      <c r="C365" s="57">
        <v>45254</v>
      </c>
      <c r="D365" s="43">
        <f t="shared" si="16"/>
        <v>858</v>
      </c>
      <c r="E365" s="76">
        <v>4</v>
      </c>
      <c r="F365" s="50">
        <v>16</v>
      </c>
      <c r="G365" s="49">
        <v>9150</v>
      </c>
      <c r="H365" s="73">
        <v>16</v>
      </c>
      <c r="I365" s="52">
        <v>16</v>
      </c>
      <c r="J365" s="51">
        <v>1886.1599999999999</v>
      </c>
      <c r="K365" s="52">
        <v>1</v>
      </c>
      <c r="L365" s="51">
        <v>475</v>
      </c>
      <c r="M365" s="52">
        <v>14</v>
      </c>
      <c r="N365" s="49">
        <v>7669.94</v>
      </c>
      <c r="O365" s="75">
        <v>14</v>
      </c>
      <c r="P365" s="54">
        <v>406.1</v>
      </c>
      <c r="Q365" s="54">
        <v>60.629999999999995</v>
      </c>
      <c r="R365" s="53">
        <f t="shared" si="17"/>
        <v>457.5</v>
      </c>
      <c r="S365" s="51">
        <v>1886.1599999999999</v>
      </c>
    </row>
    <row r="366" spans="1:19" ht="15" x14ac:dyDescent="0.25">
      <c r="A366" s="28"/>
      <c r="B366" s="45" t="str">
        <f t="shared" si="15"/>
        <v>Nov-2023</v>
      </c>
      <c r="C366" s="57">
        <v>45255</v>
      </c>
      <c r="D366" s="43">
        <f t="shared" si="16"/>
        <v>857</v>
      </c>
      <c r="E366" s="76">
        <v>3</v>
      </c>
      <c r="F366" s="50">
        <v>14</v>
      </c>
      <c r="G366" s="49">
        <v>8000</v>
      </c>
      <c r="H366" s="73">
        <v>14</v>
      </c>
      <c r="I366" s="52">
        <v>14</v>
      </c>
      <c r="J366" s="51">
        <v>1885.6399999999999</v>
      </c>
      <c r="K366" s="52"/>
      <c r="L366" s="51"/>
      <c r="M366" s="52">
        <v>11</v>
      </c>
      <c r="N366" s="49">
        <v>6494.89</v>
      </c>
      <c r="O366" s="75">
        <v>11</v>
      </c>
      <c r="P366" s="54">
        <v>380.53</v>
      </c>
      <c r="Q366" s="54">
        <v>35.450000000000003</v>
      </c>
      <c r="R366" s="53">
        <f t="shared" si="17"/>
        <v>400</v>
      </c>
      <c r="S366" s="51">
        <v>1885.6399999999999</v>
      </c>
    </row>
    <row r="367" spans="1:19" ht="15" x14ac:dyDescent="0.25">
      <c r="A367" s="28"/>
      <c r="B367" s="45" t="str">
        <f t="shared" si="15"/>
        <v>Nov-2023</v>
      </c>
      <c r="C367" s="57">
        <v>45256</v>
      </c>
      <c r="D367" s="43">
        <f t="shared" si="16"/>
        <v>856</v>
      </c>
      <c r="E367" s="76">
        <v>9</v>
      </c>
      <c r="F367" s="50">
        <v>18</v>
      </c>
      <c r="G367" s="49">
        <v>11100</v>
      </c>
      <c r="H367" s="73">
        <v>18</v>
      </c>
      <c r="I367" s="52">
        <v>18</v>
      </c>
      <c r="J367" s="51">
        <v>2014.77</v>
      </c>
      <c r="K367" s="52"/>
      <c r="L367" s="51"/>
      <c r="M367" s="52">
        <v>23</v>
      </c>
      <c r="N367" s="49">
        <v>9523.58</v>
      </c>
      <c r="O367" s="75">
        <v>17</v>
      </c>
      <c r="P367" s="54">
        <v>438.35000000000008</v>
      </c>
      <c r="Q367" s="54">
        <v>70.09</v>
      </c>
      <c r="R367" s="53">
        <f t="shared" si="17"/>
        <v>555</v>
      </c>
      <c r="S367" s="51">
        <v>2014.77</v>
      </c>
    </row>
    <row r="368" spans="1:19" ht="15" x14ac:dyDescent="0.25">
      <c r="A368" s="28"/>
      <c r="B368" s="45" t="str">
        <f t="shared" si="15"/>
        <v>Nov-2023</v>
      </c>
      <c r="C368" s="57">
        <v>45257</v>
      </c>
      <c r="D368" s="43">
        <f t="shared" si="16"/>
        <v>855</v>
      </c>
      <c r="E368" s="76">
        <v>12</v>
      </c>
      <c r="F368" s="50">
        <v>15</v>
      </c>
      <c r="G368" s="49">
        <v>7790</v>
      </c>
      <c r="H368" s="73">
        <v>15</v>
      </c>
      <c r="I368" s="52">
        <v>15</v>
      </c>
      <c r="J368" s="51">
        <v>3769.7499999999991</v>
      </c>
      <c r="K368" s="52"/>
      <c r="L368" s="51"/>
      <c r="M368" s="52">
        <v>9</v>
      </c>
      <c r="N368" s="49">
        <v>4750.1099999999997</v>
      </c>
      <c r="O368" s="75">
        <v>9</v>
      </c>
      <c r="P368" s="54">
        <v>729.8599999999999</v>
      </c>
      <c r="Q368" s="54">
        <v>41.260000000000005</v>
      </c>
      <c r="R368" s="53">
        <f t="shared" si="17"/>
        <v>389.5</v>
      </c>
      <c r="S368" s="51">
        <v>3769.75</v>
      </c>
    </row>
    <row r="369" spans="1:19" ht="15" x14ac:dyDescent="0.25">
      <c r="A369" s="28"/>
      <c r="B369" s="45" t="str">
        <f t="shared" si="15"/>
        <v>Nov-2023</v>
      </c>
      <c r="C369" s="57">
        <v>45258</v>
      </c>
      <c r="D369" s="43">
        <f t="shared" si="16"/>
        <v>854</v>
      </c>
      <c r="E369" s="76">
        <v>11</v>
      </c>
      <c r="F369" s="50">
        <v>18</v>
      </c>
      <c r="G369" s="49">
        <v>9100</v>
      </c>
      <c r="H369" s="73">
        <v>18</v>
      </c>
      <c r="I369" s="52">
        <v>18</v>
      </c>
      <c r="J369" s="51">
        <v>3858.4200000000005</v>
      </c>
      <c r="K369" s="52"/>
      <c r="L369" s="51"/>
      <c r="M369" s="52">
        <v>15</v>
      </c>
      <c r="N369" s="49">
        <v>6029.28</v>
      </c>
      <c r="O369" s="75">
        <v>14</v>
      </c>
      <c r="P369" s="54">
        <v>787.69999999999993</v>
      </c>
      <c r="Q369" s="54">
        <v>84.96</v>
      </c>
      <c r="R369" s="53">
        <f t="shared" si="17"/>
        <v>455</v>
      </c>
      <c r="S369" s="51">
        <v>3858.4200000000005</v>
      </c>
    </row>
    <row r="370" spans="1:19" ht="15" x14ac:dyDescent="0.25">
      <c r="A370" s="28"/>
      <c r="B370" s="45" t="str">
        <f t="shared" si="15"/>
        <v>Nov-2023</v>
      </c>
      <c r="C370" s="57">
        <v>45259</v>
      </c>
      <c r="D370" s="43">
        <f t="shared" si="16"/>
        <v>853</v>
      </c>
      <c r="E370" s="76">
        <v>2</v>
      </c>
      <c r="F370" s="50">
        <v>9</v>
      </c>
      <c r="G370" s="49">
        <v>4850</v>
      </c>
      <c r="H370" s="73">
        <v>9</v>
      </c>
      <c r="I370" s="52">
        <v>9</v>
      </c>
      <c r="J370" s="51">
        <v>190</v>
      </c>
      <c r="K370" s="52"/>
      <c r="L370" s="51"/>
      <c r="M370" s="52">
        <v>11</v>
      </c>
      <c r="N370" s="49">
        <v>4791.0600000000004</v>
      </c>
      <c r="O370" s="75">
        <v>11</v>
      </c>
      <c r="P370" s="54">
        <v>131.06</v>
      </c>
      <c r="Q370" s="54">
        <v>101.22</v>
      </c>
      <c r="R370" s="53">
        <f t="shared" si="17"/>
        <v>242.5</v>
      </c>
      <c r="S370" s="51">
        <v>190</v>
      </c>
    </row>
    <row r="371" spans="1:19" ht="15" x14ac:dyDescent="0.25">
      <c r="A371" s="28"/>
      <c r="B371" s="45" t="str">
        <f t="shared" si="15"/>
        <v>Nov-2023</v>
      </c>
      <c r="C371" s="57">
        <v>45260</v>
      </c>
      <c r="D371" s="43">
        <f t="shared" si="16"/>
        <v>852</v>
      </c>
      <c r="E371" s="76">
        <v>21</v>
      </c>
      <c r="F371" s="50">
        <v>54</v>
      </c>
      <c r="G371" s="49">
        <v>39520</v>
      </c>
      <c r="H371" s="73">
        <v>51</v>
      </c>
      <c r="I371" s="52">
        <v>54</v>
      </c>
      <c r="J371" s="51">
        <v>3484.5099999999993</v>
      </c>
      <c r="K371" s="52">
        <v>5</v>
      </c>
      <c r="L371" s="51">
        <v>3650.8000000000006</v>
      </c>
      <c r="M371" s="52">
        <v>66</v>
      </c>
      <c r="N371" s="49">
        <v>37015.94</v>
      </c>
      <c r="O371" s="75">
        <v>64</v>
      </c>
      <c r="P371" s="54">
        <v>980.45</v>
      </c>
      <c r="Q371" s="54">
        <v>357.72000000000014</v>
      </c>
      <c r="R371" s="53">
        <f t="shared" si="17"/>
        <v>1976</v>
      </c>
      <c r="S371" s="51">
        <v>3484.5099999999989</v>
      </c>
    </row>
    <row r="372" spans="1:19" ht="15" x14ac:dyDescent="0.25">
      <c r="A372" s="28"/>
      <c r="B372" s="45" t="str">
        <f t="shared" si="15"/>
        <v>Dec-2023</v>
      </c>
      <c r="C372" s="57">
        <v>45261</v>
      </c>
      <c r="D372" s="43">
        <f t="shared" si="16"/>
        <v>851</v>
      </c>
      <c r="E372" s="76">
        <v>1</v>
      </c>
      <c r="F372" s="50">
        <v>6</v>
      </c>
      <c r="G372" s="49">
        <v>8150</v>
      </c>
      <c r="H372" s="73">
        <v>6</v>
      </c>
      <c r="I372" s="52">
        <v>6</v>
      </c>
      <c r="J372" s="51">
        <v>47.24</v>
      </c>
      <c r="K372" s="52"/>
      <c r="L372" s="51"/>
      <c r="M372" s="52">
        <v>7</v>
      </c>
      <c r="N372" s="49">
        <v>8151.98</v>
      </c>
      <c r="O372" s="75">
        <v>7</v>
      </c>
      <c r="P372" s="54">
        <v>49.22</v>
      </c>
      <c r="Q372" s="54">
        <v>41.760000000000005</v>
      </c>
      <c r="R372" s="53">
        <f t="shared" si="17"/>
        <v>407.5</v>
      </c>
      <c r="S372" s="51">
        <v>47.24</v>
      </c>
    </row>
    <row r="373" spans="1:19" ht="15" x14ac:dyDescent="0.25">
      <c r="A373" s="28"/>
      <c r="B373" s="45" t="str">
        <f t="shared" si="15"/>
        <v>Dec-2023</v>
      </c>
      <c r="C373" s="57">
        <v>45262</v>
      </c>
      <c r="D373" s="43">
        <f t="shared" si="16"/>
        <v>850</v>
      </c>
      <c r="F373" s="50">
        <v>4</v>
      </c>
      <c r="G373" s="49">
        <v>4600</v>
      </c>
      <c r="H373" s="73">
        <v>4</v>
      </c>
      <c r="I373" s="52">
        <v>4</v>
      </c>
      <c r="J373" s="51">
        <v>611.63</v>
      </c>
      <c r="K373" s="52">
        <v>2</v>
      </c>
      <c r="L373" s="51">
        <v>18</v>
      </c>
      <c r="M373" s="52">
        <v>8</v>
      </c>
      <c r="N373" s="49">
        <v>4173.2299999999996</v>
      </c>
      <c r="O373" s="75">
        <v>7</v>
      </c>
      <c r="P373" s="54">
        <v>184.85999999999999</v>
      </c>
      <c r="Q373" s="54">
        <v>73.22999999999999</v>
      </c>
      <c r="R373" s="53">
        <f t="shared" si="17"/>
        <v>230</v>
      </c>
      <c r="S373" s="51">
        <v>611.63</v>
      </c>
    </row>
    <row r="374" spans="1:19" ht="15" x14ac:dyDescent="0.25">
      <c r="A374" s="28"/>
      <c r="B374" s="45" t="str">
        <f t="shared" si="15"/>
        <v>Dec-2023</v>
      </c>
      <c r="C374" s="57">
        <v>45263</v>
      </c>
      <c r="D374" s="43">
        <f t="shared" si="16"/>
        <v>849</v>
      </c>
      <c r="F374" s="50">
        <v>2</v>
      </c>
      <c r="G374" s="49">
        <v>1600</v>
      </c>
      <c r="H374" s="73">
        <v>2</v>
      </c>
      <c r="I374" s="52">
        <v>2</v>
      </c>
      <c r="J374" s="51">
        <v>0</v>
      </c>
      <c r="K374" s="52"/>
      <c r="L374" s="51"/>
      <c r="M374" s="52">
        <v>2</v>
      </c>
      <c r="N374" s="49">
        <v>1621.42</v>
      </c>
      <c r="O374" s="75">
        <v>2</v>
      </c>
      <c r="P374" s="54">
        <v>21.419999999999998</v>
      </c>
      <c r="Q374" s="54">
        <v>21.419999999999998</v>
      </c>
      <c r="R374" s="53">
        <f t="shared" si="17"/>
        <v>80</v>
      </c>
      <c r="S374" s="51"/>
    </row>
    <row r="375" spans="1:19" ht="15" x14ac:dyDescent="0.25">
      <c r="A375" s="28"/>
      <c r="B375" s="45" t="str">
        <f t="shared" si="15"/>
        <v>Dec-2023</v>
      </c>
      <c r="C375" s="57">
        <v>45264</v>
      </c>
      <c r="D375" s="43">
        <f t="shared" si="16"/>
        <v>848</v>
      </c>
      <c r="E375" s="76">
        <v>8</v>
      </c>
      <c r="F375" s="50">
        <v>47</v>
      </c>
      <c r="G375" s="49">
        <v>44190</v>
      </c>
      <c r="H375" s="73">
        <v>45</v>
      </c>
      <c r="I375" s="52">
        <v>47</v>
      </c>
      <c r="J375" s="51">
        <v>1718.5899999999997</v>
      </c>
      <c r="K375" s="52">
        <v>4</v>
      </c>
      <c r="L375" s="51">
        <v>1650.36</v>
      </c>
      <c r="M375" s="52">
        <v>66</v>
      </c>
      <c r="N375" s="49">
        <v>43379.35</v>
      </c>
      <c r="O375" s="75">
        <v>64</v>
      </c>
      <c r="P375" s="54">
        <v>907.94000000000028</v>
      </c>
      <c r="Q375" s="54">
        <v>603.13999999999987</v>
      </c>
      <c r="R375" s="53">
        <f t="shared" si="17"/>
        <v>2209.5</v>
      </c>
      <c r="S375" s="51">
        <v>1718.59</v>
      </c>
    </row>
    <row r="376" spans="1:19" ht="15" x14ac:dyDescent="0.25">
      <c r="A376" s="28"/>
      <c r="B376" s="45" t="str">
        <f t="shared" si="15"/>
        <v>Dec-2023</v>
      </c>
      <c r="C376" s="57">
        <v>45265</v>
      </c>
      <c r="D376" s="43">
        <f t="shared" si="16"/>
        <v>847</v>
      </c>
      <c r="E376" s="76">
        <v>9</v>
      </c>
      <c r="F376" s="50">
        <v>33</v>
      </c>
      <c r="G376" s="49">
        <v>31600</v>
      </c>
      <c r="H376" s="73">
        <v>33</v>
      </c>
      <c r="I376" s="52">
        <v>33</v>
      </c>
      <c r="J376" s="51">
        <v>8442.7599999999984</v>
      </c>
      <c r="K376" s="52"/>
      <c r="L376" s="51"/>
      <c r="M376" s="52">
        <v>37</v>
      </c>
      <c r="N376" s="49">
        <v>24952.66</v>
      </c>
      <c r="O376" s="75">
        <v>33</v>
      </c>
      <c r="P376" s="54">
        <v>1795.42</v>
      </c>
      <c r="Q376" s="54">
        <v>259.69999999999993</v>
      </c>
      <c r="R376" s="53">
        <f t="shared" si="17"/>
        <v>1580</v>
      </c>
      <c r="S376" s="51">
        <v>8442.76</v>
      </c>
    </row>
    <row r="377" spans="1:19" ht="15" x14ac:dyDescent="0.25">
      <c r="A377" s="28"/>
      <c r="B377" s="45" t="str">
        <f t="shared" si="15"/>
        <v>Dec-2023</v>
      </c>
      <c r="C377" s="57">
        <v>45266</v>
      </c>
      <c r="D377" s="43">
        <f t="shared" si="16"/>
        <v>846</v>
      </c>
      <c r="E377" s="76">
        <v>7</v>
      </c>
      <c r="F377" s="50">
        <v>32</v>
      </c>
      <c r="G377" s="49">
        <v>27800</v>
      </c>
      <c r="H377" s="73">
        <v>32</v>
      </c>
      <c r="I377" s="52">
        <v>32</v>
      </c>
      <c r="J377" s="51">
        <v>890.65000000000009</v>
      </c>
      <c r="K377" s="52"/>
      <c r="L377" s="51"/>
      <c r="M377" s="52">
        <v>35</v>
      </c>
      <c r="N377" s="49">
        <v>27393.279999999999</v>
      </c>
      <c r="O377" s="75">
        <v>35</v>
      </c>
      <c r="P377" s="54">
        <v>483.92999999999984</v>
      </c>
      <c r="Q377" s="54">
        <v>328.06</v>
      </c>
      <c r="R377" s="53">
        <f t="shared" si="17"/>
        <v>1390</v>
      </c>
      <c r="S377" s="51">
        <v>890.65000000000009</v>
      </c>
    </row>
    <row r="378" spans="1:19" ht="15" x14ac:dyDescent="0.25">
      <c r="A378" s="28"/>
      <c r="B378" s="45" t="str">
        <f t="shared" si="15"/>
        <v>Dec-2023</v>
      </c>
      <c r="C378" s="57">
        <v>45267</v>
      </c>
      <c r="D378" s="43">
        <f t="shared" si="16"/>
        <v>845</v>
      </c>
      <c r="E378" s="76">
        <v>12</v>
      </c>
      <c r="F378" s="50">
        <v>28</v>
      </c>
      <c r="G378" s="49">
        <v>20549</v>
      </c>
      <c r="H378" s="73">
        <v>28</v>
      </c>
      <c r="I378" s="52">
        <v>28</v>
      </c>
      <c r="J378" s="51">
        <v>1660.9500000000003</v>
      </c>
      <c r="K378" s="52"/>
      <c r="L378" s="51"/>
      <c r="M378" s="52">
        <v>33</v>
      </c>
      <c r="N378" s="49">
        <v>19451.45</v>
      </c>
      <c r="O378" s="75">
        <v>30</v>
      </c>
      <c r="P378" s="54">
        <v>563.39999999999986</v>
      </c>
      <c r="Q378" s="54">
        <v>272.45</v>
      </c>
      <c r="R378" s="53">
        <f t="shared" si="17"/>
        <v>1027.45</v>
      </c>
      <c r="S378" s="51">
        <v>1660.9500000000005</v>
      </c>
    </row>
    <row r="379" spans="1:19" ht="15" x14ac:dyDescent="0.25">
      <c r="A379" s="28"/>
      <c r="B379" s="45" t="str">
        <f t="shared" si="15"/>
        <v>Dec-2023</v>
      </c>
      <c r="C379" s="57">
        <v>45268</v>
      </c>
      <c r="D379" s="43">
        <f t="shared" si="16"/>
        <v>844</v>
      </c>
      <c r="E379" s="76">
        <v>15</v>
      </c>
      <c r="F379" s="50">
        <v>33</v>
      </c>
      <c r="G379" s="49">
        <v>22400</v>
      </c>
      <c r="H379" s="73">
        <v>33</v>
      </c>
      <c r="I379" s="52">
        <v>33</v>
      </c>
      <c r="J379" s="51">
        <v>2192.2399999999993</v>
      </c>
      <c r="K379" s="52"/>
      <c r="L379" s="51"/>
      <c r="M379" s="52">
        <v>36</v>
      </c>
      <c r="N379" s="49">
        <v>20889.189999999999</v>
      </c>
      <c r="O379" s="75">
        <v>36</v>
      </c>
      <c r="P379" s="54">
        <v>681.43000000000018</v>
      </c>
      <c r="Q379" s="54">
        <v>294.50000000000006</v>
      </c>
      <c r="R379" s="53">
        <f t="shared" si="17"/>
        <v>1120</v>
      </c>
      <c r="S379" s="51">
        <v>2192.2399999999998</v>
      </c>
    </row>
    <row r="380" spans="1:19" ht="15" x14ac:dyDescent="0.25">
      <c r="A380" s="28"/>
      <c r="B380" s="45" t="str">
        <f t="shared" si="15"/>
        <v>Dec-2023</v>
      </c>
      <c r="C380" s="57">
        <v>45269</v>
      </c>
      <c r="D380" s="43">
        <f t="shared" si="16"/>
        <v>843</v>
      </c>
      <c r="E380" s="76">
        <v>15</v>
      </c>
      <c r="F380" s="50">
        <v>25</v>
      </c>
      <c r="G380" s="49">
        <v>22150</v>
      </c>
      <c r="H380" s="73">
        <v>25</v>
      </c>
      <c r="I380" s="52">
        <v>25</v>
      </c>
      <c r="J380" s="51">
        <v>2521.46</v>
      </c>
      <c r="K380" s="52"/>
      <c r="L380" s="51"/>
      <c r="M380" s="52">
        <v>24</v>
      </c>
      <c r="N380" s="49">
        <v>20330.09</v>
      </c>
      <c r="O380" s="75">
        <v>24</v>
      </c>
      <c r="P380" s="54">
        <v>701.5500000000003</v>
      </c>
      <c r="Q380" s="54">
        <v>252.24000000000004</v>
      </c>
      <c r="R380" s="53">
        <f t="shared" si="17"/>
        <v>1107.5</v>
      </c>
      <c r="S380" s="51">
        <v>2521.4599999999996</v>
      </c>
    </row>
    <row r="381" spans="1:19" ht="15" x14ac:dyDescent="0.25">
      <c r="A381" s="28"/>
      <c r="B381" s="45" t="str">
        <f t="shared" si="15"/>
        <v>Dec-2023</v>
      </c>
      <c r="C381" s="57">
        <v>45270</v>
      </c>
      <c r="D381" s="43">
        <f t="shared" si="16"/>
        <v>842</v>
      </c>
      <c r="E381" s="76">
        <v>12</v>
      </c>
      <c r="F381" s="50">
        <v>20</v>
      </c>
      <c r="G381" s="49">
        <v>22020</v>
      </c>
      <c r="H381" s="73">
        <v>20</v>
      </c>
      <c r="I381" s="52">
        <v>20</v>
      </c>
      <c r="J381" s="51">
        <v>1518.56</v>
      </c>
      <c r="K381" s="52"/>
      <c r="L381" s="51"/>
      <c r="M381" s="52">
        <v>22</v>
      </c>
      <c r="N381" s="49">
        <v>20967.02</v>
      </c>
      <c r="O381" s="75">
        <v>19</v>
      </c>
      <c r="P381" s="54">
        <v>465.57999999999993</v>
      </c>
      <c r="Q381" s="54">
        <v>195.28000000000003</v>
      </c>
      <c r="R381" s="53">
        <f t="shared" si="17"/>
        <v>1101</v>
      </c>
      <c r="S381" s="51">
        <v>1518.5599999999997</v>
      </c>
    </row>
    <row r="382" spans="1:19" ht="15" x14ac:dyDescent="0.25">
      <c r="A382" s="28"/>
      <c r="B382" s="45" t="str">
        <f t="shared" si="15"/>
        <v>Dec-2023</v>
      </c>
      <c r="C382" s="57">
        <v>45271</v>
      </c>
      <c r="D382" s="43">
        <f t="shared" si="16"/>
        <v>841</v>
      </c>
      <c r="E382" s="76">
        <v>15</v>
      </c>
      <c r="F382" s="50">
        <v>28</v>
      </c>
      <c r="G382" s="49">
        <v>17610</v>
      </c>
      <c r="H382" s="73">
        <v>28</v>
      </c>
      <c r="I382" s="52">
        <v>28</v>
      </c>
      <c r="J382" s="51">
        <v>643.16000000000008</v>
      </c>
      <c r="K382" s="52">
        <v>1</v>
      </c>
      <c r="L382" s="51">
        <v>100</v>
      </c>
      <c r="M382" s="52">
        <v>38</v>
      </c>
      <c r="N382" s="49">
        <v>17390.52</v>
      </c>
      <c r="O382" s="75">
        <v>36</v>
      </c>
      <c r="P382" s="54">
        <v>423.67999999999995</v>
      </c>
      <c r="Q382" s="54">
        <v>319.23999999999995</v>
      </c>
      <c r="R382" s="53">
        <f t="shared" si="17"/>
        <v>880.5</v>
      </c>
      <c r="S382" s="51">
        <v>643.16000000000008</v>
      </c>
    </row>
    <row r="383" spans="1:19" ht="15" x14ac:dyDescent="0.25">
      <c r="A383" s="28"/>
      <c r="B383" s="45" t="str">
        <f t="shared" si="15"/>
        <v>Dec-2023</v>
      </c>
      <c r="C383" s="57">
        <v>45272</v>
      </c>
      <c r="D383" s="43">
        <f t="shared" si="16"/>
        <v>840</v>
      </c>
      <c r="E383" s="76">
        <v>6</v>
      </c>
      <c r="F383" s="50">
        <v>17</v>
      </c>
      <c r="G383" s="49">
        <v>12450</v>
      </c>
      <c r="H383" s="73">
        <v>17</v>
      </c>
      <c r="I383" s="52">
        <v>17</v>
      </c>
      <c r="J383" s="51">
        <v>900.28999999999985</v>
      </c>
      <c r="K383" s="52"/>
      <c r="L383" s="51"/>
      <c r="M383" s="52">
        <v>17</v>
      </c>
      <c r="N383" s="49">
        <v>11860.44</v>
      </c>
      <c r="O383" s="75">
        <v>17</v>
      </c>
      <c r="P383" s="54">
        <v>310.73</v>
      </c>
      <c r="Q383" s="54">
        <v>155.63999999999999</v>
      </c>
      <c r="R383" s="53">
        <f t="shared" si="17"/>
        <v>622.5</v>
      </c>
      <c r="S383" s="51">
        <v>900.29</v>
      </c>
    </row>
    <row r="384" spans="1:19" ht="15" x14ac:dyDescent="0.25">
      <c r="A384" s="28"/>
      <c r="B384" s="45" t="str">
        <f t="shared" si="15"/>
        <v>Dec-2023</v>
      </c>
      <c r="C384" s="57">
        <v>45273</v>
      </c>
      <c r="D384" s="43">
        <f t="shared" si="16"/>
        <v>839</v>
      </c>
      <c r="E384" s="76">
        <v>9</v>
      </c>
      <c r="F384" s="50">
        <v>19</v>
      </c>
      <c r="G384" s="49">
        <v>13650</v>
      </c>
      <c r="H384" s="73">
        <v>19</v>
      </c>
      <c r="I384" s="52">
        <v>19</v>
      </c>
      <c r="J384" s="51">
        <v>361.90000000000003</v>
      </c>
      <c r="K384" s="52"/>
      <c r="L384" s="51"/>
      <c r="M384" s="52">
        <v>21</v>
      </c>
      <c r="N384" s="49">
        <v>13537.98</v>
      </c>
      <c r="O384" s="75">
        <v>21</v>
      </c>
      <c r="P384" s="54">
        <v>249.88000000000002</v>
      </c>
      <c r="Q384" s="54">
        <v>190.2</v>
      </c>
      <c r="R384" s="53">
        <f t="shared" si="17"/>
        <v>682.5</v>
      </c>
      <c r="S384" s="51">
        <v>361.9</v>
      </c>
    </row>
    <row r="385" spans="1:19" ht="15" x14ac:dyDescent="0.25">
      <c r="A385" s="28"/>
      <c r="B385" s="45" t="str">
        <f t="shared" si="15"/>
        <v>Dec-2023</v>
      </c>
      <c r="C385" s="57">
        <v>45274</v>
      </c>
      <c r="D385" s="43">
        <f t="shared" si="16"/>
        <v>838</v>
      </c>
      <c r="E385" s="76">
        <v>5</v>
      </c>
      <c r="F385" s="50">
        <v>24</v>
      </c>
      <c r="G385" s="49">
        <v>16650</v>
      </c>
      <c r="H385" s="73">
        <v>24</v>
      </c>
      <c r="I385" s="52">
        <v>24</v>
      </c>
      <c r="J385" s="51">
        <v>340.72</v>
      </c>
      <c r="K385" s="52"/>
      <c r="L385" s="51"/>
      <c r="M385" s="52">
        <v>37</v>
      </c>
      <c r="N385" s="49">
        <v>16573.169999999998</v>
      </c>
      <c r="O385" s="75">
        <v>30</v>
      </c>
      <c r="P385" s="54">
        <v>263.89000000000004</v>
      </c>
      <c r="Q385" s="54">
        <v>204.21000000000004</v>
      </c>
      <c r="R385" s="53">
        <f t="shared" si="17"/>
        <v>832.5</v>
      </c>
      <c r="S385" s="51">
        <v>340.72</v>
      </c>
    </row>
    <row r="386" spans="1:19" ht="15" x14ac:dyDescent="0.25">
      <c r="A386" s="28"/>
      <c r="B386" s="45" t="str">
        <f t="shared" si="15"/>
        <v>Dec-2023</v>
      </c>
      <c r="C386" s="57">
        <v>45275</v>
      </c>
      <c r="D386" s="43">
        <f t="shared" si="16"/>
        <v>837</v>
      </c>
      <c r="E386" s="76">
        <v>11</v>
      </c>
      <c r="F386" s="50">
        <v>19</v>
      </c>
      <c r="G386" s="49">
        <v>16550</v>
      </c>
      <c r="H386" s="73">
        <v>19</v>
      </c>
      <c r="I386" s="52">
        <v>19</v>
      </c>
      <c r="J386" s="51">
        <v>272.52000000000004</v>
      </c>
      <c r="K386" s="52"/>
      <c r="L386" s="51"/>
      <c r="M386" s="52">
        <v>25</v>
      </c>
      <c r="N386" s="49">
        <v>16472.53</v>
      </c>
      <c r="O386" s="75">
        <v>23</v>
      </c>
      <c r="P386" s="54">
        <v>195.04999999999998</v>
      </c>
      <c r="Q386" s="54">
        <v>150.29</v>
      </c>
      <c r="R386" s="53">
        <f t="shared" si="17"/>
        <v>827.5</v>
      </c>
      <c r="S386" s="51">
        <v>272.52000000000004</v>
      </c>
    </row>
    <row r="387" spans="1:19" ht="15" x14ac:dyDescent="0.25">
      <c r="A387" s="28"/>
      <c r="B387" s="45" t="str">
        <f t="shared" si="15"/>
        <v>Dec-2023</v>
      </c>
      <c r="C387" s="57">
        <v>45276</v>
      </c>
      <c r="D387" s="43">
        <f t="shared" si="16"/>
        <v>836</v>
      </c>
      <c r="E387" s="76">
        <v>7</v>
      </c>
      <c r="F387" s="50">
        <v>14</v>
      </c>
      <c r="G387" s="49">
        <v>11350</v>
      </c>
      <c r="H387" s="73">
        <v>14</v>
      </c>
      <c r="I387" s="52">
        <v>14</v>
      </c>
      <c r="J387" s="51">
        <v>1839.8899999999999</v>
      </c>
      <c r="K387" s="52"/>
      <c r="L387" s="51"/>
      <c r="M387" s="52">
        <v>16</v>
      </c>
      <c r="N387" s="49">
        <v>9951.52</v>
      </c>
      <c r="O387" s="75">
        <v>16</v>
      </c>
      <c r="P387" s="54">
        <v>441.41000000000008</v>
      </c>
      <c r="Q387" s="54">
        <v>115.01</v>
      </c>
      <c r="R387" s="53">
        <f t="shared" si="17"/>
        <v>567.5</v>
      </c>
      <c r="S387" s="51">
        <v>1839.8899999999999</v>
      </c>
    </row>
    <row r="388" spans="1:19" ht="15" x14ac:dyDescent="0.25">
      <c r="A388" s="28"/>
      <c r="B388" s="45" t="str">
        <f t="shared" si="15"/>
        <v>Dec-2023</v>
      </c>
      <c r="C388" s="57">
        <v>45277</v>
      </c>
      <c r="D388" s="43">
        <f t="shared" si="16"/>
        <v>835</v>
      </c>
      <c r="E388" s="76">
        <v>8</v>
      </c>
      <c r="F388" s="50">
        <v>9</v>
      </c>
      <c r="G388" s="49">
        <v>5910</v>
      </c>
      <c r="H388" s="73">
        <v>9</v>
      </c>
      <c r="I388" s="52">
        <v>9</v>
      </c>
      <c r="J388" s="51">
        <v>135.47999999999999</v>
      </c>
      <c r="K388" s="52"/>
      <c r="L388" s="51"/>
      <c r="M388" s="52">
        <v>11</v>
      </c>
      <c r="N388" s="49">
        <v>5871.73</v>
      </c>
      <c r="O388" s="75">
        <v>10</v>
      </c>
      <c r="P388" s="54">
        <v>97.21</v>
      </c>
      <c r="Q388" s="54">
        <v>74.83</v>
      </c>
      <c r="R388" s="53">
        <f t="shared" si="17"/>
        <v>295.5</v>
      </c>
      <c r="S388" s="51">
        <v>135.47999999999999</v>
      </c>
    </row>
    <row r="389" spans="1:19" ht="15" x14ac:dyDescent="0.25">
      <c r="A389" s="28"/>
      <c r="B389" s="45" t="str">
        <f t="shared" ref="B389:B453" si="18">TEXT(C389,"MMM-YYYY")</f>
        <v>Dec-2023</v>
      </c>
      <c r="C389" s="57">
        <v>45278</v>
      </c>
      <c r="D389" s="43">
        <f t="shared" ref="D389:D453" si="19">$A$1-C389</f>
        <v>834</v>
      </c>
      <c r="E389" s="76">
        <v>7</v>
      </c>
      <c r="F389" s="50">
        <v>19</v>
      </c>
      <c r="G389" s="49">
        <v>15490</v>
      </c>
      <c r="H389" s="73">
        <v>18</v>
      </c>
      <c r="I389" s="52">
        <v>18</v>
      </c>
      <c r="J389" s="51">
        <v>3102.5200000000009</v>
      </c>
      <c r="K389" s="52">
        <v>1</v>
      </c>
      <c r="L389" s="51">
        <v>10</v>
      </c>
      <c r="M389" s="52">
        <v>28</v>
      </c>
      <c r="N389" s="49">
        <v>13079.72</v>
      </c>
      <c r="O389" s="75">
        <v>25</v>
      </c>
      <c r="P389" s="54">
        <v>692.2399999999999</v>
      </c>
      <c r="Q389" s="54">
        <v>139.99999999999997</v>
      </c>
      <c r="R389" s="53">
        <f t="shared" ref="R389:R453" si="20">G389*5%</f>
        <v>774.5</v>
      </c>
      <c r="S389" s="51">
        <v>3102.5200000000009</v>
      </c>
    </row>
    <row r="390" spans="1:19" ht="15" x14ac:dyDescent="0.25">
      <c r="A390" s="28"/>
      <c r="B390" s="45" t="str">
        <f t="shared" si="18"/>
        <v>Dec-2023</v>
      </c>
      <c r="C390" s="57">
        <v>45279</v>
      </c>
      <c r="D390" s="43">
        <f t="shared" si="19"/>
        <v>833</v>
      </c>
      <c r="E390" s="76">
        <v>7</v>
      </c>
      <c r="F390" s="50">
        <v>13</v>
      </c>
      <c r="G390" s="49">
        <v>14530</v>
      </c>
      <c r="H390" s="73">
        <v>13</v>
      </c>
      <c r="I390" s="52">
        <v>13</v>
      </c>
      <c r="J390" s="51">
        <v>818.91999999999985</v>
      </c>
      <c r="K390" s="52"/>
      <c r="L390" s="51"/>
      <c r="M390" s="52">
        <v>18</v>
      </c>
      <c r="N390" s="49">
        <v>14115.75</v>
      </c>
      <c r="O390" s="75">
        <v>17</v>
      </c>
      <c r="P390" s="54">
        <v>404.66999999999996</v>
      </c>
      <c r="Q390" s="54">
        <v>257.95000000000005</v>
      </c>
      <c r="R390" s="53">
        <f t="shared" si="20"/>
        <v>726.5</v>
      </c>
      <c r="S390" s="51">
        <v>818.91999999999985</v>
      </c>
    </row>
    <row r="391" spans="1:19" ht="15" x14ac:dyDescent="0.25">
      <c r="A391" s="28"/>
      <c r="B391" s="45" t="str">
        <f t="shared" si="18"/>
        <v>Dec-2023</v>
      </c>
      <c r="C391" s="57">
        <v>45280</v>
      </c>
      <c r="D391" s="43">
        <f t="shared" si="19"/>
        <v>832</v>
      </c>
      <c r="E391" s="76">
        <v>2</v>
      </c>
      <c r="F391" s="50">
        <v>17</v>
      </c>
      <c r="G391" s="49">
        <v>11450</v>
      </c>
      <c r="H391" s="73">
        <v>17</v>
      </c>
      <c r="I391" s="52">
        <v>17</v>
      </c>
      <c r="J391" s="51">
        <v>429.53</v>
      </c>
      <c r="K391" s="52"/>
      <c r="L391" s="51"/>
      <c r="M391" s="52">
        <v>19</v>
      </c>
      <c r="N391" s="49">
        <v>11285.48</v>
      </c>
      <c r="O391" s="75">
        <v>19</v>
      </c>
      <c r="P391" s="54">
        <v>265.01000000000005</v>
      </c>
      <c r="Q391" s="54">
        <v>190.41000000000003</v>
      </c>
      <c r="R391" s="53">
        <f t="shared" si="20"/>
        <v>572.5</v>
      </c>
      <c r="S391" s="51">
        <v>429.53</v>
      </c>
    </row>
    <row r="392" spans="1:19" ht="15" x14ac:dyDescent="0.25">
      <c r="A392" s="28"/>
      <c r="B392" s="45" t="str">
        <f t="shared" si="18"/>
        <v>Dec-2023</v>
      </c>
      <c r="C392" s="57">
        <v>45281</v>
      </c>
      <c r="D392" s="43">
        <f t="shared" si="19"/>
        <v>831</v>
      </c>
      <c r="E392" s="76">
        <v>15</v>
      </c>
      <c r="F392" s="50">
        <v>16</v>
      </c>
      <c r="G392" s="49">
        <v>14700</v>
      </c>
      <c r="H392" s="73">
        <v>16</v>
      </c>
      <c r="I392" s="52">
        <v>16</v>
      </c>
      <c r="J392" s="51">
        <v>133.92000000000002</v>
      </c>
      <c r="K392" s="52"/>
      <c r="L392" s="51"/>
      <c r="M392" s="52">
        <v>22</v>
      </c>
      <c r="N392" s="49">
        <v>14737.9</v>
      </c>
      <c r="O392" s="75">
        <v>20</v>
      </c>
      <c r="P392" s="54">
        <v>171.82</v>
      </c>
      <c r="Q392" s="54">
        <v>149.44000000000003</v>
      </c>
      <c r="R392" s="53">
        <f t="shared" si="20"/>
        <v>735</v>
      </c>
      <c r="S392" s="51">
        <v>133.92000000000002</v>
      </c>
    </row>
    <row r="393" spans="1:19" ht="15" x14ac:dyDescent="0.25">
      <c r="A393" s="28"/>
      <c r="B393" s="45" t="str">
        <f t="shared" si="18"/>
        <v>Dec-2023</v>
      </c>
      <c r="C393" s="57">
        <v>45282</v>
      </c>
      <c r="D393" s="43">
        <f t="shared" si="19"/>
        <v>830</v>
      </c>
      <c r="E393" s="76">
        <v>2</v>
      </c>
      <c r="F393" s="50">
        <v>12</v>
      </c>
      <c r="G393" s="49">
        <v>8899</v>
      </c>
      <c r="H393" s="73">
        <v>12</v>
      </c>
      <c r="I393" s="52">
        <v>12</v>
      </c>
      <c r="J393" s="51">
        <v>1301.27</v>
      </c>
      <c r="K393" s="52"/>
      <c r="L393" s="51"/>
      <c r="M393" s="52">
        <v>19</v>
      </c>
      <c r="N393" s="49">
        <v>7895.43</v>
      </c>
      <c r="O393" s="75">
        <v>17</v>
      </c>
      <c r="P393" s="54">
        <v>297.7</v>
      </c>
      <c r="Q393" s="54">
        <v>64.72</v>
      </c>
      <c r="R393" s="53">
        <f t="shared" si="20"/>
        <v>444.95000000000005</v>
      </c>
      <c r="S393" s="51">
        <v>1301.27</v>
      </c>
    </row>
    <row r="394" spans="1:19" ht="15" x14ac:dyDescent="0.25">
      <c r="A394" s="28"/>
      <c r="B394" s="45" t="str">
        <f t="shared" si="18"/>
        <v>Dec-2023</v>
      </c>
      <c r="C394" s="57">
        <v>45283</v>
      </c>
      <c r="D394" s="43">
        <f t="shared" si="19"/>
        <v>829</v>
      </c>
      <c r="E394" s="76">
        <v>6</v>
      </c>
      <c r="F394" s="50">
        <v>11</v>
      </c>
      <c r="G394" s="49">
        <v>12740</v>
      </c>
      <c r="H394" s="73">
        <v>11</v>
      </c>
      <c r="I394" s="52">
        <v>11</v>
      </c>
      <c r="J394" s="51">
        <v>1058.3400000000001</v>
      </c>
      <c r="K394" s="52"/>
      <c r="L394" s="51"/>
      <c r="M394" s="52">
        <v>15</v>
      </c>
      <c r="N394" s="49">
        <v>11975.02</v>
      </c>
      <c r="O394" s="75">
        <v>15</v>
      </c>
      <c r="P394" s="54">
        <v>293.36</v>
      </c>
      <c r="Q394" s="54">
        <v>106.02999999999999</v>
      </c>
      <c r="R394" s="53">
        <f t="shared" si="20"/>
        <v>637</v>
      </c>
      <c r="S394" s="51">
        <v>1058.3400000000001</v>
      </c>
    </row>
    <row r="395" spans="1:19" ht="15" x14ac:dyDescent="0.25">
      <c r="A395" s="28"/>
      <c r="B395" s="45" t="str">
        <f t="shared" si="18"/>
        <v>Dec-2023</v>
      </c>
      <c r="C395" s="57">
        <v>45284</v>
      </c>
      <c r="D395" s="43">
        <f t="shared" si="19"/>
        <v>828</v>
      </c>
      <c r="E395" s="76">
        <v>4</v>
      </c>
      <c r="F395" s="50">
        <v>7</v>
      </c>
      <c r="G395" s="49">
        <v>8400</v>
      </c>
      <c r="H395" s="73">
        <v>7</v>
      </c>
      <c r="I395" s="52">
        <v>7</v>
      </c>
      <c r="J395" s="51">
        <v>0</v>
      </c>
      <c r="K395" s="52"/>
      <c r="L395" s="51"/>
      <c r="M395" s="52">
        <v>9</v>
      </c>
      <c r="N395" s="49">
        <v>8467.3799999999992</v>
      </c>
      <c r="O395" s="75">
        <v>9</v>
      </c>
      <c r="P395" s="54">
        <v>67.38</v>
      </c>
      <c r="Q395" s="54">
        <v>67.38</v>
      </c>
      <c r="R395" s="53">
        <f t="shared" si="20"/>
        <v>420</v>
      </c>
      <c r="S395" s="51"/>
    </row>
    <row r="396" spans="1:19" ht="15" x14ac:dyDescent="0.25">
      <c r="A396" s="28"/>
      <c r="B396" s="45" t="str">
        <f t="shared" si="18"/>
        <v>Dec-2023</v>
      </c>
      <c r="C396" s="57">
        <v>45285</v>
      </c>
      <c r="D396" s="43">
        <f t="shared" si="19"/>
        <v>827</v>
      </c>
      <c r="E396" s="76">
        <v>6</v>
      </c>
      <c r="F396" s="50">
        <v>7</v>
      </c>
      <c r="G396" s="49">
        <v>7460</v>
      </c>
      <c r="H396" s="73">
        <v>7</v>
      </c>
      <c r="I396" s="52">
        <v>7</v>
      </c>
      <c r="J396" s="51">
        <v>44.12</v>
      </c>
      <c r="K396" s="52"/>
      <c r="L396" s="51"/>
      <c r="M396" s="52">
        <v>11</v>
      </c>
      <c r="N396" s="49">
        <v>7490.7</v>
      </c>
      <c r="O396" s="75">
        <v>11</v>
      </c>
      <c r="P396" s="54">
        <v>74.820000000000007</v>
      </c>
      <c r="Q396" s="54">
        <v>67.36</v>
      </c>
      <c r="R396" s="53">
        <f t="shared" si="20"/>
        <v>373</v>
      </c>
      <c r="S396" s="51">
        <v>44.12</v>
      </c>
    </row>
    <row r="397" spans="1:19" ht="15" x14ac:dyDescent="0.25">
      <c r="A397" s="28"/>
      <c r="B397" s="45" t="str">
        <f t="shared" si="18"/>
        <v>Dec-2023</v>
      </c>
      <c r="C397" s="57">
        <v>45286</v>
      </c>
      <c r="D397" s="43">
        <f t="shared" si="19"/>
        <v>826</v>
      </c>
      <c r="E397" s="76">
        <v>4</v>
      </c>
      <c r="F397" s="50">
        <v>9</v>
      </c>
      <c r="G397" s="49">
        <v>7260</v>
      </c>
      <c r="H397" s="73">
        <v>9</v>
      </c>
      <c r="I397" s="52">
        <v>9</v>
      </c>
      <c r="J397" s="51">
        <v>219.95000000000002</v>
      </c>
      <c r="K397" s="52"/>
      <c r="L397" s="51"/>
      <c r="M397" s="52">
        <v>10</v>
      </c>
      <c r="N397" s="49">
        <v>7172.22</v>
      </c>
      <c r="O397" s="75">
        <v>10</v>
      </c>
      <c r="P397" s="54">
        <v>132.17000000000002</v>
      </c>
      <c r="Q397" s="54">
        <v>94.87</v>
      </c>
      <c r="R397" s="53">
        <f t="shared" si="20"/>
        <v>363</v>
      </c>
      <c r="S397" s="51">
        <v>219.95000000000002</v>
      </c>
    </row>
    <row r="398" spans="1:19" ht="15" x14ac:dyDescent="0.25">
      <c r="A398" s="28"/>
      <c r="B398" s="45" t="str">
        <f t="shared" si="18"/>
        <v>Dec-2023</v>
      </c>
      <c r="C398" s="57">
        <v>45287</v>
      </c>
      <c r="D398" s="43">
        <f t="shared" si="19"/>
        <v>825</v>
      </c>
      <c r="E398" s="76">
        <v>5</v>
      </c>
      <c r="F398" s="50">
        <v>9</v>
      </c>
      <c r="G398" s="49">
        <v>8760</v>
      </c>
      <c r="H398" s="73">
        <v>9</v>
      </c>
      <c r="I398" s="52">
        <v>9</v>
      </c>
      <c r="J398" s="51">
        <v>87.72</v>
      </c>
      <c r="K398" s="52"/>
      <c r="L398" s="51"/>
      <c r="M398" s="52">
        <v>10</v>
      </c>
      <c r="N398" s="49">
        <v>8757.39</v>
      </c>
      <c r="O398" s="75">
        <v>10</v>
      </c>
      <c r="P398" s="54">
        <v>85.11</v>
      </c>
      <c r="Q398" s="54">
        <v>70.19</v>
      </c>
      <c r="R398" s="53">
        <f t="shared" si="20"/>
        <v>438</v>
      </c>
      <c r="S398" s="51">
        <v>87.72</v>
      </c>
    </row>
    <row r="399" spans="1:19" ht="15" x14ac:dyDescent="0.25">
      <c r="A399" s="28"/>
      <c r="B399" s="45" t="str">
        <f t="shared" si="18"/>
        <v>Dec-2023</v>
      </c>
      <c r="C399" s="57">
        <v>45288</v>
      </c>
      <c r="D399" s="43">
        <f t="shared" si="19"/>
        <v>824</v>
      </c>
      <c r="E399" s="76">
        <v>7</v>
      </c>
      <c r="F399" s="50">
        <v>10</v>
      </c>
      <c r="G399" s="49">
        <v>8250</v>
      </c>
      <c r="H399" s="73">
        <v>10</v>
      </c>
      <c r="I399" s="52">
        <v>10</v>
      </c>
      <c r="J399" s="51">
        <v>1511.95</v>
      </c>
      <c r="K399" s="52">
        <v>1</v>
      </c>
      <c r="L399" s="51">
        <v>800.18</v>
      </c>
      <c r="M399" s="52">
        <v>11</v>
      </c>
      <c r="N399" s="49">
        <v>7148.83</v>
      </c>
      <c r="O399" s="75">
        <v>11</v>
      </c>
      <c r="P399" s="54">
        <v>410.78000000000003</v>
      </c>
      <c r="Q399" s="54">
        <v>178.20000000000002</v>
      </c>
      <c r="R399" s="53">
        <f t="shared" si="20"/>
        <v>412.5</v>
      </c>
      <c r="S399" s="51">
        <v>1511.95</v>
      </c>
    </row>
    <row r="400" spans="1:19" ht="15" x14ac:dyDescent="0.25">
      <c r="A400" s="28"/>
      <c r="B400" s="45" t="str">
        <f t="shared" si="18"/>
        <v>Dec-2023</v>
      </c>
      <c r="C400" s="57">
        <v>45289</v>
      </c>
      <c r="D400" s="43">
        <f t="shared" si="19"/>
        <v>823</v>
      </c>
      <c r="E400" s="76">
        <v>5</v>
      </c>
      <c r="F400" s="50">
        <v>15</v>
      </c>
      <c r="G400" s="49">
        <v>11050</v>
      </c>
      <c r="H400" s="73">
        <v>15</v>
      </c>
      <c r="I400" s="52">
        <v>15</v>
      </c>
      <c r="J400" s="51">
        <v>1024.07</v>
      </c>
      <c r="K400" s="52"/>
      <c r="L400" s="51"/>
      <c r="M400" s="52">
        <v>20</v>
      </c>
      <c r="N400" s="49">
        <v>10373.450000000001</v>
      </c>
      <c r="O400" s="75">
        <v>19</v>
      </c>
      <c r="P400" s="54">
        <v>347.52000000000015</v>
      </c>
      <c r="Q400" s="54">
        <v>168.01000000000002</v>
      </c>
      <c r="R400" s="53">
        <f t="shared" si="20"/>
        <v>552.5</v>
      </c>
      <c r="S400" s="51">
        <v>1024.07</v>
      </c>
    </row>
    <row r="401" spans="1:19" ht="15" x14ac:dyDescent="0.25">
      <c r="A401" s="28"/>
      <c r="B401" s="45" t="str">
        <f t="shared" si="18"/>
        <v>Dec-2023</v>
      </c>
      <c r="C401" s="57">
        <v>45290</v>
      </c>
      <c r="D401" s="43">
        <f t="shared" si="19"/>
        <v>822</v>
      </c>
      <c r="E401" s="76">
        <v>7</v>
      </c>
      <c r="F401" s="50">
        <v>5</v>
      </c>
      <c r="G401" s="49">
        <v>4200</v>
      </c>
      <c r="H401" s="73">
        <v>5</v>
      </c>
      <c r="I401" s="52">
        <v>5</v>
      </c>
      <c r="J401" s="51">
        <v>86.94</v>
      </c>
      <c r="K401" s="52"/>
      <c r="L401" s="51"/>
      <c r="M401" s="52">
        <v>5</v>
      </c>
      <c r="N401" s="49">
        <v>4179.9399999999996</v>
      </c>
      <c r="O401" s="75">
        <v>5</v>
      </c>
      <c r="P401" s="54">
        <v>66.88</v>
      </c>
      <c r="Q401" s="54">
        <v>51.959999999999994</v>
      </c>
      <c r="R401" s="53">
        <f t="shared" si="20"/>
        <v>210</v>
      </c>
      <c r="S401" s="51">
        <v>86.94</v>
      </c>
    </row>
    <row r="402" spans="1:19" ht="15" x14ac:dyDescent="0.25">
      <c r="A402" s="28"/>
      <c r="B402" s="45" t="str">
        <f t="shared" si="18"/>
        <v>Dec-2023</v>
      </c>
      <c r="C402" s="57">
        <v>45291</v>
      </c>
      <c r="D402" s="43">
        <f t="shared" si="19"/>
        <v>821</v>
      </c>
      <c r="E402" s="76">
        <v>3</v>
      </c>
      <c r="F402" s="50">
        <v>15</v>
      </c>
      <c r="G402" s="49">
        <v>14214</v>
      </c>
      <c r="H402" s="73">
        <v>15</v>
      </c>
      <c r="I402" s="52">
        <v>15</v>
      </c>
      <c r="J402" s="51">
        <v>303.38</v>
      </c>
      <c r="K402" s="52"/>
      <c r="L402" s="51"/>
      <c r="M402" s="52">
        <v>17</v>
      </c>
      <c r="N402" s="49">
        <v>14222.84</v>
      </c>
      <c r="O402" s="75">
        <v>17</v>
      </c>
      <c r="P402" s="54">
        <v>312.21999999999991</v>
      </c>
      <c r="Q402" s="54">
        <v>259.99999999999994</v>
      </c>
      <c r="R402" s="53">
        <f t="shared" si="20"/>
        <v>710.7</v>
      </c>
      <c r="S402" s="51">
        <v>303.38</v>
      </c>
    </row>
    <row r="403" spans="1:19" s="97" customFormat="1" ht="15" x14ac:dyDescent="0.25">
      <c r="A403" s="84"/>
      <c r="B403" s="85"/>
      <c r="C403" s="86"/>
      <c r="D403" s="87"/>
      <c r="E403" s="88"/>
      <c r="F403" s="89"/>
      <c r="G403" s="83">
        <f>SUM(G372:G402)</f>
        <v>446632</v>
      </c>
      <c r="H403" s="90"/>
      <c r="I403" s="92"/>
      <c r="J403" s="93"/>
      <c r="K403" s="92"/>
      <c r="L403" s="93"/>
      <c r="M403" s="92"/>
      <c r="N403" s="83"/>
      <c r="O403" s="94"/>
      <c r="P403" s="98"/>
      <c r="Q403" s="98"/>
      <c r="R403" s="96"/>
      <c r="S403" s="93"/>
    </row>
    <row r="404" spans="1:19" ht="15" x14ac:dyDescent="0.25">
      <c r="A404" s="28"/>
      <c r="B404" s="45" t="str">
        <f t="shared" si="18"/>
        <v>Jan-2024</v>
      </c>
      <c r="C404" s="57">
        <v>45292</v>
      </c>
      <c r="D404" s="43">
        <f t="shared" si="19"/>
        <v>820</v>
      </c>
      <c r="E404" s="76">
        <v>1</v>
      </c>
      <c r="F404" s="50">
        <v>10</v>
      </c>
      <c r="G404" s="49">
        <v>6600</v>
      </c>
      <c r="H404" s="73">
        <v>10</v>
      </c>
      <c r="I404" s="52">
        <v>10</v>
      </c>
      <c r="J404" s="51">
        <v>4620.4400000000005</v>
      </c>
      <c r="K404" s="52"/>
      <c r="L404" s="51"/>
      <c r="M404" s="52">
        <v>3</v>
      </c>
      <c r="N404" s="49">
        <v>2821</v>
      </c>
      <c r="O404" s="75">
        <v>3</v>
      </c>
      <c r="P404" s="54">
        <v>841.44</v>
      </c>
      <c r="Q404" s="54">
        <v>21</v>
      </c>
      <c r="R404" s="53">
        <f t="shared" si="20"/>
        <v>330</v>
      </c>
      <c r="S404" s="51">
        <v>4620.4400000000005</v>
      </c>
    </row>
    <row r="405" spans="1:19" ht="15" x14ac:dyDescent="0.25">
      <c r="A405" s="28"/>
      <c r="B405" s="45" t="str">
        <f t="shared" si="18"/>
        <v>Jan-2024</v>
      </c>
      <c r="C405" s="57">
        <v>45293</v>
      </c>
      <c r="D405" s="43">
        <f t="shared" si="19"/>
        <v>819</v>
      </c>
      <c r="E405" s="76">
        <v>4</v>
      </c>
      <c r="F405" s="50">
        <v>9</v>
      </c>
      <c r="G405" s="49">
        <v>8400</v>
      </c>
      <c r="H405" s="73">
        <v>9</v>
      </c>
      <c r="I405" s="52">
        <v>9</v>
      </c>
      <c r="J405" s="51">
        <v>1215.2</v>
      </c>
      <c r="K405" s="52"/>
      <c r="L405" s="51"/>
      <c r="M405" s="52">
        <v>7</v>
      </c>
      <c r="N405" s="49">
        <v>7452.7</v>
      </c>
      <c r="O405" s="75">
        <v>7</v>
      </c>
      <c r="P405" s="54">
        <v>267.89999999999998</v>
      </c>
      <c r="Q405" s="54">
        <v>52.7</v>
      </c>
      <c r="R405" s="53">
        <f t="shared" si="20"/>
        <v>420</v>
      </c>
      <c r="S405" s="51">
        <v>1215.2</v>
      </c>
    </row>
    <row r="406" spans="1:19" ht="15" x14ac:dyDescent="0.25">
      <c r="A406" s="28"/>
      <c r="B406" s="45" t="str">
        <f t="shared" si="18"/>
        <v>Jan-2024</v>
      </c>
      <c r="C406" s="57">
        <v>45294</v>
      </c>
      <c r="D406" s="43">
        <f t="shared" si="19"/>
        <v>818</v>
      </c>
      <c r="E406" s="76">
        <v>5</v>
      </c>
      <c r="F406" s="50">
        <v>15</v>
      </c>
      <c r="G406" s="49">
        <v>11540</v>
      </c>
      <c r="H406" s="73">
        <v>15</v>
      </c>
      <c r="I406" s="52">
        <v>15</v>
      </c>
      <c r="J406" s="51">
        <v>4252.2900000000009</v>
      </c>
      <c r="K406" s="52"/>
      <c r="L406" s="51"/>
      <c r="M406" s="52">
        <v>10</v>
      </c>
      <c r="N406" s="49">
        <v>8078.73</v>
      </c>
      <c r="O406" s="75">
        <v>9</v>
      </c>
      <c r="P406" s="54">
        <v>791.0200000000001</v>
      </c>
      <c r="Q406" s="54">
        <v>38.729999999999997</v>
      </c>
      <c r="R406" s="53">
        <f t="shared" si="20"/>
        <v>577</v>
      </c>
      <c r="S406" s="51">
        <v>4252.2900000000009</v>
      </c>
    </row>
    <row r="407" spans="1:19" ht="15" x14ac:dyDescent="0.25">
      <c r="A407" s="28"/>
      <c r="B407" s="45" t="str">
        <f t="shared" si="18"/>
        <v>Jan-2024</v>
      </c>
      <c r="C407" s="57">
        <v>45295</v>
      </c>
      <c r="D407" s="43">
        <f t="shared" si="19"/>
        <v>817</v>
      </c>
      <c r="E407" s="76">
        <v>3</v>
      </c>
      <c r="F407" s="50">
        <v>11</v>
      </c>
      <c r="G407" s="49">
        <v>7600</v>
      </c>
      <c r="H407" s="73">
        <v>11</v>
      </c>
      <c r="I407" s="52">
        <v>11</v>
      </c>
      <c r="J407" s="51">
        <v>2429.36</v>
      </c>
      <c r="K407" s="52"/>
      <c r="L407" s="51"/>
      <c r="M407" s="52">
        <v>7</v>
      </c>
      <c r="N407" s="49">
        <v>5638.18</v>
      </c>
      <c r="O407" s="75">
        <v>7</v>
      </c>
      <c r="P407" s="54">
        <v>467.54000000000008</v>
      </c>
      <c r="Q407" s="54">
        <v>38.18</v>
      </c>
      <c r="R407" s="53">
        <f t="shared" si="20"/>
        <v>380</v>
      </c>
      <c r="S407" s="51">
        <v>2429.36</v>
      </c>
    </row>
    <row r="408" spans="1:19" ht="15" x14ac:dyDescent="0.25">
      <c r="A408" s="28"/>
      <c r="B408" s="45" t="str">
        <f t="shared" si="18"/>
        <v>Jan-2024</v>
      </c>
      <c r="C408" s="57">
        <v>45296</v>
      </c>
      <c r="D408" s="43">
        <f t="shared" si="19"/>
        <v>816</v>
      </c>
      <c r="E408" s="76">
        <v>2</v>
      </c>
      <c r="F408" s="50">
        <v>17</v>
      </c>
      <c r="G408" s="49">
        <v>18000</v>
      </c>
      <c r="H408" s="73">
        <v>17</v>
      </c>
      <c r="I408" s="52">
        <v>17</v>
      </c>
      <c r="J408" s="51">
        <v>3743.8900000000003</v>
      </c>
      <c r="K408" s="52">
        <v>1</v>
      </c>
      <c r="L408" s="51">
        <v>500.11</v>
      </c>
      <c r="M408" s="52">
        <v>17</v>
      </c>
      <c r="N408" s="49">
        <v>14984.83</v>
      </c>
      <c r="O408" s="75">
        <v>16</v>
      </c>
      <c r="P408" s="54">
        <v>728.72</v>
      </c>
      <c r="Q408" s="54">
        <v>70.760000000000005</v>
      </c>
      <c r="R408" s="53">
        <f t="shared" si="20"/>
        <v>900</v>
      </c>
      <c r="S408" s="51">
        <v>3743.8900000000003</v>
      </c>
    </row>
    <row r="409" spans="1:19" ht="15" x14ac:dyDescent="0.25">
      <c r="A409" s="28"/>
      <c r="B409" s="45" t="str">
        <f t="shared" si="18"/>
        <v>Jan-2024</v>
      </c>
      <c r="C409" s="57">
        <v>45297</v>
      </c>
      <c r="D409" s="43">
        <f t="shared" si="19"/>
        <v>815</v>
      </c>
      <c r="E409" s="76">
        <v>4</v>
      </c>
      <c r="F409" s="50">
        <v>16</v>
      </c>
      <c r="G409" s="49">
        <v>18160</v>
      </c>
      <c r="H409" s="73">
        <v>16</v>
      </c>
      <c r="I409" s="52">
        <v>16</v>
      </c>
      <c r="J409" s="51">
        <v>5338.9400000000005</v>
      </c>
      <c r="K409" s="52"/>
      <c r="L409" s="51"/>
      <c r="M409" s="52">
        <v>11</v>
      </c>
      <c r="N409" s="49">
        <v>13896.84</v>
      </c>
      <c r="O409" s="75">
        <v>11</v>
      </c>
      <c r="P409" s="54">
        <v>1075.78</v>
      </c>
      <c r="Q409" s="54">
        <v>136.83999999999997</v>
      </c>
      <c r="R409" s="53">
        <f t="shared" si="20"/>
        <v>908</v>
      </c>
      <c r="S409" s="51">
        <v>5338.94</v>
      </c>
    </row>
    <row r="410" spans="1:19" ht="15" x14ac:dyDescent="0.25">
      <c r="A410" s="28"/>
      <c r="B410" s="45" t="str">
        <f t="shared" si="18"/>
        <v>Jan-2024</v>
      </c>
      <c r="C410" s="57">
        <v>45298</v>
      </c>
      <c r="D410" s="43">
        <f t="shared" si="19"/>
        <v>814</v>
      </c>
      <c r="E410" s="76">
        <v>5</v>
      </c>
      <c r="F410" s="50">
        <v>15</v>
      </c>
      <c r="G410" s="49">
        <v>13480</v>
      </c>
      <c r="H410" s="73">
        <v>15</v>
      </c>
      <c r="I410" s="52">
        <v>15</v>
      </c>
      <c r="J410" s="51">
        <v>1213.9000000000001</v>
      </c>
      <c r="K410" s="52"/>
      <c r="L410" s="51"/>
      <c r="M410" s="52">
        <v>15</v>
      </c>
      <c r="N410" s="49">
        <v>12585.86</v>
      </c>
      <c r="O410" s="75">
        <v>15</v>
      </c>
      <c r="P410" s="54">
        <v>319.76</v>
      </c>
      <c r="Q410" s="54">
        <v>105.86</v>
      </c>
      <c r="R410" s="53">
        <f t="shared" si="20"/>
        <v>674</v>
      </c>
      <c r="S410" s="51">
        <v>1213.9000000000001</v>
      </c>
    </row>
    <row r="411" spans="1:19" ht="15" x14ac:dyDescent="0.25">
      <c r="A411" s="28"/>
      <c r="B411" s="45" t="str">
        <f t="shared" si="18"/>
        <v>Jan-2024</v>
      </c>
      <c r="C411" s="57">
        <v>45299</v>
      </c>
      <c r="D411" s="43">
        <f t="shared" si="19"/>
        <v>813</v>
      </c>
      <c r="E411" s="76">
        <v>5</v>
      </c>
      <c r="F411" s="50">
        <v>18</v>
      </c>
      <c r="G411" s="49">
        <v>14250</v>
      </c>
      <c r="H411" s="73">
        <v>18</v>
      </c>
      <c r="I411" s="52">
        <v>18</v>
      </c>
      <c r="J411" s="51">
        <v>4244.7400000000007</v>
      </c>
      <c r="K411" s="52"/>
      <c r="L411" s="51"/>
      <c r="M411" s="52">
        <v>22</v>
      </c>
      <c r="N411" s="49">
        <v>10901.46</v>
      </c>
      <c r="O411" s="75">
        <v>21</v>
      </c>
      <c r="P411" s="54">
        <v>896.1999999999997</v>
      </c>
      <c r="Q411" s="54">
        <v>151.46</v>
      </c>
      <c r="R411" s="53">
        <f t="shared" si="20"/>
        <v>712.5</v>
      </c>
      <c r="S411" s="51">
        <v>4244.7400000000007</v>
      </c>
    </row>
    <row r="412" spans="1:19" ht="15" x14ac:dyDescent="0.25">
      <c r="A412" s="28"/>
      <c r="B412" s="45" t="str">
        <f t="shared" si="18"/>
        <v>Jan-2024</v>
      </c>
      <c r="C412" s="57">
        <v>45300</v>
      </c>
      <c r="D412" s="43">
        <f t="shared" si="19"/>
        <v>812</v>
      </c>
      <c r="E412" s="76">
        <v>6</v>
      </c>
      <c r="F412" s="50">
        <v>11</v>
      </c>
      <c r="G412" s="49">
        <v>8100</v>
      </c>
      <c r="H412" s="73">
        <v>11</v>
      </c>
      <c r="I412" s="52">
        <v>11</v>
      </c>
      <c r="J412" s="51">
        <v>3461.86</v>
      </c>
      <c r="K412" s="52"/>
      <c r="L412" s="51"/>
      <c r="M412" s="52">
        <v>8</v>
      </c>
      <c r="N412" s="49">
        <v>5290.34</v>
      </c>
      <c r="O412" s="75">
        <v>8</v>
      </c>
      <c r="P412" s="54">
        <v>652.19999999999993</v>
      </c>
      <c r="Q412" s="54">
        <v>45.489999999999995</v>
      </c>
      <c r="R412" s="53">
        <f t="shared" si="20"/>
        <v>405</v>
      </c>
      <c r="S412" s="51">
        <v>3461.86</v>
      </c>
    </row>
    <row r="413" spans="1:19" ht="15" x14ac:dyDescent="0.25">
      <c r="A413" s="28"/>
      <c r="B413" s="45" t="str">
        <f t="shared" si="18"/>
        <v>Jan-2024</v>
      </c>
      <c r="C413" s="57">
        <v>45301</v>
      </c>
      <c r="D413" s="43">
        <f t="shared" si="19"/>
        <v>811</v>
      </c>
      <c r="E413" s="76">
        <v>17</v>
      </c>
      <c r="F413" s="50">
        <v>29</v>
      </c>
      <c r="G413" s="49">
        <v>19600</v>
      </c>
      <c r="H413" s="73">
        <v>29</v>
      </c>
      <c r="I413" s="52">
        <v>29</v>
      </c>
      <c r="J413" s="51">
        <v>11535.289999999994</v>
      </c>
      <c r="K413" s="52">
        <v>2</v>
      </c>
      <c r="L413" s="51">
        <v>1002.3299999999999</v>
      </c>
      <c r="M413" s="52">
        <v>14</v>
      </c>
      <c r="N413" s="49">
        <v>10155.99</v>
      </c>
      <c r="O413" s="75">
        <v>13</v>
      </c>
      <c r="P413" s="54">
        <v>2091.2799999999988</v>
      </c>
      <c r="Q413" s="54">
        <v>66.639999999999986</v>
      </c>
      <c r="R413" s="53">
        <f t="shared" si="20"/>
        <v>980</v>
      </c>
      <c r="S413" s="51">
        <v>11535.289999999994</v>
      </c>
    </row>
    <row r="414" spans="1:19" ht="15" x14ac:dyDescent="0.25">
      <c r="A414" s="28"/>
      <c r="B414" s="45" t="str">
        <f t="shared" si="18"/>
        <v>Jan-2024</v>
      </c>
      <c r="C414" s="57">
        <v>45302</v>
      </c>
      <c r="D414" s="43">
        <f t="shared" si="19"/>
        <v>810</v>
      </c>
      <c r="E414" s="76">
        <v>10</v>
      </c>
      <c r="F414" s="50">
        <v>18</v>
      </c>
      <c r="G414" s="49">
        <v>13200</v>
      </c>
      <c r="H414" s="73">
        <v>18</v>
      </c>
      <c r="I414" s="52">
        <v>18</v>
      </c>
      <c r="J414" s="51">
        <v>7036.2600000000011</v>
      </c>
      <c r="K414" s="52"/>
      <c r="L414" s="51"/>
      <c r="M414" s="52">
        <v>11</v>
      </c>
      <c r="N414" s="49">
        <v>7425.59</v>
      </c>
      <c r="O414" s="75">
        <v>8</v>
      </c>
      <c r="P414" s="54">
        <v>1261.8499999999999</v>
      </c>
      <c r="Q414" s="54">
        <v>25.589999999999996</v>
      </c>
      <c r="R414" s="53">
        <f t="shared" si="20"/>
        <v>660</v>
      </c>
      <c r="S414" s="51">
        <v>7036.26</v>
      </c>
    </row>
    <row r="415" spans="1:19" ht="15" x14ac:dyDescent="0.25">
      <c r="A415" s="28"/>
      <c r="B415" s="45" t="str">
        <f t="shared" si="18"/>
        <v>Jan-2024</v>
      </c>
      <c r="C415" s="57">
        <v>45303</v>
      </c>
      <c r="D415" s="43">
        <f t="shared" si="19"/>
        <v>809</v>
      </c>
      <c r="E415" s="76">
        <v>12</v>
      </c>
      <c r="F415" s="50">
        <v>13</v>
      </c>
      <c r="G415" s="49">
        <v>8000</v>
      </c>
      <c r="H415" s="73">
        <v>13</v>
      </c>
      <c r="I415" s="52">
        <v>13</v>
      </c>
      <c r="J415" s="51">
        <v>4850.4000000000005</v>
      </c>
      <c r="K415" s="52">
        <v>1</v>
      </c>
      <c r="L415" s="51">
        <v>500.11</v>
      </c>
      <c r="M415" s="52">
        <v>5</v>
      </c>
      <c r="N415" s="49">
        <v>4012.24</v>
      </c>
      <c r="O415" s="75">
        <v>5</v>
      </c>
      <c r="P415" s="54">
        <v>862.64</v>
      </c>
      <c r="Q415" s="54">
        <v>12.24</v>
      </c>
      <c r="R415" s="53">
        <f t="shared" si="20"/>
        <v>400</v>
      </c>
      <c r="S415" s="51">
        <v>4850.4000000000005</v>
      </c>
    </row>
    <row r="416" spans="1:19" ht="15" x14ac:dyDescent="0.25">
      <c r="A416" s="28"/>
      <c r="B416" s="45" t="str">
        <f t="shared" si="18"/>
        <v>Jan-2024</v>
      </c>
      <c r="C416" s="57">
        <v>45304</v>
      </c>
      <c r="D416" s="43">
        <f t="shared" si="19"/>
        <v>808</v>
      </c>
      <c r="E416" s="76">
        <v>6</v>
      </c>
      <c r="F416" s="50">
        <v>10</v>
      </c>
      <c r="G416" s="49">
        <v>7800</v>
      </c>
      <c r="H416" s="73">
        <v>10</v>
      </c>
      <c r="I416" s="52">
        <v>10</v>
      </c>
      <c r="J416" s="51">
        <v>4141.0600000000004</v>
      </c>
      <c r="K416" s="52">
        <v>2</v>
      </c>
      <c r="L416" s="51">
        <v>2100.44</v>
      </c>
      <c r="M416" s="52">
        <v>10</v>
      </c>
      <c r="N416" s="49">
        <v>4407.41</v>
      </c>
      <c r="O416" s="75">
        <v>9</v>
      </c>
      <c r="P416" s="54">
        <v>748.47000000000014</v>
      </c>
      <c r="Q416" s="54">
        <v>38.200000000000003</v>
      </c>
      <c r="R416" s="53">
        <f t="shared" si="20"/>
        <v>390</v>
      </c>
      <c r="S416" s="51">
        <v>4141.0600000000004</v>
      </c>
    </row>
    <row r="417" spans="1:19" ht="15" x14ac:dyDescent="0.25">
      <c r="A417" s="28"/>
      <c r="B417" s="45" t="str">
        <f t="shared" si="18"/>
        <v>Jan-2024</v>
      </c>
      <c r="C417" s="57">
        <v>45305</v>
      </c>
      <c r="D417" s="43">
        <f t="shared" si="19"/>
        <v>807</v>
      </c>
      <c r="E417" s="76">
        <v>12</v>
      </c>
      <c r="F417" s="50">
        <v>15</v>
      </c>
      <c r="G417" s="49">
        <v>11100</v>
      </c>
      <c r="H417" s="73">
        <v>15</v>
      </c>
      <c r="I417" s="52">
        <v>15</v>
      </c>
      <c r="J417" s="51">
        <v>4848.32</v>
      </c>
      <c r="K417" s="52"/>
      <c r="L417" s="51"/>
      <c r="M417" s="52">
        <v>8</v>
      </c>
      <c r="N417" s="49">
        <v>7136.46</v>
      </c>
      <c r="O417" s="75">
        <v>8</v>
      </c>
      <c r="P417" s="54">
        <v>884.77999999999986</v>
      </c>
      <c r="Q417" s="54">
        <v>36.459999999999994</v>
      </c>
      <c r="R417" s="53">
        <f t="shared" si="20"/>
        <v>555</v>
      </c>
      <c r="S417" s="51">
        <v>4848.32</v>
      </c>
    </row>
    <row r="418" spans="1:19" ht="15" x14ac:dyDescent="0.25">
      <c r="A418" s="28"/>
      <c r="B418" s="45" t="str">
        <f t="shared" si="18"/>
        <v>Jan-2024</v>
      </c>
      <c r="C418" s="57">
        <v>45306</v>
      </c>
      <c r="D418" s="43">
        <f t="shared" si="19"/>
        <v>806</v>
      </c>
      <c r="E418" s="76">
        <v>9</v>
      </c>
      <c r="F418" s="50">
        <v>17</v>
      </c>
      <c r="G418" s="49">
        <v>11800</v>
      </c>
      <c r="H418" s="73">
        <v>17</v>
      </c>
      <c r="I418" s="52">
        <v>17</v>
      </c>
      <c r="J418" s="51">
        <v>6665.0099999999993</v>
      </c>
      <c r="K418" s="52"/>
      <c r="L418" s="51"/>
      <c r="M418" s="52">
        <v>18</v>
      </c>
      <c r="N418" s="49">
        <v>6328.74</v>
      </c>
      <c r="O418" s="75">
        <v>15</v>
      </c>
      <c r="P418" s="54">
        <v>1193.75</v>
      </c>
      <c r="Q418" s="54">
        <v>28.74</v>
      </c>
      <c r="R418" s="53">
        <f t="shared" si="20"/>
        <v>590</v>
      </c>
      <c r="S418" s="51">
        <v>6665.0099999999993</v>
      </c>
    </row>
    <row r="419" spans="1:19" ht="15" x14ac:dyDescent="0.25">
      <c r="A419" s="28"/>
      <c r="B419" s="45" t="str">
        <f t="shared" si="18"/>
        <v>Jan-2024</v>
      </c>
      <c r="C419" s="57">
        <v>45307</v>
      </c>
      <c r="D419" s="43">
        <f t="shared" si="19"/>
        <v>805</v>
      </c>
      <c r="E419" s="76">
        <v>8</v>
      </c>
      <c r="F419" s="50">
        <v>14</v>
      </c>
      <c r="G419" s="49">
        <v>10500</v>
      </c>
      <c r="H419" s="73">
        <v>14</v>
      </c>
      <c r="I419" s="52">
        <v>14</v>
      </c>
      <c r="J419" s="51">
        <v>3441.41</v>
      </c>
      <c r="K419" s="52"/>
      <c r="L419" s="51"/>
      <c r="M419" s="52">
        <v>10</v>
      </c>
      <c r="N419" s="49">
        <v>7704.16</v>
      </c>
      <c r="O419" s="75">
        <v>10</v>
      </c>
      <c r="P419" s="54">
        <v>645.56999999999982</v>
      </c>
      <c r="Q419" s="54">
        <v>44.589999999999996</v>
      </c>
      <c r="R419" s="53">
        <f t="shared" si="20"/>
        <v>525</v>
      </c>
      <c r="S419" s="51">
        <v>3441.41</v>
      </c>
    </row>
    <row r="420" spans="1:19" ht="15" x14ac:dyDescent="0.25">
      <c r="A420" s="28"/>
      <c r="B420" s="45" t="str">
        <f t="shared" si="18"/>
        <v>Jan-2024</v>
      </c>
      <c r="C420" s="57">
        <v>45308</v>
      </c>
      <c r="D420" s="43">
        <f t="shared" si="19"/>
        <v>804</v>
      </c>
      <c r="E420" s="76">
        <v>5</v>
      </c>
      <c r="F420" s="50">
        <v>14</v>
      </c>
      <c r="G420" s="49">
        <v>13100</v>
      </c>
      <c r="H420" s="73">
        <v>13</v>
      </c>
      <c r="I420" s="52">
        <v>14</v>
      </c>
      <c r="J420" s="51">
        <v>3633.9</v>
      </c>
      <c r="K420" s="52">
        <v>1</v>
      </c>
      <c r="L420" s="51">
        <v>2000.44</v>
      </c>
      <c r="M420" s="52">
        <v>13</v>
      </c>
      <c r="N420" s="49">
        <v>10154.959999999999</v>
      </c>
      <c r="O420" s="75">
        <v>12</v>
      </c>
      <c r="P420" s="54">
        <v>688.85999999999979</v>
      </c>
      <c r="Q420" s="54">
        <v>54.96</v>
      </c>
      <c r="R420" s="53">
        <f t="shared" si="20"/>
        <v>655</v>
      </c>
      <c r="S420" s="51">
        <v>3633.9</v>
      </c>
    </row>
    <row r="421" spans="1:19" ht="15" x14ac:dyDescent="0.25">
      <c r="A421" s="28"/>
      <c r="B421" s="45" t="str">
        <f t="shared" si="18"/>
        <v>Jan-2024</v>
      </c>
      <c r="C421" s="57">
        <v>45309</v>
      </c>
      <c r="D421" s="43">
        <f t="shared" si="19"/>
        <v>803</v>
      </c>
      <c r="E421" s="76">
        <v>7</v>
      </c>
      <c r="F421" s="50">
        <v>9</v>
      </c>
      <c r="G421" s="49">
        <v>5700</v>
      </c>
      <c r="H421" s="73">
        <v>9</v>
      </c>
      <c r="I421" s="52">
        <v>9</v>
      </c>
      <c r="J421" s="51">
        <v>3633.12</v>
      </c>
      <c r="K421" s="52"/>
      <c r="L421" s="51"/>
      <c r="M421" s="52">
        <v>3</v>
      </c>
      <c r="N421" s="49">
        <v>2712.1</v>
      </c>
      <c r="O421" s="75">
        <v>3</v>
      </c>
      <c r="P421" s="54">
        <v>645.21999999999991</v>
      </c>
      <c r="Q421" s="54">
        <v>12.1</v>
      </c>
      <c r="R421" s="53">
        <f t="shared" si="20"/>
        <v>285</v>
      </c>
      <c r="S421" s="51">
        <v>3633.12</v>
      </c>
    </row>
    <row r="422" spans="1:19" ht="15" x14ac:dyDescent="0.25">
      <c r="A422" s="28"/>
      <c r="B422" s="45" t="str">
        <f t="shared" si="18"/>
        <v>Jan-2024</v>
      </c>
      <c r="C422" s="57">
        <v>45310</v>
      </c>
      <c r="D422" s="43">
        <f t="shared" si="19"/>
        <v>802</v>
      </c>
      <c r="E422" s="76">
        <v>7</v>
      </c>
      <c r="F422" s="50">
        <v>9</v>
      </c>
      <c r="G422" s="49">
        <v>4500</v>
      </c>
      <c r="H422" s="73">
        <v>7</v>
      </c>
      <c r="I422" s="52">
        <v>7</v>
      </c>
      <c r="J422" s="51">
        <v>1816.17</v>
      </c>
      <c r="K422" s="52">
        <v>1</v>
      </c>
      <c r="L422" s="51">
        <v>1000.22</v>
      </c>
      <c r="M422" s="52">
        <v>6</v>
      </c>
      <c r="N422" s="49">
        <v>3010</v>
      </c>
      <c r="O422" s="75">
        <v>6</v>
      </c>
      <c r="P422" s="54">
        <v>326.17</v>
      </c>
      <c r="Q422" s="54">
        <v>10</v>
      </c>
      <c r="R422" s="53">
        <f t="shared" si="20"/>
        <v>225</v>
      </c>
      <c r="S422" s="51">
        <v>1816.17</v>
      </c>
    </row>
    <row r="423" spans="1:19" ht="15" x14ac:dyDescent="0.25">
      <c r="A423" s="28"/>
      <c r="B423" s="45" t="str">
        <f t="shared" si="18"/>
        <v>Jan-2024</v>
      </c>
      <c r="C423" s="57">
        <v>45311</v>
      </c>
      <c r="D423" s="43">
        <f t="shared" si="19"/>
        <v>801</v>
      </c>
      <c r="E423" s="76">
        <v>5</v>
      </c>
      <c r="F423" s="50">
        <v>12</v>
      </c>
      <c r="G423" s="49">
        <v>8950</v>
      </c>
      <c r="H423" s="73">
        <v>12</v>
      </c>
      <c r="I423" s="52">
        <v>12</v>
      </c>
      <c r="J423" s="51">
        <v>3026.3</v>
      </c>
      <c r="K423" s="52"/>
      <c r="L423" s="51"/>
      <c r="M423" s="52">
        <v>12</v>
      </c>
      <c r="N423" s="49">
        <v>6712.66</v>
      </c>
      <c r="O423" s="75">
        <v>10</v>
      </c>
      <c r="P423" s="54">
        <v>788.96000000000015</v>
      </c>
      <c r="Q423" s="54">
        <v>262.66000000000003</v>
      </c>
      <c r="R423" s="53">
        <f t="shared" si="20"/>
        <v>447.5</v>
      </c>
      <c r="S423" s="51">
        <v>3026.3</v>
      </c>
    </row>
    <row r="424" spans="1:19" ht="15" x14ac:dyDescent="0.25">
      <c r="A424" s="28"/>
      <c r="B424" s="45" t="str">
        <f t="shared" si="18"/>
        <v>Jan-2024</v>
      </c>
      <c r="C424" s="57">
        <v>45312</v>
      </c>
      <c r="D424" s="43">
        <f t="shared" si="19"/>
        <v>800</v>
      </c>
      <c r="E424" s="76">
        <v>1</v>
      </c>
      <c r="F424" s="50">
        <v>1</v>
      </c>
      <c r="G424" s="49">
        <v>500</v>
      </c>
      <c r="H424" s="73">
        <v>1</v>
      </c>
      <c r="I424" s="52">
        <v>1</v>
      </c>
      <c r="J424" s="51">
        <v>605.13</v>
      </c>
      <c r="K424" s="52"/>
      <c r="L424" s="51"/>
      <c r="M424" s="52"/>
      <c r="N424" s="49"/>
      <c r="O424" s="75"/>
      <c r="P424" s="54">
        <v>105.13</v>
      </c>
      <c r="Q424" s="54">
        <v>0</v>
      </c>
      <c r="R424" s="53">
        <f t="shared" si="20"/>
        <v>25</v>
      </c>
      <c r="S424" s="51">
        <v>605.13</v>
      </c>
    </row>
    <row r="425" spans="1:19" ht="15" x14ac:dyDescent="0.25">
      <c r="A425" s="28"/>
      <c r="B425" s="45" t="str">
        <f t="shared" si="18"/>
        <v>Jan-2024</v>
      </c>
      <c r="C425" s="57">
        <v>45315</v>
      </c>
      <c r="D425" s="43">
        <f t="shared" si="19"/>
        <v>797</v>
      </c>
      <c r="E425" s="76">
        <v>5</v>
      </c>
      <c r="F425" s="50">
        <v>21</v>
      </c>
      <c r="G425" s="49">
        <v>18450</v>
      </c>
      <c r="H425" s="73">
        <v>21</v>
      </c>
      <c r="I425" s="52">
        <v>21</v>
      </c>
      <c r="J425" s="51">
        <v>3051.04</v>
      </c>
      <c r="K425" s="52">
        <v>2</v>
      </c>
      <c r="L425" s="51">
        <v>1100.24</v>
      </c>
      <c r="M425" s="52">
        <v>26</v>
      </c>
      <c r="N425" s="49">
        <v>16003.43</v>
      </c>
      <c r="O425" s="75">
        <v>22</v>
      </c>
      <c r="P425" s="54">
        <v>604.46999999999991</v>
      </c>
      <c r="Q425" s="54">
        <v>74.47999999999999</v>
      </c>
      <c r="R425" s="53">
        <f t="shared" si="20"/>
        <v>922.5</v>
      </c>
      <c r="S425" s="51">
        <v>3051.04</v>
      </c>
    </row>
    <row r="426" spans="1:19" ht="15" x14ac:dyDescent="0.25">
      <c r="A426" s="28"/>
      <c r="B426" s="45" t="str">
        <f t="shared" si="18"/>
        <v>Jan-2024</v>
      </c>
      <c r="C426" s="57">
        <v>45316</v>
      </c>
      <c r="D426" s="43">
        <f t="shared" si="19"/>
        <v>796</v>
      </c>
      <c r="E426" s="76">
        <v>12</v>
      </c>
      <c r="F426" s="50">
        <v>21</v>
      </c>
      <c r="G426" s="49">
        <v>14300</v>
      </c>
      <c r="H426" s="73">
        <v>21</v>
      </c>
      <c r="I426" s="52">
        <v>21</v>
      </c>
      <c r="J426" s="51">
        <v>5498.36</v>
      </c>
      <c r="K426" s="52"/>
      <c r="L426" s="51"/>
      <c r="M426" s="52">
        <v>13</v>
      </c>
      <c r="N426" s="49">
        <v>9780.32</v>
      </c>
      <c r="O426" s="75">
        <v>13</v>
      </c>
      <c r="P426" s="54">
        <v>978.67999999999984</v>
      </c>
      <c r="Q426" s="54">
        <v>33.200000000000003</v>
      </c>
      <c r="R426" s="53">
        <f t="shared" si="20"/>
        <v>715</v>
      </c>
      <c r="S426" s="51">
        <v>5498.36</v>
      </c>
    </row>
    <row r="427" spans="1:19" ht="15" x14ac:dyDescent="0.25">
      <c r="A427" s="28"/>
      <c r="B427" s="45" t="str">
        <f t="shared" si="18"/>
        <v>Jan-2024</v>
      </c>
      <c r="C427" s="57">
        <v>45317</v>
      </c>
      <c r="D427" s="43">
        <f t="shared" si="19"/>
        <v>795</v>
      </c>
      <c r="E427" s="76">
        <v>4</v>
      </c>
      <c r="F427" s="50">
        <v>17</v>
      </c>
      <c r="G427" s="49">
        <v>15766</v>
      </c>
      <c r="H427" s="73">
        <v>17</v>
      </c>
      <c r="I427" s="52">
        <v>17</v>
      </c>
      <c r="J427" s="51">
        <v>4231.3600000000006</v>
      </c>
      <c r="K427" s="52"/>
      <c r="L427" s="51"/>
      <c r="M427" s="52">
        <v>11</v>
      </c>
      <c r="N427" s="49">
        <v>12314.94</v>
      </c>
      <c r="O427" s="75">
        <v>11</v>
      </c>
      <c r="P427" s="54">
        <v>780.30000000000007</v>
      </c>
      <c r="Q427" s="54">
        <v>48.940000000000005</v>
      </c>
      <c r="R427" s="53">
        <f t="shared" si="20"/>
        <v>788.30000000000007</v>
      </c>
      <c r="S427" s="51">
        <v>4231.3600000000006</v>
      </c>
    </row>
    <row r="428" spans="1:19" ht="15" x14ac:dyDescent="0.25">
      <c r="A428" s="28"/>
      <c r="B428" s="45" t="str">
        <f t="shared" si="18"/>
        <v>Jan-2024</v>
      </c>
      <c r="C428" s="57">
        <v>45318</v>
      </c>
      <c r="D428" s="43">
        <f t="shared" si="19"/>
        <v>794</v>
      </c>
      <c r="E428" s="76">
        <v>5</v>
      </c>
      <c r="F428" s="50">
        <v>17</v>
      </c>
      <c r="G428" s="49">
        <v>16260</v>
      </c>
      <c r="H428" s="73">
        <v>17</v>
      </c>
      <c r="I428" s="52">
        <v>17</v>
      </c>
      <c r="J428" s="51">
        <v>8970.3200000000015</v>
      </c>
      <c r="K428" s="52">
        <v>1</v>
      </c>
      <c r="L428" s="51">
        <v>300</v>
      </c>
      <c r="M428" s="52">
        <v>14</v>
      </c>
      <c r="N428" s="49">
        <v>8919.2800000000007</v>
      </c>
      <c r="O428" s="75">
        <v>13</v>
      </c>
      <c r="P428" s="54">
        <v>1629.6000000000001</v>
      </c>
      <c r="Q428" s="54">
        <v>125.60999999999999</v>
      </c>
      <c r="R428" s="53">
        <f t="shared" si="20"/>
        <v>813</v>
      </c>
      <c r="S428" s="51">
        <v>8970.3200000000015</v>
      </c>
    </row>
    <row r="429" spans="1:19" ht="15" x14ac:dyDescent="0.25">
      <c r="A429" s="28"/>
      <c r="B429" s="45" t="str">
        <f t="shared" si="18"/>
        <v>Jan-2024</v>
      </c>
      <c r="C429" s="57">
        <v>45319</v>
      </c>
      <c r="D429" s="43">
        <f t="shared" si="19"/>
        <v>793</v>
      </c>
      <c r="E429" s="76">
        <v>19</v>
      </c>
      <c r="F429" s="50">
        <v>31</v>
      </c>
      <c r="G429" s="49">
        <v>20519</v>
      </c>
      <c r="H429" s="73">
        <v>31</v>
      </c>
      <c r="I429" s="52">
        <v>31</v>
      </c>
      <c r="J429" s="51">
        <v>12026.359999999999</v>
      </c>
      <c r="K429" s="52"/>
      <c r="L429" s="51"/>
      <c r="M429" s="52">
        <v>14</v>
      </c>
      <c r="N429" s="49">
        <v>10633.52</v>
      </c>
      <c r="O429" s="75">
        <v>14</v>
      </c>
      <c r="P429" s="54">
        <v>2140.88</v>
      </c>
      <c r="Q429" s="54">
        <v>83.52</v>
      </c>
      <c r="R429" s="53">
        <f t="shared" si="20"/>
        <v>1025.95</v>
      </c>
      <c r="S429" s="51">
        <v>12026.359999999999</v>
      </c>
    </row>
    <row r="430" spans="1:19" ht="15" x14ac:dyDescent="0.25">
      <c r="A430" s="28"/>
      <c r="B430" s="45" t="str">
        <f t="shared" si="18"/>
        <v>Jan-2024</v>
      </c>
      <c r="C430" s="57">
        <v>45320</v>
      </c>
      <c r="D430" s="43">
        <f t="shared" si="19"/>
        <v>792</v>
      </c>
      <c r="E430" s="76">
        <v>10</v>
      </c>
      <c r="F430" s="50">
        <v>17</v>
      </c>
      <c r="G430" s="49">
        <v>15250</v>
      </c>
      <c r="H430" s="73">
        <v>17</v>
      </c>
      <c r="I430" s="52">
        <v>17</v>
      </c>
      <c r="J430" s="51">
        <v>7249.0800000000008</v>
      </c>
      <c r="K430" s="52"/>
      <c r="L430" s="51"/>
      <c r="M430" s="52">
        <v>5</v>
      </c>
      <c r="N430" s="49">
        <v>9305.4500000000007</v>
      </c>
      <c r="O430" s="75">
        <v>5</v>
      </c>
      <c r="P430" s="54">
        <v>1304.53</v>
      </c>
      <c r="Q430" s="54">
        <v>55.449999999999996</v>
      </c>
      <c r="R430" s="53">
        <f t="shared" si="20"/>
        <v>762.5</v>
      </c>
      <c r="S430" s="51">
        <v>7249.0800000000008</v>
      </c>
    </row>
    <row r="431" spans="1:19" ht="15" x14ac:dyDescent="0.25">
      <c r="A431" s="28"/>
      <c r="B431" s="45" t="str">
        <f t="shared" si="18"/>
        <v>Jan-2024</v>
      </c>
      <c r="C431" s="57">
        <v>45321</v>
      </c>
      <c r="D431" s="43">
        <f t="shared" si="19"/>
        <v>791</v>
      </c>
      <c r="E431" s="76">
        <v>10</v>
      </c>
      <c r="F431" s="50">
        <v>16</v>
      </c>
      <c r="G431" s="49">
        <v>10500</v>
      </c>
      <c r="H431" s="73">
        <v>16</v>
      </c>
      <c r="I431" s="52">
        <v>16</v>
      </c>
      <c r="J431" s="51">
        <v>6443.05</v>
      </c>
      <c r="K431" s="52"/>
      <c r="L431" s="51"/>
      <c r="M431" s="52">
        <v>6</v>
      </c>
      <c r="N431" s="49">
        <v>5203.51</v>
      </c>
      <c r="O431" s="75">
        <v>6</v>
      </c>
      <c r="P431" s="54">
        <v>1146.56</v>
      </c>
      <c r="Q431" s="54">
        <v>39.82</v>
      </c>
      <c r="R431" s="53">
        <f t="shared" si="20"/>
        <v>525</v>
      </c>
      <c r="S431" s="51">
        <v>6443.05</v>
      </c>
    </row>
    <row r="432" spans="1:19" ht="15" x14ac:dyDescent="0.25">
      <c r="A432" s="28"/>
      <c r="B432" s="45" t="str">
        <f t="shared" si="18"/>
        <v>Jan-2024</v>
      </c>
      <c r="C432" s="57">
        <v>45322</v>
      </c>
      <c r="D432" s="43">
        <f t="shared" si="19"/>
        <v>790</v>
      </c>
      <c r="E432" s="76">
        <v>8</v>
      </c>
      <c r="F432" s="50">
        <v>14</v>
      </c>
      <c r="G432" s="49">
        <v>9750</v>
      </c>
      <c r="H432" s="73">
        <v>14</v>
      </c>
      <c r="I432" s="52">
        <v>14</v>
      </c>
      <c r="J432" s="51">
        <v>3623.42</v>
      </c>
      <c r="K432" s="52"/>
      <c r="L432" s="51"/>
      <c r="M432" s="52">
        <v>13</v>
      </c>
      <c r="N432" s="49">
        <v>6768.15</v>
      </c>
      <c r="O432" s="75">
        <v>11</v>
      </c>
      <c r="P432" s="54">
        <v>641.57000000000005</v>
      </c>
      <c r="Q432" s="54">
        <v>18.59</v>
      </c>
      <c r="R432" s="53">
        <f t="shared" si="20"/>
        <v>487.5</v>
      </c>
      <c r="S432" s="51">
        <v>3623.42</v>
      </c>
    </row>
    <row r="433" spans="1:19" ht="15" x14ac:dyDescent="0.25">
      <c r="A433" s="28"/>
      <c r="B433" s="45" t="str">
        <f t="shared" si="18"/>
        <v>Feb-2024</v>
      </c>
      <c r="C433" s="57">
        <v>45323</v>
      </c>
      <c r="D433" s="43">
        <f t="shared" si="19"/>
        <v>789</v>
      </c>
      <c r="E433" s="76">
        <v>7</v>
      </c>
      <c r="F433" s="50">
        <v>12</v>
      </c>
      <c r="G433" s="49">
        <v>8200</v>
      </c>
      <c r="H433" s="73">
        <v>12</v>
      </c>
      <c r="I433" s="52">
        <v>12</v>
      </c>
      <c r="J433" s="51">
        <v>3622.2</v>
      </c>
      <c r="K433" s="52"/>
      <c r="L433" s="51"/>
      <c r="M433" s="52">
        <v>7</v>
      </c>
      <c r="N433" s="49">
        <v>5236.95</v>
      </c>
      <c r="O433" s="75">
        <v>6</v>
      </c>
      <c r="P433" s="54">
        <v>659.1500000000002</v>
      </c>
      <c r="Q433" s="54">
        <v>36.950000000000003</v>
      </c>
      <c r="R433" s="53">
        <f t="shared" si="20"/>
        <v>410</v>
      </c>
      <c r="S433" s="51">
        <v>3622.2</v>
      </c>
    </row>
    <row r="434" spans="1:19" ht="15" x14ac:dyDescent="0.25">
      <c r="A434" s="28"/>
      <c r="B434" s="45" t="str">
        <f t="shared" si="18"/>
        <v>Feb-2024</v>
      </c>
      <c r="C434" s="57">
        <v>45324</v>
      </c>
      <c r="D434" s="43">
        <f t="shared" si="19"/>
        <v>788</v>
      </c>
      <c r="E434" s="76">
        <v>9</v>
      </c>
      <c r="F434" s="50">
        <v>21</v>
      </c>
      <c r="G434" s="49">
        <v>16000</v>
      </c>
      <c r="H434" s="73">
        <v>21</v>
      </c>
      <c r="I434" s="52">
        <v>21</v>
      </c>
      <c r="J434" s="51">
        <v>6678.32</v>
      </c>
      <c r="K434" s="52"/>
      <c r="L434" s="51"/>
      <c r="M434" s="52">
        <v>13</v>
      </c>
      <c r="N434" s="49">
        <v>10599.03</v>
      </c>
      <c r="O434" s="75">
        <v>12</v>
      </c>
      <c r="P434" s="54">
        <v>1277.3499999999995</v>
      </c>
      <c r="Q434" s="54">
        <v>130.62000000000003</v>
      </c>
      <c r="R434" s="53">
        <f t="shared" si="20"/>
        <v>800</v>
      </c>
      <c r="S434" s="51">
        <v>6678.32</v>
      </c>
    </row>
    <row r="435" spans="1:19" ht="15" x14ac:dyDescent="0.25">
      <c r="A435" s="28"/>
      <c r="B435" s="45" t="str">
        <f t="shared" si="18"/>
        <v>Feb-2024</v>
      </c>
      <c r="C435" s="57">
        <v>45325</v>
      </c>
      <c r="D435" s="43">
        <f t="shared" si="19"/>
        <v>787</v>
      </c>
      <c r="E435" s="76">
        <v>2</v>
      </c>
      <c r="F435" s="50">
        <v>12</v>
      </c>
      <c r="G435" s="49">
        <v>13335</v>
      </c>
      <c r="H435" s="73">
        <v>12</v>
      </c>
      <c r="I435" s="52">
        <v>12</v>
      </c>
      <c r="J435" s="51">
        <v>1173.9000000000001</v>
      </c>
      <c r="K435" s="52"/>
      <c r="L435" s="51"/>
      <c r="M435" s="52">
        <v>11</v>
      </c>
      <c r="N435" s="49">
        <v>12415.79</v>
      </c>
      <c r="O435" s="75">
        <v>10</v>
      </c>
      <c r="P435" s="54">
        <v>254.69</v>
      </c>
      <c r="Q435" s="54">
        <v>55.790000000000006</v>
      </c>
      <c r="R435" s="53">
        <f t="shared" si="20"/>
        <v>666.75</v>
      </c>
      <c r="S435" s="51">
        <v>1173.9000000000001</v>
      </c>
    </row>
    <row r="436" spans="1:19" ht="15" x14ac:dyDescent="0.25">
      <c r="A436" s="28"/>
      <c r="B436" s="45" t="str">
        <f t="shared" si="18"/>
        <v>Feb-2024</v>
      </c>
      <c r="C436" s="57">
        <v>45326</v>
      </c>
      <c r="D436" s="43">
        <f t="shared" si="19"/>
        <v>786</v>
      </c>
      <c r="E436" s="76">
        <v>7</v>
      </c>
      <c r="F436" s="50">
        <v>9</v>
      </c>
      <c r="G436" s="49">
        <v>6400</v>
      </c>
      <c r="H436" s="73">
        <v>9</v>
      </c>
      <c r="I436" s="52">
        <v>9</v>
      </c>
      <c r="J436" s="51">
        <v>603.30999999999995</v>
      </c>
      <c r="K436" s="52">
        <v>1</v>
      </c>
      <c r="L436" s="51">
        <v>500.11</v>
      </c>
      <c r="M436" s="52">
        <v>14</v>
      </c>
      <c r="N436" s="49">
        <v>5936.78</v>
      </c>
      <c r="O436" s="75">
        <v>13</v>
      </c>
      <c r="P436" s="54">
        <v>140.09</v>
      </c>
      <c r="Q436" s="54">
        <v>36.78</v>
      </c>
      <c r="R436" s="53">
        <f t="shared" si="20"/>
        <v>320</v>
      </c>
      <c r="S436" s="51">
        <v>603.30999999999995</v>
      </c>
    </row>
    <row r="437" spans="1:19" ht="15" x14ac:dyDescent="0.25">
      <c r="A437" s="28"/>
      <c r="B437" s="45" t="str">
        <f t="shared" si="18"/>
        <v>Feb-2024</v>
      </c>
      <c r="C437" s="57">
        <v>45327</v>
      </c>
      <c r="D437" s="43">
        <f t="shared" si="19"/>
        <v>785</v>
      </c>
      <c r="E437" s="76">
        <v>5</v>
      </c>
      <c r="F437" s="50">
        <v>19</v>
      </c>
      <c r="G437" s="49">
        <v>16580</v>
      </c>
      <c r="H437" s="73">
        <v>18</v>
      </c>
      <c r="I437" s="52">
        <v>18</v>
      </c>
      <c r="J437" s="51">
        <v>2988.0899999999997</v>
      </c>
      <c r="K437" s="52"/>
      <c r="L437" s="51"/>
      <c r="M437" s="52">
        <v>13</v>
      </c>
      <c r="N437" s="49">
        <v>14173.65</v>
      </c>
      <c r="O437" s="75">
        <v>13</v>
      </c>
      <c r="P437" s="54">
        <v>581.74000000000012</v>
      </c>
      <c r="Q437" s="54">
        <v>73.650000000000006</v>
      </c>
      <c r="R437" s="53">
        <f t="shared" si="20"/>
        <v>829</v>
      </c>
      <c r="S437" s="51">
        <v>2988.0899999999997</v>
      </c>
    </row>
    <row r="438" spans="1:19" ht="15" x14ac:dyDescent="0.25">
      <c r="A438" s="28"/>
      <c r="B438" s="45" t="str">
        <f t="shared" si="18"/>
        <v>Feb-2024</v>
      </c>
      <c r="C438" s="57">
        <v>45328</v>
      </c>
      <c r="D438" s="43">
        <f t="shared" si="19"/>
        <v>784</v>
      </c>
      <c r="E438" s="76">
        <v>8</v>
      </c>
      <c r="F438" s="50">
        <v>13</v>
      </c>
      <c r="G438" s="49">
        <v>8800</v>
      </c>
      <c r="H438" s="73">
        <v>12</v>
      </c>
      <c r="I438" s="52">
        <v>13</v>
      </c>
      <c r="J438" s="51">
        <v>3905.2699999999995</v>
      </c>
      <c r="K438" s="52">
        <v>1</v>
      </c>
      <c r="L438" s="51">
        <v>100.02</v>
      </c>
      <c r="M438" s="52">
        <v>12</v>
      </c>
      <c r="N438" s="49">
        <v>5585.87</v>
      </c>
      <c r="O438" s="75">
        <v>11</v>
      </c>
      <c r="P438" s="54">
        <v>691.13999999999976</v>
      </c>
      <c r="Q438" s="54">
        <v>29.58</v>
      </c>
      <c r="R438" s="53">
        <f t="shared" si="20"/>
        <v>440</v>
      </c>
      <c r="S438" s="51">
        <v>3905.2699999999995</v>
      </c>
    </row>
    <row r="439" spans="1:19" ht="15" x14ac:dyDescent="0.25">
      <c r="A439" s="28"/>
      <c r="B439" s="45" t="str">
        <f t="shared" si="18"/>
        <v>Feb-2024</v>
      </c>
      <c r="C439" s="57">
        <v>45329</v>
      </c>
      <c r="D439" s="43">
        <f t="shared" si="19"/>
        <v>783</v>
      </c>
      <c r="E439" s="76">
        <v>4</v>
      </c>
      <c r="F439" s="50">
        <v>11</v>
      </c>
      <c r="G439" s="49">
        <v>9950</v>
      </c>
      <c r="H439" s="73">
        <v>11</v>
      </c>
      <c r="I439" s="52">
        <v>11</v>
      </c>
      <c r="J439" s="51">
        <v>1808.7599999999998</v>
      </c>
      <c r="K439" s="52"/>
      <c r="L439" s="51"/>
      <c r="M439" s="52">
        <v>13</v>
      </c>
      <c r="N439" s="49">
        <v>8521.82</v>
      </c>
      <c r="O439" s="75">
        <v>13</v>
      </c>
      <c r="P439" s="54">
        <v>380.58000000000004</v>
      </c>
      <c r="Q439" s="54">
        <v>71.819999999999993</v>
      </c>
      <c r="R439" s="53">
        <f t="shared" si="20"/>
        <v>497.5</v>
      </c>
      <c r="S439" s="51">
        <v>1808.7599999999998</v>
      </c>
    </row>
    <row r="440" spans="1:19" ht="15" x14ac:dyDescent="0.25">
      <c r="A440" s="28"/>
      <c r="B440" s="45" t="str">
        <f t="shared" si="18"/>
        <v>Feb-2024</v>
      </c>
      <c r="C440" s="57">
        <v>45330</v>
      </c>
      <c r="D440" s="43">
        <f t="shared" si="19"/>
        <v>782</v>
      </c>
      <c r="E440" s="76">
        <v>6</v>
      </c>
      <c r="F440" s="50">
        <v>16</v>
      </c>
      <c r="G440" s="49">
        <v>11300</v>
      </c>
      <c r="H440" s="73">
        <v>16</v>
      </c>
      <c r="I440" s="52">
        <v>16</v>
      </c>
      <c r="J440" s="51">
        <v>3493.1</v>
      </c>
      <c r="K440" s="52"/>
      <c r="L440" s="51"/>
      <c r="M440" s="52">
        <v>12</v>
      </c>
      <c r="N440" s="49">
        <v>8438.4599999999991</v>
      </c>
      <c r="O440" s="75">
        <v>12</v>
      </c>
      <c r="P440" s="54">
        <v>631.55999999999995</v>
      </c>
      <c r="Q440" s="54">
        <v>38.459999999999994</v>
      </c>
      <c r="R440" s="53">
        <f t="shared" si="20"/>
        <v>565</v>
      </c>
      <c r="S440" s="51">
        <v>3493.1</v>
      </c>
    </row>
    <row r="441" spans="1:19" ht="15" x14ac:dyDescent="0.25">
      <c r="A441" s="28"/>
      <c r="B441" s="45" t="str">
        <f t="shared" si="18"/>
        <v>Feb-2024</v>
      </c>
      <c r="C441" s="57">
        <v>45331</v>
      </c>
      <c r="D441" s="43">
        <f t="shared" si="19"/>
        <v>781</v>
      </c>
      <c r="E441" s="76">
        <v>8</v>
      </c>
      <c r="F441" s="50">
        <v>14</v>
      </c>
      <c r="G441" s="49">
        <v>13000</v>
      </c>
      <c r="H441" s="73">
        <v>14</v>
      </c>
      <c r="I441" s="52">
        <v>14</v>
      </c>
      <c r="J441" s="51">
        <v>2047.27</v>
      </c>
      <c r="K441" s="52"/>
      <c r="L441" s="51"/>
      <c r="M441" s="52">
        <v>18</v>
      </c>
      <c r="N441" s="49">
        <v>11365.91</v>
      </c>
      <c r="O441" s="75">
        <v>18</v>
      </c>
      <c r="P441" s="54">
        <v>413.18000000000006</v>
      </c>
      <c r="Q441" s="54">
        <v>66.23</v>
      </c>
      <c r="R441" s="53">
        <f t="shared" si="20"/>
        <v>650</v>
      </c>
      <c r="S441" s="51">
        <v>2047.27</v>
      </c>
    </row>
    <row r="442" spans="1:19" ht="15" x14ac:dyDescent="0.25">
      <c r="A442" s="28"/>
      <c r="B442" s="45" t="str">
        <f t="shared" si="18"/>
        <v>Feb-2024</v>
      </c>
      <c r="C442" s="57">
        <v>45332</v>
      </c>
      <c r="D442" s="43">
        <f t="shared" si="19"/>
        <v>780</v>
      </c>
      <c r="E442" s="76">
        <v>13</v>
      </c>
      <c r="F442" s="50">
        <v>13</v>
      </c>
      <c r="G442" s="49">
        <v>10580</v>
      </c>
      <c r="H442" s="73">
        <v>13</v>
      </c>
      <c r="I442" s="52">
        <v>13</v>
      </c>
      <c r="J442" s="51">
        <v>5785.8999999999987</v>
      </c>
      <c r="K442" s="52"/>
      <c r="L442" s="51"/>
      <c r="M442" s="52">
        <v>9</v>
      </c>
      <c r="N442" s="49">
        <v>5801.1</v>
      </c>
      <c r="O442" s="75">
        <v>7</v>
      </c>
      <c r="P442" s="54">
        <v>1006.9999999999998</v>
      </c>
      <c r="Q442" s="54">
        <v>21.099999999999998</v>
      </c>
      <c r="R442" s="53">
        <f t="shared" si="20"/>
        <v>529</v>
      </c>
      <c r="S442" s="51">
        <v>5785.8999999999987</v>
      </c>
    </row>
    <row r="443" spans="1:19" ht="15" x14ac:dyDescent="0.25">
      <c r="A443" s="28"/>
      <c r="B443" s="45" t="str">
        <f t="shared" si="18"/>
        <v>Feb-2024</v>
      </c>
      <c r="C443" s="57">
        <v>45333</v>
      </c>
      <c r="D443" s="43">
        <f t="shared" si="19"/>
        <v>779</v>
      </c>
      <c r="E443" s="76">
        <v>8</v>
      </c>
      <c r="F443" s="50">
        <v>13</v>
      </c>
      <c r="G443" s="49">
        <v>8260</v>
      </c>
      <c r="H443" s="73">
        <v>13</v>
      </c>
      <c r="I443" s="52">
        <v>13</v>
      </c>
      <c r="J443" s="51">
        <v>3646.4</v>
      </c>
      <c r="K443" s="52">
        <v>1</v>
      </c>
      <c r="L443" s="51">
        <v>476</v>
      </c>
      <c r="M443" s="52">
        <v>12</v>
      </c>
      <c r="N443" s="49">
        <v>5263.1</v>
      </c>
      <c r="O443" s="75">
        <v>9</v>
      </c>
      <c r="P443" s="54">
        <v>649.49999999999989</v>
      </c>
      <c r="Q443" s="54">
        <v>27.21</v>
      </c>
      <c r="R443" s="53">
        <f t="shared" si="20"/>
        <v>413</v>
      </c>
      <c r="S443" s="51">
        <v>3646.4</v>
      </c>
    </row>
    <row r="444" spans="1:19" ht="15" x14ac:dyDescent="0.25">
      <c r="A444" s="28"/>
      <c r="B444" s="45" t="str">
        <f t="shared" si="18"/>
        <v>Feb-2024</v>
      </c>
      <c r="C444" s="57">
        <v>45334</v>
      </c>
      <c r="D444" s="43">
        <f t="shared" si="19"/>
        <v>778</v>
      </c>
      <c r="E444" s="76">
        <v>5</v>
      </c>
      <c r="F444" s="50">
        <v>12</v>
      </c>
      <c r="G444" s="49">
        <v>8600</v>
      </c>
      <c r="H444" s="73">
        <v>12</v>
      </c>
      <c r="I444" s="52">
        <v>12</v>
      </c>
      <c r="J444" s="51">
        <v>2409.08</v>
      </c>
      <c r="K444" s="52">
        <v>1</v>
      </c>
      <c r="L444" s="51">
        <v>1000.22</v>
      </c>
      <c r="M444" s="52">
        <v>9</v>
      </c>
      <c r="N444" s="49">
        <v>6643.13</v>
      </c>
      <c r="O444" s="75">
        <v>9</v>
      </c>
      <c r="P444" s="54">
        <v>452.21</v>
      </c>
      <c r="Q444" s="54">
        <v>43.129999999999995</v>
      </c>
      <c r="R444" s="53">
        <f t="shared" si="20"/>
        <v>430</v>
      </c>
      <c r="S444" s="51">
        <v>2409.08</v>
      </c>
    </row>
    <row r="445" spans="1:19" ht="15" x14ac:dyDescent="0.25">
      <c r="A445" s="28"/>
      <c r="B445" s="45" t="str">
        <f t="shared" si="18"/>
        <v>Feb-2024</v>
      </c>
      <c r="C445" s="57">
        <v>45335</v>
      </c>
      <c r="D445" s="43">
        <f t="shared" si="19"/>
        <v>777</v>
      </c>
      <c r="E445" s="76">
        <v>8</v>
      </c>
      <c r="F445" s="50">
        <v>14</v>
      </c>
      <c r="G445" s="49">
        <v>9900</v>
      </c>
      <c r="H445" s="73">
        <v>14</v>
      </c>
      <c r="I445" s="52">
        <v>14</v>
      </c>
      <c r="J445" s="51">
        <v>4809.1400000000003</v>
      </c>
      <c r="K445" s="52">
        <v>1</v>
      </c>
      <c r="L445" s="51">
        <v>500.11</v>
      </c>
      <c r="M445" s="52">
        <v>6</v>
      </c>
      <c r="N445" s="49">
        <v>5913.75</v>
      </c>
      <c r="O445" s="75">
        <v>6</v>
      </c>
      <c r="P445" s="54">
        <v>822.89</v>
      </c>
      <c r="Q445" s="54">
        <v>13.75</v>
      </c>
      <c r="R445" s="53">
        <f t="shared" si="20"/>
        <v>495</v>
      </c>
      <c r="S445" s="51">
        <v>4809.1400000000003</v>
      </c>
    </row>
    <row r="446" spans="1:19" ht="15" x14ac:dyDescent="0.25">
      <c r="A446" s="28"/>
      <c r="B446" s="45" t="str">
        <f t="shared" si="18"/>
        <v>Feb-2024</v>
      </c>
      <c r="C446" s="57">
        <v>45336</v>
      </c>
      <c r="D446" s="43">
        <f t="shared" si="19"/>
        <v>776</v>
      </c>
      <c r="E446" s="76">
        <v>5</v>
      </c>
      <c r="F446" s="50">
        <v>10</v>
      </c>
      <c r="G446" s="49">
        <v>7150</v>
      </c>
      <c r="H446" s="73">
        <v>10</v>
      </c>
      <c r="I446" s="52">
        <v>10</v>
      </c>
      <c r="J446" s="51">
        <v>3005.21</v>
      </c>
      <c r="K446" s="52"/>
      <c r="L446" s="51"/>
      <c r="M446" s="52">
        <v>6</v>
      </c>
      <c r="N446" s="49">
        <v>4663.3900000000003</v>
      </c>
      <c r="O446" s="75">
        <v>6</v>
      </c>
      <c r="P446" s="54">
        <v>518.59999999999991</v>
      </c>
      <c r="Q446" s="54">
        <v>13.39</v>
      </c>
      <c r="R446" s="53">
        <f t="shared" si="20"/>
        <v>357.5</v>
      </c>
      <c r="S446" s="51">
        <v>3005.21</v>
      </c>
    </row>
    <row r="447" spans="1:19" ht="15" x14ac:dyDescent="0.25">
      <c r="A447" s="28"/>
      <c r="B447" s="45" t="str">
        <f t="shared" si="18"/>
        <v>Feb-2024</v>
      </c>
      <c r="C447" s="57">
        <v>45337</v>
      </c>
      <c r="D447" s="43">
        <f t="shared" si="19"/>
        <v>775</v>
      </c>
      <c r="E447" s="76">
        <v>10</v>
      </c>
      <c r="F447" s="50">
        <v>15</v>
      </c>
      <c r="G447" s="49">
        <v>10000</v>
      </c>
      <c r="H447" s="73">
        <v>15</v>
      </c>
      <c r="I447" s="52">
        <v>15</v>
      </c>
      <c r="J447" s="51">
        <v>4209.42</v>
      </c>
      <c r="K447" s="52"/>
      <c r="L447" s="51"/>
      <c r="M447" s="52">
        <v>11</v>
      </c>
      <c r="N447" s="49">
        <v>6518.13</v>
      </c>
      <c r="O447" s="75">
        <v>10</v>
      </c>
      <c r="P447" s="54">
        <v>727.55000000000007</v>
      </c>
      <c r="Q447" s="54">
        <v>18.130000000000003</v>
      </c>
      <c r="R447" s="53">
        <f t="shared" si="20"/>
        <v>500</v>
      </c>
      <c r="S447" s="51">
        <v>4209.42</v>
      </c>
    </row>
    <row r="448" spans="1:19" ht="15" x14ac:dyDescent="0.25">
      <c r="A448" s="28"/>
      <c r="B448" s="45" t="str">
        <f t="shared" si="18"/>
        <v>Feb-2024</v>
      </c>
      <c r="C448" s="57">
        <v>45338</v>
      </c>
      <c r="D448" s="43">
        <f t="shared" si="19"/>
        <v>774</v>
      </c>
      <c r="E448" s="76">
        <v>9</v>
      </c>
      <c r="F448" s="50">
        <v>13</v>
      </c>
      <c r="G448" s="49">
        <v>8466</v>
      </c>
      <c r="H448" s="73">
        <v>13</v>
      </c>
      <c r="I448" s="52">
        <v>13</v>
      </c>
      <c r="J448" s="51">
        <v>4838.79</v>
      </c>
      <c r="K448" s="52"/>
      <c r="L448" s="51"/>
      <c r="M448" s="52">
        <v>7</v>
      </c>
      <c r="N448" s="49">
        <v>4486.3999999999996</v>
      </c>
      <c r="O448" s="75">
        <v>7</v>
      </c>
      <c r="P448" s="54">
        <v>859.19</v>
      </c>
      <c r="Q448" s="54">
        <v>49.860000000000007</v>
      </c>
      <c r="R448" s="53">
        <f t="shared" si="20"/>
        <v>423.3</v>
      </c>
      <c r="S448" s="51">
        <v>4838.79</v>
      </c>
    </row>
    <row r="449" spans="1:19" ht="15" x14ac:dyDescent="0.25">
      <c r="A449" s="28"/>
      <c r="B449" s="45" t="str">
        <f t="shared" si="18"/>
        <v>Feb-2024</v>
      </c>
      <c r="C449" s="57">
        <v>45339</v>
      </c>
      <c r="D449" s="43">
        <f t="shared" si="19"/>
        <v>773</v>
      </c>
      <c r="E449" s="76">
        <v>2</v>
      </c>
      <c r="F449" s="50">
        <v>8</v>
      </c>
      <c r="G449" s="49">
        <v>6980</v>
      </c>
      <c r="H449" s="73">
        <v>8</v>
      </c>
      <c r="I449" s="52">
        <v>8</v>
      </c>
      <c r="J449" s="51">
        <v>3342.83</v>
      </c>
      <c r="K449" s="52"/>
      <c r="L449" s="51"/>
      <c r="M449" s="52">
        <v>10</v>
      </c>
      <c r="N449" s="49">
        <v>4232.72</v>
      </c>
      <c r="O449" s="75">
        <v>7</v>
      </c>
      <c r="P449" s="54">
        <v>595.54999999999984</v>
      </c>
      <c r="Q449" s="54">
        <v>32.72</v>
      </c>
      <c r="R449" s="53">
        <f t="shared" si="20"/>
        <v>349</v>
      </c>
      <c r="S449" s="51">
        <v>3342.83</v>
      </c>
    </row>
    <row r="450" spans="1:19" ht="15" x14ac:dyDescent="0.25">
      <c r="A450" s="28"/>
      <c r="B450" s="45" t="str">
        <f t="shared" si="18"/>
        <v>Feb-2024</v>
      </c>
      <c r="C450" s="57">
        <v>45340</v>
      </c>
      <c r="D450" s="43">
        <f t="shared" si="19"/>
        <v>772</v>
      </c>
      <c r="E450" s="76">
        <v>4</v>
      </c>
      <c r="F450" s="50">
        <v>8</v>
      </c>
      <c r="G450" s="49">
        <v>6660</v>
      </c>
      <c r="H450" s="73">
        <v>8</v>
      </c>
      <c r="I450" s="52">
        <v>8</v>
      </c>
      <c r="J450" s="51">
        <v>2405.85</v>
      </c>
      <c r="K450" s="52"/>
      <c r="L450" s="51"/>
      <c r="M450" s="52">
        <v>4</v>
      </c>
      <c r="N450" s="49">
        <v>4667.17</v>
      </c>
      <c r="O450" s="75">
        <v>4</v>
      </c>
      <c r="P450" s="54">
        <v>413.02000000000004</v>
      </c>
      <c r="Q450" s="54">
        <v>7.17</v>
      </c>
      <c r="R450" s="53">
        <f t="shared" si="20"/>
        <v>333</v>
      </c>
      <c r="S450" s="51">
        <v>2405.8500000000004</v>
      </c>
    </row>
    <row r="451" spans="1:19" ht="15" x14ac:dyDescent="0.25">
      <c r="A451" s="28"/>
      <c r="B451" s="45" t="str">
        <f t="shared" si="18"/>
        <v>Feb-2024</v>
      </c>
      <c r="C451" s="57">
        <v>45341</v>
      </c>
      <c r="D451" s="43">
        <f t="shared" si="19"/>
        <v>771</v>
      </c>
      <c r="E451" s="76">
        <v>6</v>
      </c>
      <c r="F451" s="50">
        <v>13</v>
      </c>
      <c r="G451" s="49">
        <v>11300</v>
      </c>
      <c r="H451" s="73">
        <v>13</v>
      </c>
      <c r="I451" s="52">
        <v>13</v>
      </c>
      <c r="J451" s="51">
        <v>4565.58</v>
      </c>
      <c r="K451" s="52"/>
      <c r="L451" s="51"/>
      <c r="M451" s="52">
        <v>6</v>
      </c>
      <c r="N451" s="49">
        <v>7550.58</v>
      </c>
      <c r="O451" s="75">
        <v>6</v>
      </c>
      <c r="P451" s="54">
        <v>816.16000000000008</v>
      </c>
      <c r="Q451" s="54">
        <v>50.58</v>
      </c>
      <c r="R451" s="53">
        <f t="shared" si="20"/>
        <v>565</v>
      </c>
      <c r="S451" s="51">
        <v>4565.58</v>
      </c>
    </row>
    <row r="452" spans="1:19" ht="15" x14ac:dyDescent="0.25">
      <c r="A452" s="28"/>
      <c r="B452" s="45" t="str">
        <f t="shared" si="18"/>
        <v>Feb-2024</v>
      </c>
      <c r="C452" s="57">
        <v>45342</v>
      </c>
      <c r="D452" s="43">
        <f t="shared" si="19"/>
        <v>770</v>
      </c>
      <c r="E452" s="76">
        <v>2</v>
      </c>
      <c r="F452" s="50">
        <v>12</v>
      </c>
      <c r="G452" s="49">
        <v>12150</v>
      </c>
      <c r="H452" s="73">
        <v>12</v>
      </c>
      <c r="I452" s="52">
        <v>12</v>
      </c>
      <c r="J452" s="51">
        <v>600.35</v>
      </c>
      <c r="K452" s="52"/>
      <c r="L452" s="51"/>
      <c r="M452" s="52">
        <v>14</v>
      </c>
      <c r="N452" s="49">
        <v>11678.9</v>
      </c>
      <c r="O452" s="75">
        <v>13</v>
      </c>
      <c r="P452" s="54">
        <v>129.25</v>
      </c>
      <c r="Q452" s="54">
        <v>28.9</v>
      </c>
      <c r="R452" s="53">
        <f t="shared" si="20"/>
        <v>607.5</v>
      </c>
      <c r="S452" s="51">
        <v>600.35</v>
      </c>
    </row>
    <row r="453" spans="1:19" ht="15" x14ac:dyDescent="0.25">
      <c r="A453" s="28"/>
      <c r="B453" s="45" t="str">
        <f t="shared" si="18"/>
        <v>Feb-2024</v>
      </c>
      <c r="C453" s="57">
        <v>45343</v>
      </c>
      <c r="D453" s="43">
        <f t="shared" si="19"/>
        <v>769</v>
      </c>
      <c r="E453" s="76">
        <v>3</v>
      </c>
      <c r="F453" s="50">
        <v>18</v>
      </c>
      <c r="G453" s="49">
        <v>16950</v>
      </c>
      <c r="H453" s="73">
        <v>18</v>
      </c>
      <c r="I453" s="52">
        <v>18</v>
      </c>
      <c r="J453" s="51">
        <v>3041.06</v>
      </c>
      <c r="K453" s="52"/>
      <c r="L453" s="51"/>
      <c r="M453" s="52">
        <v>20</v>
      </c>
      <c r="N453" s="49">
        <v>14539.49</v>
      </c>
      <c r="O453" s="75">
        <v>18</v>
      </c>
      <c r="P453" s="54">
        <v>630.55000000000007</v>
      </c>
      <c r="Q453" s="54">
        <v>121.28999999999999</v>
      </c>
      <c r="R453" s="53">
        <f t="shared" si="20"/>
        <v>847.5</v>
      </c>
      <c r="S453" s="51">
        <v>3041.0600000000004</v>
      </c>
    </row>
    <row r="454" spans="1:19" ht="15" x14ac:dyDescent="0.25">
      <c r="A454" s="28"/>
      <c r="B454" s="45" t="str">
        <f t="shared" ref="B454:B517" si="21">TEXT(C454,"MMM-YYYY")</f>
        <v>Feb-2024</v>
      </c>
      <c r="C454" s="57">
        <v>45344</v>
      </c>
      <c r="D454" s="43">
        <f t="shared" ref="D454:D517" si="22">$A$1-C454</f>
        <v>768</v>
      </c>
      <c r="E454" s="76">
        <v>6</v>
      </c>
      <c r="F454" s="50">
        <v>16</v>
      </c>
      <c r="G454" s="49">
        <v>13900</v>
      </c>
      <c r="H454" s="73">
        <v>16</v>
      </c>
      <c r="I454" s="52">
        <v>16</v>
      </c>
      <c r="J454" s="51">
        <v>3420.4199999999996</v>
      </c>
      <c r="K454" s="52"/>
      <c r="L454" s="51"/>
      <c r="M454" s="52">
        <v>15</v>
      </c>
      <c r="N454" s="49">
        <v>11087.56</v>
      </c>
      <c r="O454" s="75">
        <v>13</v>
      </c>
      <c r="P454" s="54">
        <v>607.98</v>
      </c>
      <c r="Q454" s="54">
        <v>46.05</v>
      </c>
      <c r="R454" s="53">
        <f t="shared" ref="R454:R517" si="23">G454*5%</f>
        <v>695</v>
      </c>
      <c r="S454" s="51">
        <v>3420.42</v>
      </c>
    </row>
    <row r="455" spans="1:19" ht="15" x14ac:dyDescent="0.25">
      <c r="A455" s="28"/>
      <c r="B455" s="45" t="str">
        <f t="shared" si="21"/>
        <v>Feb-2024</v>
      </c>
      <c r="C455" s="57">
        <v>45345</v>
      </c>
      <c r="D455" s="43">
        <f t="shared" si="22"/>
        <v>767</v>
      </c>
      <c r="E455" s="76">
        <v>4</v>
      </c>
      <c r="F455" s="50">
        <v>15</v>
      </c>
      <c r="G455" s="49">
        <v>9360</v>
      </c>
      <c r="H455" s="73">
        <v>15</v>
      </c>
      <c r="I455" s="52">
        <v>15</v>
      </c>
      <c r="J455" s="51">
        <v>3233.0600000000004</v>
      </c>
      <c r="K455" s="52">
        <v>1</v>
      </c>
      <c r="L455" s="51">
        <v>19</v>
      </c>
      <c r="M455" s="52">
        <v>20</v>
      </c>
      <c r="N455" s="49">
        <v>6719.81</v>
      </c>
      <c r="O455" s="75">
        <v>17</v>
      </c>
      <c r="P455" s="54">
        <v>592.86999999999989</v>
      </c>
      <c r="Q455" s="54">
        <v>55.360000000000007</v>
      </c>
      <c r="R455" s="53">
        <f t="shared" si="23"/>
        <v>468</v>
      </c>
      <c r="S455" s="51">
        <v>3233.0600000000004</v>
      </c>
    </row>
    <row r="456" spans="1:19" ht="15" x14ac:dyDescent="0.25">
      <c r="A456" s="28"/>
      <c r="B456" s="45" t="str">
        <f t="shared" si="21"/>
        <v>Feb-2024</v>
      </c>
      <c r="C456" s="57">
        <v>45346</v>
      </c>
      <c r="D456" s="43">
        <f t="shared" si="22"/>
        <v>766</v>
      </c>
      <c r="E456" s="76">
        <v>2</v>
      </c>
      <c r="F456" s="50">
        <v>10</v>
      </c>
      <c r="G456" s="49">
        <v>11000</v>
      </c>
      <c r="H456" s="73">
        <v>10</v>
      </c>
      <c r="I456" s="52">
        <v>10</v>
      </c>
      <c r="J456" s="51">
        <v>2401.96</v>
      </c>
      <c r="K456" s="52"/>
      <c r="L456" s="51"/>
      <c r="M456" s="52">
        <v>9</v>
      </c>
      <c r="N456" s="49">
        <v>9077.9699999999993</v>
      </c>
      <c r="O456" s="75">
        <v>9</v>
      </c>
      <c r="P456" s="54">
        <v>479.93000000000006</v>
      </c>
      <c r="Q456" s="54">
        <v>77.97</v>
      </c>
      <c r="R456" s="53">
        <f t="shared" si="23"/>
        <v>550</v>
      </c>
      <c r="S456" s="51">
        <v>2401.96</v>
      </c>
    </row>
    <row r="457" spans="1:19" ht="15" x14ac:dyDescent="0.25">
      <c r="A457" s="28"/>
      <c r="B457" s="45" t="str">
        <f t="shared" si="21"/>
        <v>Feb-2024</v>
      </c>
      <c r="C457" s="57">
        <v>45347</v>
      </c>
      <c r="D457" s="43">
        <f t="shared" si="22"/>
        <v>765</v>
      </c>
      <c r="E457" s="76">
        <v>7</v>
      </c>
      <c r="F457" s="50">
        <v>14</v>
      </c>
      <c r="G457" s="49">
        <v>11460</v>
      </c>
      <c r="H457" s="73">
        <v>14</v>
      </c>
      <c r="I457" s="52">
        <v>14</v>
      </c>
      <c r="J457" s="51">
        <v>1801.41</v>
      </c>
      <c r="K457" s="52"/>
      <c r="L457" s="51"/>
      <c r="M457" s="52">
        <v>11</v>
      </c>
      <c r="N457" s="49">
        <v>10025.83</v>
      </c>
      <c r="O457" s="75">
        <v>11</v>
      </c>
      <c r="P457" s="54">
        <v>367.23999999999995</v>
      </c>
      <c r="Q457" s="54">
        <v>65.83</v>
      </c>
      <c r="R457" s="53">
        <f t="shared" si="23"/>
        <v>573</v>
      </c>
      <c r="S457" s="51">
        <v>1801.41</v>
      </c>
    </row>
    <row r="458" spans="1:19" ht="15" x14ac:dyDescent="0.25">
      <c r="A458" s="28"/>
      <c r="B458" s="45" t="str">
        <f t="shared" si="21"/>
        <v>Feb-2024</v>
      </c>
      <c r="C458" s="57">
        <v>45348</v>
      </c>
      <c r="D458" s="43">
        <f t="shared" si="22"/>
        <v>764</v>
      </c>
      <c r="E458" s="76">
        <v>6</v>
      </c>
      <c r="F458" s="50">
        <v>22</v>
      </c>
      <c r="G458" s="49">
        <v>16650</v>
      </c>
      <c r="H458" s="73">
        <v>22</v>
      </c>
      <c r="I458" s="52">
        <v>22</v>
      </c>
      <c r="J458" s="51">
        <v>5109.6899999999996</v>
      </c>
      <c r="K458" s="52">
        <v>2</v>
      </c>
      <c r="L458" s="51">
        <v>450</v>
      </c>
      <c r="M458" s="52">
        <v>23</v>
      </c>
      <c r="N458" s="49">
        <v>12512.96</v>
      </c>
      <c r="O458" s="75">
        <v>18</v>
      </c>
      <c r="P458" s="54">
        <v>972.65</v>
      </c>
      <c r="Q458" s="54">
        <v>131.77000000000001</v>
      </c>
      <c r="R458" s="53">
        <f t="shared" si="23"/>
        <v>832.5</v>
      </c>
      <c r="S458" s="51">
        <v>5109.6900000000005</v>
      </c>
    </row>
    <row r="459" spans="1:19" ht="15" x14ac:dyDescent="0.25">
      <c r="A459" s="28"/>
      <c r="B459" s="45" t="str">
        <f t="shared" si="21"/>
        <v>Feb-2024</v>
      </c>
      <c r="C459" s="57">
        <v>45349</v>
      </c>
      <c r="D459" s="43">
        <f t="shared" si="22"/>
        <v>763</v>
      </c>
      <c r="E459" s="76">
        <v>3</v>
      </c>
      <c r="F459" s="50">
        <v>15</v>
      </c>
      <c r="G459" s="49">
        <v>17700</v>
      </c>
      <c r="H459" s="73">
        <v>15</v>
      </c>
      <c r="I459" s="52">
        <v>15</v>
      </c>
      <c r="J459" s="51">
        <v>2400.84</v>
      </c>
      <c r="K459" s="52"/>
      <c r="L459" s="51"/>
      <c r="M459" s="52">
        <v>14</v>
      </c>
      <c r="N459" s="49">
        <v>15809.75</v>
      </c>
      <c r="O459" s="75">
        <v>13</v>
      </c>
      <c r="P459" s="54">
        <v>510.58999999999992</v>
      </c>
      <c r="Q459" s="54">
        <v>109.75</v>
      </c>
      <c r="R459" s="53">
        <f t="shared" si="23"/>
        <v>885</v>
      </c>
      <c r="S459" s="51">
        <v>2400.84</v>
      </c>
    </row>
    <row r="460" spans="1:19" ht="15" x14ac:dyDescent="0.25">
      <c r="A460" s="28"/>
      <c r="B460" s="45" t="str">
        <f t="shared" si="21"/>
        <v>Feb-2024</v>
      </c>
      <c r="C460" s="57">
        <v>45350</v>
      </c>
      <c r="D460" s="43">
        <f t="shared" si="22"/>
        <v>762</v>
      </c>
      <c r="E460" s="76">
        <v>6</v>
      </c>
      <c r="F460" s="50">
        <v>18</v>
      </c>
      <c r="G460" s="49">
        <v>11850</v>
      </c>
      <c r="H460" s="73">
        <v>18</v>
      </c>
      <c r="I460" s="52">
        <v>18</v>
      </c>
      <c r="J460" s="51">
        <v>6001.9000000000015</v>
      </c>
      <c r="K460" s="52"/>
      <c r="L460" s="51"/>
      <c r="M460" s="52">
        <v>12</v>
      </c>
      <c r="N460" s="49">
        <v>6894.89</v>
      </c>
      <c r="O460" s="75">
        <v>11</v>
      </c>
      <c r="P460" s="54">
        <v>1046.7900000000002</v>
      </c>
      <c r="Q460" s="54">
        <v>44.89</v>
      </c>
      <c r="R460" s="53">
        <f t="shared" si="23"/>
        <v>592.5</v>
      </c>
      <c r="S460" s="51">
        <v>6001.9</v>
      </c>
    </row>
    <row r="461" spans="1:19" ht="15" x14ac:dyDescent="0.25">
      <c r="A461" s="28"/>
      <c r="B461" s="45" t="str">
        <f t="shared" si="21"/>
        <v>Feb-2024</v>
      </c>
      <c r="C461" s="57">
        <v>45351</v>
      </c>
      <c r="D461" s="43">
        <f t="shared" si="22"/>
        <v>761</v>
      </c>
      <c r="E461" s="76">
        <v>6</v>
      </c>
      <c r="F461" s="50">
        <v>9</v>
      </c>
      <c r="G461" s="49">
        <v>4700</v>
      </c>
      <c r="H461" s="73">
        <v>9</v>
      </c>
      <c r="I461" s="52">
        <v>9</v>
      </c>
      <c r="J461" s="51">
        <v>2400.2399999999998</v>
      </c>
      <c r="K461" s="52"/>
      <c r="L461" s="51"/>
      <c r="M461" s="52">
        <v>8</v>
      </c>
      <c r="N461" s="49">
        <v>2709.92</v>
      </c>
      <c r="O461" s="75">
        <v>8</v>
      </c>
      <c r="P461" s="54">
        <v>410.15999999999997</v>
      </c>
      <c r="Q461" s="54">
        <v>9.92</v>
      </c>
      <c r="R461" s="53">
        <f t="shared" si="23"/>
        <v>235</v>
      </c>
      <c r="S461" s="51">
        <v>2400.2399999999998</v>
      </c>
    </row>
    <row r="462" spans="1:19" ht="15" x14ac:dyDescent="0.25">
      <c r="A462" s="28"/>
      <c r="B462" s="45" t="str">
        <f t="shared" si="21"/>
        <v>Mar-2024</v>
      </c>
      <c r="C462" s="57">
        <v>45352</v>
      </c>
      <c r="D462" s="43">
        <f t="shared" si="22"/>
        <v>760</v>
      </c>
      <c r="E462" s="76">
        <v>5</v>
      </c>
      <c r="F462" s="50">
        <v>10</v>
      </c>
      <c r="G462" s="49">
        <v>7170</v>
      </c>
      <c r="H462" s="73">
        <v>10</v>
      </c>
      <c r="I462" s="52">
        <v>10</v>
      </c>
      <c r="J462" s="51">
        <v>2999.6499999999996</v>
      </c>
      <c r="K462" s="52"/>
      <c r="L462" s="51"/>
      <c r="M462" s="52">
        <v>6</v>
      </c>
      <c r="N462" s="49">
        <v>4707.82</v>
      </c>
      <c r="O462" s="75">
        <v>5</v>
      </c>
      <c r="P462" s="54">
        <v>537.47</v>
      </c>
      <c r="Q462" s="54">
        <v>37.82</v>
      </c>
      <c r="R462" s="53">
        <f t="shared" si="23"/>
        <v>358.5</v>
      </c>
      <c r="S462" s="51">
        <v>2999.6499999999996</v>
      </c>
    </row>
    <row r="463" spans="1:19" ht="15" x14ac:dyDescent="0.25">
      <c r="A463" s="28"/>
      <c r="B463" s="45" t="str">
        <f t="shared" si="21"/>
        <v>Mar-2024</v>
      </c>
      <c r="C463" s="57">
        <v>45353</v>
      </c>
      <c r="D463" s="43">
        <f t="shared" si="22"/>
        <v>759</v>
      </c>
      <c r="E463" s="76">
        <v>6</v>
      </c>
      <c r="F463" s="50">
        <v>13</v>
      </c>
      <c r="G463" s="49">
        <v>11450</v>
      </c>
      <c r="H463" s="73">
        <v>13</v>
      </c>
      <c r="I463" s="52">
        <v>13</v>
      </c>
      <c r="J463" s="51">
        <v>3040.3999999999996</v>
      </c>
      <c r="K463" s="52"/>
      <c r="L463" s="51"/>
      <c r="M463" s="52">
        <v>10</v>
      </c>
      <c r="N463" s="49">
        <v>9234.41</v>
      </c>
      <c r="O463" s="75">
        <v>10</v>
      </c>
      <c r="P463" s="54">
        <v>824.80999999999972</v>
      </c>
      <c r="Q463" s="54">
        <v>318.85999999999996</v>
      </c>
      <c r="R463" s="53">
        <f t="shared" si="23"/>
        <v>572.5</v>
      </c>
      <c r="S463" s="51">
        <v>3040.3999999999996</v>
      </c>
    </row>
    <row r="464" spans="1:19" ht="15" x14ac:dyDescent="0.25">
      <c r="A464" s="28"/>
      <c r="B464" s="45" t="str">
        <f t="shared" si="21"/>
        <v>Mar-2024</v>
      </c>
      <c r="C464" s="57">
        <v>45354</v>
      </c>
      <c r="D464" s="43">
        <f t="shared" si="22"/>
        <v>758</v>
      </c>
      <c r="E464" s="76">
        <v>2</v>
      </c>
      <c r="F464" s="50">
        <v>9</v>
      </c>
      <c r="G464" s="49">
        <v>5300</v>
      </c>
      <c r="H464" s="73">
        <v>9</v>
      </c>
      <c r="I464" s="52">
        <v>9</v>
      </c>
      <c r="J464" s="51">
        <v>3633.17</v>
      </c>
      <c r="K464" s="52"/>
      <c r="L464" s="51"/>
      <c r="M464" s="52">
        <v>5</v>
      </c>
      <c r="N464" s="49">
        <v>2284.3200000000002</v>
      </c>
      <c r="O464" s="75">
        <v>4</v>
      </c>
      <c r="P464" s="54">
        <v>617.49</v>
      </c>
      <c r="Q464" s="54">
        <v>14.7</v>
      </c>
      <c r="R464" s="53">
        <f t="shared" si="23"/>
        <v>265</v>
      </c>
      <c r="S464" s="51">
        <v>3633.17</v>
      </c>
    </row>
    <row r="465" spans="1:19" ht="15" x14ac:dyDescent="0.25">
      <c r="A465" s="28"/>
      <c r="B465" s="45" t="str">
        <f t="shared" si="21"/>
        <v>Mar-2024</v>
      </c>
      <c r="C465" s="57">
        <v>45355</v>
      </c>
      <c r="D465" s="43">
        <f t="shared" si="22"/>
        <v>757</v>
      </c>
      <c r="E465" s="76">
        <v>5</v>
      </c>
      <c r="F465" s="50">
        <v>22</v>
      </c>
      <c r="G465" s="49">
        <v>18900</v>
      </c>
      <c r="H465" s="73">
        <v>22</v>
      </c>
      <c r="I465" s="52">
        <v>22</v>
      </c>
      <c r="J465" s="51">
        <v>6714.83</v>
      </c>
      <c r="K465" s="52"/>
      <c r="L465" s="51"/>
      <c r="M465" s="52">
        <v>24</v>
      </c>
      <c r="N465" s="49">
        <v>13379.96</v>
      </c>
      <c r="O465" s="75">
        <v>21</v>
      </c>
      <c r="P465" s="54">
        <v>1194.7900000000002</v>
      </c>
      <c r="Q465" s="54">
        <v>79.960000000000008</v>
      </c>
      <c r="R465" s="53">
        <f t="shared" si="23"/>
        <v>945</v>
      </c>
      <c r="S465" s="51">
        <v>6714.83</v>
      </c>
    </row>
    <row r="466" spans="1:19" ht="15" x14ac:dyDescent="0.25">
      <c r="A466" s="28"/>
      <c r="B466" s="45" t="str">
        <f t="shared" si="21"/>
        <v>Mar-2024</v>
      </c>
      <c r="C466" s="57">
        <v>45356</v>
      </c>
      <c r="D466" s="43">
        <f t="shared" si="22"/>
        <v>756</v>
      </c>
      <c r="E466" s="76">
        <v>6</v>
      </c>
      <c r="F466" s="50">
        <v>13</v>
      </c>
      <c r="G466" s="49">
        <v>13010</v>
      </c>
      <c r="H466" s="73">
        <v>13</v>
      </c>
      <c r="I466" s="52">
        <v>13</v>
      </c>
      <c r="J466" s="51">
        <v>2731.33</v>
      </c>
      <c r="K466" s="52"/>
      <c r="L466" s="51"/>
      <c r="M466" s="52">
        <v>9</v>
      </c>
      <c r="N466" s="49">
        <v>10780.58</v>
      </c>
      <c r="O466" s="75">
        <v>9</v>
      </c>
      <c r="P466" s="54">
        <v>501.90999999999997</v>
      </c>
      <c r="Q466" s="54">
        <v>50.58</v>
      </c>
      <c r="R466" s="53">
        <f t="shared" si="23"/>
        <v>650.5</v>
      </c>
      <c r="S466" s="51">
        <v>2731.33</v>
      </c>
    </row>
    <row r="467" spans="1:19" ht="15" x14ac:dyDescent="0.25">
      <c r="A467" s="28"/>
      <c r="B467" s="45" t="str">
        <f t="shared" si="21"/>
        <v>Mar-2024</v>
      </c>
      <c r="C467" s="57">
        <v>45357</v>
      </c>
      <c r="D467" s="43">
        <f t="shared" si="22"/>
        <v>755</v>
      </c>
      <c r="E467" s="76">
        <v>4</v>
      </c>
      <c r="F467" s="50">
        <v>13</v>
      </c>
      <c r="G467" s="49">
        <v>9060</v>
      </c>
      <c r="H467" s="73">
        <v>13</v>
      </c>
      <c r="I467" s="52">
        <v>13</v>
      </c>
      <c r="J467" s="51">
        <v>3042.8099999999995</v>
      </c>
      <c r="K467" s="52"/>
      <c r="L467" s="51"/>
      <c r="M467" s="52">
        <v>16</v>
      </c>
      <c r="N467" s="49">
        <v>6583.82</v>
      </c>
      <c r="O467" s="75">
        <v>11</v>
      </c>
      <c r="P467" s="54">
        <v>566.62999999999988</v>
      </c>
      <c r="Q467" s="54">
        <v>64.27</v>
      </c>
      <c r="R467" s="53">
        <f t="shared" si="23"/>
        <v>453</v>
      </c>
      <c r="S467" s="51">
        <v>3042.8099999999995</v>
      </c>
    </row>
    <row r="468" spans="1:19" ht="15" x14ac:dyDescent="0.25">
      <c r="A468" s="28"/>
      <c r="B468" s="45" t="str">
        <f t="shared" si="21"/>
        <v>Mar-2024</v>
      </c>
      <c r="C468" s="57">
        <v>45358</v>
      </c>
      <c r="D468" s="43">
        <f t="shared" si="22"/>
        <v>754</v>
      </c>
      <c r="E468" s="76">
        <v>8</v>
      </c>
      <c r="F468" s="50">
        <v>12</v>
      </c>
      <c r="G468" s="49">
        <v>8900</v>
      </c>
      <c r="H468" s="73">
        <v>11</v>
      </c>
      <c r="I468" s="52">
        <v>12</v>
      </c>
      <c r="J468" s="51">
        <v>2396.6</v>
      </c>
      <c r="K468" s="52">
        <v>1</v>
      </c>
      <c r="L468" s="51">
        <v>500.11</v>
      </c>
      <c r="M468" s="52">
        <v>9</v>
      </c>
      <c r="N468" s="49">
        <v>6933.2</v>
      </c>
      <c r="O468" s="75">
        <v>8</v>
      </c>
      <c r="P468" s="54">
        <v>429.8</v>
      </c>
      <c r="Q468" s="54">
        <v>33.200000000000003</v>
      </c>
      <c r="R468" s="53">
        <f t="shared" si="23"/>
        <v>445</v>
      </c>
      <c r="S468" s="51">
        <v>2396.6</v>
      </c>
    </row>
    <row r="469" spans="1:19" ht="15" x14ac:dyDescent="0.25">
      <c r="A469" s="28"/>
      <c r="B469" s="45" t="str">
        <f t="shared" si="21"/>
        <v>Mar-2024</v>
      </c>
      <c r="C469" s="57">
        <v>45359</v>
      </c>
      <c r="D469" s="43">
        <f t="shared" si="22"/>
        <v>753</v>
      </c>
      <c r="E469" s="76">
        <v>4</v>
      </c>
      <c r="F469" s="50">
        <v>8</v>
      </c>
      <c r="G469" s="49">
        <v>4200</v>
      </c>
      <c r="H469" s="73">
        <v>8</v>
      </c>
      <c r="I469" s="52">
        <v>7</v>
      </c>
      <c r="J469" s="51">
        <v>1230.78</v>
      </c>
      <c r="K469" s="52">
        <v>1</v>
      </c>
      <c r="L469" s="51">
        <v>475</v>
      </c>
      <c r="M469" s="52">
        <v>5</v>
      </c>
      <c r="N469" s="49">
        <v>3187.62</v>
      </c>
      <c r="O469" s="75">
        <v>5</v>
      </c>
      <c r="P469" s="54">
        <v>218.39999999999998</v>
      </c>
      <c r="Q469" s="54">
        <v>12.73</v>
      </c>
      <c r="R469" s="53">
        <f t="shared" si="23"/>
        <v>210</v>
      </c>
      <c r="S469" s="51">
        <v>1230.78</v>
      </c>
    </row>
    <row r="470" spans="1:19" ht="15" x14ac:dyDescent="0.25">
      <c r="A470" s="28"/>
      <c r="B470" s="45" t="str">
        <f t="shared" si="21"/>
        <v>Mar-2024</v>
      </c>
      <c r="C470" s="57">
        <v>45360</v>
      </c>
      <c r="D470" s="43">
        <f t="shared" si="22"/>
        <v>752</v>
      </c>
      <c r="E470" s="76">
        <v>2</v>
      </c>
      <c r="F470" s="50">
        <v>12</v>
      </c>
      <c r="G470" s="49">
        <v>11960</v>
      </c>
      <c r="H470" s="73">
        <v>12</v>
      </c>
      <c r="I470" s="52">
        <v>12</v>
      </c>
      <c r="J470" s="51">
        <v>1857.95</v>
      </c>
      <c r="K470" s="52"/>
      <c r="L470" s="51"/>
      <c r="M470" s="52">
        <v>11</v>
      </c>
      <c r="N470" s="49">
        <v>10450.66</v>
      </c>
      <c r="O470" s="75">
        <v>11</v>
      </c>
      <c r="P470" s="54">
        <v>348.60999999999996</v>
      </c>
      <c r="Q470" s="54">
        <v>44.480000000000004</v>
      </c>
      <c r="R470" s="53">
        <f t="shared" si="23"/>
        <v>598</v>
      </c>
      <c r="S470" s="51">
        <v>1857.95</v>
      </c>
    </row>
    <row r="471" spans="1:19" ht="15" x14ac:dyDescent="0.25">
      <c r="A471" s="28"/>
      <c r="B471" s="45" t="str">
        <f t="shared" si="21"/>
        <v>Mar-2024</v>
      </c>
      <c r="C471" s="57">
        <v>45361</v>
      </c>
      <c r="D471" s="43">
        <f t="shared" si="22"/>
        <v>751</v>
      </c>
      <c r="E471" s="76">
        <v>8</v>
      </c>
      <c r="F471" s="50">
        <v>15</v>
      </c>
      <c r="G471" s="49">
        <v>12500</v>
      </c>
      <c r="H471" s="73">
        <v>15</v>
      </c>
      <c r="I471" s="52">
        <v>15</v>
      </c>
      <c r="J471" s="51">
        <v>2993.8</v>
      </c>
      <c r="K471" s="52"/>
      <c r="L471" s="51"/>
      <c r="M471" s="52">
        <v>12</v>
      </c>
      <c r="N471" s="49">
        <v>10064.709999999999</v>
      </c>
      <c r="O471" s="75">
        <v>11</v>
      </c>
      <c r="P471" s="54">
        <v>558.50999999999988</v>
      </c>
      <c r="Q471" s="54">
        <v>64.709999999999994</v>
      </c>
      <c r="R471" s="53">
        <f t="shared" si="23"/>
        <v>625</v>
      </c>
      <c r="S471" s="51">
        <v>2993.8</v>
      </c>
    </row>
    <row r="472" spans="1:19" ht="15" x14ac:dyDescent="0.25">
      <c r="A472" s="28"/>
      <c r="B472" s="45" t="str">
        <f t="shared" si="21"/>
        <v>Mar-2024</v>
      </c>
      <c r="C472" s="57">
        <v>45362</v>
      </c>
      <c r="D472" s="43">
        <f t="shared" si="22"/>
        <v>750</v>
      </c>
      <c r="E472" s="76">
        <v>5</v>
      </c>
      <c r="F472" s="50">
        <v>9</v>
      </c>
      <c r="G472" s="49">
        <v>6010</v>
      </c>
      <c r="H472" s="73">
        <v>9</v>
      </c>
      <c r="I472" s="52">
        <v>9</v>
      </c>
      <c r="J472" s="51">
        <v>2156.62</v>
      </c>
      <c r="K472" s="52">
        <v>1</v>
      </c>
      <c r="L472" s="51">
        <v>160.04</v>
      </c>
      <c r="M472" s="52">
        <v>6</v>
      </c>
      <c r="N472" s="49">
        <v>4225.71</v>
      </c>
      <c r="O472" s="75">
        <v>6</v>
      </c>
      <c r="P472" s="54">
        <v>372.33000000000004</v>
      </c>
      <c r="Q472" s="54">
        <v>15.709999999999999</v>
      </c>
      <c r="R472" s="53">
        <f t="shared" si="23"/>
        <v>300.5</v>
      </c>
      <c r="S472" s="51">
        <v>2156.62</v>
      </c>
    </row>
    <row r="473" spans="1:19" ht="15" x14ac:dyDescent="0.25">
      <c r="A473" s="28"/>
      <c r="B473" s="45" t="str">
        <f t="shared" si="21"/>
        <v>Mar-2024</v>
      </c>
      <c r="C473" s="57">
        <v>45363</v>
      </c>
      <c r="D473" s="43">
        <f t="shared" si="22"/>
        <v>749</v>
      </c>
      <c r="E473" s="76">
        <v>6</v>
      </c>
      <c r="F473" s="50">
        <v>18</v>
      </c>
      <c r="G473" s="49">
        <v>11120</v>
      </c>
      <c r="H473" s="73">
        <v>17</v>
      </c>
      <c r="I473" s="52">
        <v>18</v>
      </c>
      <c r="J473" s="51">
        <v>5148.87</v>
      </c>
      <c r="K473" s="52">
        <v>2</v>
      </c>
      <c r="L473" s="51">
        <v>140.03</v>
      </c>
      <c r="M473" s="52">
        <v>16</v>
      </c>
      <c r="N473" s="49">
        <v>6849.07</v>
      </c>
      <c r="O473" s="75">
        <v>12</v>
      </c>
      <c r="P473" s="54">
        <v>877.93999999999994</v>
      </c>
      <c r="Q473" s="54">
        <v>29.290000000000003</v>
      </c>
      <c r="R473" s="53">
        <f t="shared" si="23"/>
        <v>556</v>
      </c>
      <c r="S473" s="51">
        <v>5148.87</v>
      </c>
    </row>
    <row r="474" spans="1:19" ht="15" x14ac:dyDescent="0.25">
      <c r="A474" s="28"/>
      <c r="B474" s="45" t="str">
        <f t="shared" si="21"/>
        <v>Mar-2024</v>
      </c>
      <c r="C474" s="57">
        <v>45364</v>
      </c>
      <c r="D474" s="43">
        <f t="shared" si="22"/>
        <v>748</v>
      </c>
      <c r="E474" s="76">
        <v>3</v>
      </c>
      <c r="F474" s="50">
        <v>7</v>
      </c>
      <c r="G474" s="49">
        <v>6800</v>
      </c>
      <c r="H474" s="73">
        <v>7</v>
      </c>
      <c r="I474" s="52">
        <v>7</v>
      </c>
      <c r="J474" s="51">
        <v>1434.54</v>
      </c>
      <c r="K474" s="52"/>
      <c r="L474" s="51"/>
      <c r="M474" s="52">
        <v>7</v>
      </c>
      <c r="N474" s="49">
        <v>5626.57</v>
      </c>
      <c r="O474" s="75">
        <v>7</v>
      </c>
      <c r="P474" s="54">
        <v>261.10999999999996</v>
      </c>
      <c r="Q474" s="54">
        <v>26.57</v>
      </c>
      <c r="R474" s="53">
        <f t="shared" si="23"/>
        <v>340</v>
      </c>
      <c r="S474" s="51">
        <v>1434.54</v>
      </c>
    </row>
    <row r="475" spans="1:19" ht="15" x14ac:dyDescent="0.25">
      <c r="A475" s="28"/>
      <c r="B475" s="45" t="str">
        <f t="shared" si="21"/>
        <v>Mar-2024</v>
      </c>
      <c r="C475" s="57">
        <v>45365</v>
      </c>
      <c r="D475" s="43">
        <f t="shared" si="22"/>
        <v>747</v>
      </c>
      <c r="E475" s="76">
        <v>2</v>
      </c>
      <c r="F475" s="50">
        <v>10</v>
      </c>
      <c r="G475" s="49">
        <v>7170</v>
      </c>
      <c r="H475" s="73">
        <v>10</v>
      </c>
      <c r="I475" s="52">
        <v>10</v>
      </c>
      <c r="J475" s="51">
        <v>1158.9000000000001</v>
      </c>
      <c r="K475" s="52"/>
      <c r="L475" s="51"/>
      <c r="M475" s="52">
        <v>11</v>
      </c>
      <c r="N475" s="49">
        <v>6256.18</v>
      </c>
      <c r="O475" s="75">
        <v>10</v>
      </c>
      <c r="P475" s="54">
        <v>245.08000000000004</v>
      </c>
      <c r="Q475" s="54">
        <v>56.18</v>
      </c>
      <c r="R475" s="53">
        <f t="shared" si="23"/>
        <v>358.5</v>
      </c>
      <c r="S475" s="51">
        <v>1158.9000000000001</v>
      </c>
    </row>
    <row r="476" spans="1:19" ht="15" x14ac:dyDescent="0.25">
      <c r="A476" s="28"/>
      <c r="B476" s="45" t="str">
        <f t="shared" si="21"/>
        <v>Mar-2024</v>
      </c>
      <c r="C476" s="57">
        <v>45366</v>
      </c>
      <c r="D476" s="43">
        <f t="shared" si="22"/>
        <v>746</v>
      </c>
      <c r="E476" s="76">
        <v>3</v>
      </c>
      <c r="F476" s="50">
        <v>9</v>
      </c>
      <c r="G476" s="49">
        <v>6000</v>
      </c>
      <c r="H476" s="73">
        <v>9</v>
      </c>
      <c r="I476" s="52">
        <v>9</v>
      </c>
      <c r="J476" s="51">
        <v>2940.55</v>
      </c>
      <c r="K476" s="52"/>
      <c r="L476" s="51"/>
      <c r="M476" s="52">
        <v>6</v>
      </c>
      <c r="N476" s="49">
        <v>3570.25</v>
      </c>
      <c r="O476" s="75">
        <v>6</v>
      </c>
      <c r="P476" s="54">
        <v>510.8</v>
      </c>
      <c r="Q476" s="54">
        <v>61.16</v>
      </c>
      <c r="R476" s="53">
        <f t="shared" si="23"/>
        <v>300</v>
      </c>
      <c r="S476" s="51">
        <v>2940.55</v>
      </c>
    </row>
    <row r="477" spans="1:19" ht="15" x14ac:dyDescent="0.25">
      <c r="A477" s="28"/>
      <c r="B477" s="45" t="str">
        <f t="shared" si="21"/>
        <v>Mar-2024</v>
      </c>
      <c r="C477" s="57">
        <v>45367</v>
      </c>
      <c r="D477" s="43">
        <f t="shared" si="22"/>
        <v>745</v>
      </c>
      <c r="E477" s="76">
        <v>4</v>
      </c>
      <c r="F477" s="50">
        <v>13</v>
      </c>
      <c r="G477" s="49">
        <v>9780</v>
      </c>
      <c r="H477" s="73">
        <v>13</v>
      </c>
      <c r="I477" s="52">
        <v>13</v>
      </c>
      <c r="J477" s="51">
        <v>1793.94</v>
      </c>
      <c r="K477" s="52"/>
      <c r="L477" s="51"/>
      <c r="M477" s="52">
        <v>16</v>
      </c>
      <c r="N477" s="49">
        <v>8380.44</v>
      </c>
      <c r="O477" s="75">
        <v>12</v>
      </c>
      <c r="P477" s="54">
        <v>394.37999999999988</v>
      </c>
      <c r="Q477" s="54">
        <v>100.44</v>
      </c>
      <c r="R477" s="53">
        <f t="shared" si="23"/>
        <v>489</v>
      </c>
      <c r="S477" s="51">
        <v>1793.94</v>
      </c>
    </row>
    <row r="478" spans="1:19" ht="15" x14ac:dyDescent="0.25">
      <c r="A478" s="28"/>
      <c r="B478" s="45" t="str">
        <f t="shared" si="21"/>
        <v>Mar-2024</v>
      </c>
      <c r="C478" s="57">
        <v>45368</v>
      </c>
      <c r="D478" s="43">
        <f t="shared" si="22"/>
        <v>744</v>
      </c>
      <c r="E478" s="76">
        <v>4</v>
      </c>
      <c r="F478" s="50">
        <v>12</v>
      </c>
      <c r="G478" s="49">
        <v>11950</v>
      </c>
      <c r="H478" s="73">
        <v>12</v>
      </c>
      <c r="I478" s="52">
        <v>12</v>
      </c>
      <c r="J478" s="51">
        <v>3226.85</v>
      </c>
      <c r="K478" s="52"/>
      <c r="L478" s="51"/>
      <c r="M478" s="52">
        <v>12</v>
      </c>
      <c r="N478" s="49">
        <v>9290.11</v>
      </c>
      <c r="O478" s="75">
        <v>10</v>
      </c>
      <c r="P478" s="54">
        <v>566.96</v>
      </c>
      <c r="Q478" s="54">
        <v>40.11</v>
      </c>
      <c r="R478" s="53">
        <f t="shared" si="23"/>
        <v>597.5</v>
      </c>
      <c r="S478" s="51">
        <v>3226.85</v>
      </c>
    </row>
    <row r="479" spans="1:19" ht="15" x14ac:dyDescent="0.25">
      <c r="A479" s="28"/>
      <c r="B479" s="45" t="str">
        <f t="shared" si="21"/>
        <v>Mar-2024</v>
      </c>
      <c r="C479" s="57">
        <v>45369</v>
      </c>
      <c r="D479" s="43">
        <f t="shared" si="22"/>
        <v>743</v>
      </c>
      <c r="E479" s="76">
        <v>3</v>
      </c>
      <c r="F479" s="50">
        <v>10</v>
      </c>
      <c r="G479" s="49">
        <v>10300</v>
      </c>
      <c r="H479" s="73">
        <v>10</v>
      </c>
      <c r="I479" s="52">
        <v>10</v>
      </c>
      <c r="J479" s="51">
        <v>1793.16</v>
      </c>
      <c r="K479" s="52"/>
      <c r="L479" s="51"/>
      <c r="M479" s="52">
        <v>10</v>
      </c>
      <c r="N479" s="49">
        <v>8836</v>
      </c>
      <c r="O479" s="75">
        <v>9</v>
      </c>
      <c r="P479" s="54">
        <v>329.16</v>
      </c>
      <c r="Q479" s="54">
        <v>36</v>
      </c>
      <c r="R479" s="53">
        <f t="shared" si="23"/>
        <v>515</v>
      </c>
      <c r="S479" s="51">
        <v>1793.16</v>
      </c>
    </row>
    <row r="480" spans="1:19" ht="15" x14ac:dyDescent="0.25">
      <c r="A480" s="28"/>
      <c r="B480" s="45" t="str">
        <f t="shared" si="21"/>
        <v>Mar-2024</v>
      </c>
      <c r="C480" s="57">
        <v>45370</v>
      </c>
      <c r="D480" s="43">
        <f t="shared" si="22"/>
        <v>742</v>
      </c>
      <c r="E480" s="76">
        <v>4</v>
      </c>
      <c r="F480" s="50">
        <v>10</v>
      </c>
      <c r="G480" s="49">
        <v>8866</v>
      </c>
      <c r="H480" s="73">
        <v>10</v>
      </c>
      <c r="I480" s="52">
        <v>10</v>
      </c>
      <c r="J480" s="51">
        <v>3219.4700000000003</v>
      </c>
      <c r="K480" s="52"/>
      <c r="L480" s="51"/>
      <c r="M480" s="52">
        <v>7</v>
      </c>
      <c r="N480" s="49">
        <v>6256.39</v>
      </c>
      <c r="O480" s="75">
        <v>7</v>
      </c>
      <c r="P480" s="54">
        <v>609.86</v>
      </c>
      <c r="Q480" s="54">
        <v>90.390000000000015</v>
      </c>
      <c r="R480" s="53">
        <f t="shared" si="23"/>
        <v>443.3</v>
      </c>
      <c r="S480" s="51">
        <v>3219.4700000000003</v>
      </c>
    </row>
    <row r="481" spans="1:19" ht="15" x14ac:dyDescent="0.25">
      <c r="A481" s="28"/>
      <c r="B481" s="45" t="str">
        <f t="shared" si="21"/>
        <v>Mar-2024</v>
      </c>
      <c r="C481" s="57">
        <v>45371</v>
      </c>
      <c r="D481" s="43">
        <f t="shared" si="22"/>
        <v>741</v>
      </c>
      <c r="E481" s="76">
        <v>2</v>
      </c>
      <c r="F481" s="50">
        <v>8</v>
      </c>
      <c r="G481" s="49">
        <v>7900</v>
      </c>
      <c r="H481" s="73">
        <v>8</v>
      </c>
      <c r="I481" s="52">
        <v>8</v>
      </c>
      <c r="J481" s="51">
        <v>597.46</v>
      </c>
      <c r="K481" s="52"/>
      <c r="L481" s="51"/>
      <c r="M481" s="52">
        <v>9</v>
      </c>
      <c r="N481" s="49">
        <v>7447.59</v>
      </c>
      <c r="O481" s="75">
        <v>8</v>
      </c>
      <c r="P481" s="54">
        <v>145.04999999999998</v>
      </c>
      <c r="Q481" s="54">
        <v>47.589999999999996</v>
      </c>
      <c r="R481" s="53">
        <f t="shared" si="23"/>
        <v>395</v>
      </c>
      <c r="S481" s="51">
        <v>597.46</v>
      </c>
    </row>
    <row r="482" spans="1:19" ht="15" x14ac:dyDescent="0.25">
      <c r="A482" s="28"/>
      <c r="B482" s="45" t="str">
        <f t="shared" si="21"/>
        <v>Mar-2024</v>
      </c>
      <c r="C482" s="57">
        <v>45372</v>
      </c>
      <c r="D482" s="43">
        <f t="shared" si="22"/>
        <v>740</v>
      </c>
      <c r="E482" s="76">
        <v>10</v>
      </c>
      <c r="F482" s="50">
        <v>13</v>
      </c>
      <c r="G482" s="49">
        <v>8250</v>
      </c>
      <c r="H482" s="73">
        <v>13</v>
      </c>
      <c r="I482" s="52">
        <v>13</v>
      </c>
      <c r="J482" s="51">
        <v>3622.91</v>
      </c>
      <c r="K482" s="52"/>
      <c r="L482" s="51"/>
      <c r="M482" s="52">
        <v>9</v>
      </c>
      <c r="N482" s="49">
        <v>5241.95</v>
      </c>
      <c r="O482" s="75">
        <v>9</v>
      </c>
      <c r="P482" s="54">
        <v>614.8599999999999</v>
      </c>
      <c r="Q482" s="54">
        <v>23.93</v>
      </c>
      <c r="R482" s="53">
        <f t="shared" si="23"/>
        <v>412.5</v>
      </c>
      <c r="S482" s="51">
        <v>3622.91</v>
      </c>
    </row>
    <row r="483" spans="1:19" ht="15" x14ac:dyDescent="0.25">
      <c r="A483" s="28"/>
      <c r="B483" s="45" t="str">
        <f t="shared" si="21"/>
        <v>Mar-2024</v>
      </c>
      <c r="C483" s="57">
        <v>45373</v>
      </c>
      <c r="D483" s="43">
        <f t="shared" si="22"/>
        <v>739</v>
      </c>
      <c r="E483" s="76">
        <v>3</v>
      </c>
      <c r="F483" s="50">
        <v>7</v>
      </c>
      <c r="G483" s="49">
        <v>5400</v>
      </c>
      <c r="H483" s="73">
        <v>7</v>
      </c>
      <c r="I483" s="52">
        <v>7</v>
      </c>
      <c r="J483" s="51">
        <v>1194.4000000000001</v>
      </c>
      <c r="K483" s="52"/>
      <c r="L483" s="51"/>
      <c r="M483" s="52">
        <v>6</v>
      </c>
      <c r="N483" s="49">
        <v>4482.0600000000004</v>
      </c>
      <c r="O483" s="75">
        <v>6</v>
      </c>
      <c r="P483" s="54">
        <v>276.46000000000004</v>
      </c>
      <c r="Q483" s="54">
        <v>82.06</v>
      </c>
      <c r="R483" s="53">
        <f t="shared" si="23"/>
        <v>270</v>
      </c>
      <c r="S483" s="51">
        <v>1194.4000000000001</v>
      </c>
    </row>
    <row r="484" spans="1:19" ht="15" x14ac:dyDescent="0.25">
      <c r="A484" s="28"/>
      <c r="B484" s="45" t="str">
        <f t="shared" si="21"/>
        <v>Mar-2024</v>
      </c>
      <c r="C484" s="57">
        <v>45374</v>
      </c>
      <c r="D484" s="43">
        <f t="shared" si="22"/>
        <v>738</v>
      </c>
      <c r="E484" s="76">
        <v>4</v>
      </c>
      <c r="F484" s="50">
        <v>11</v>
      </c>
      <c r="G484" s="49">
        <v>8698</v>
      </c>
      <c r="H484" s="73">
        <v>11</v>
      </c>
      <c r="I484" s="52">
        <v>11</v>
      </c>
      <c r="J484" s="51">
        <v>3967.53</v>
      </c>
      <c r="K484" s="52">
        <v>1</v>
      </c>
      <c r="L484" s="51">
        <v>500.11</v>
      </c>
      <c r="M484" s="52">
        <v>8</v>
      </c>
      <c r="N484" s="49">
        <v>5516.83</v>
      </c>
      <c r="O484" s="75">
        <v>8</v>
      </c>
      <c r="P484" s="54">
        <v>786.3599999999999</v>
      </c>
      <c r="Q484" s="54">
        <v>227.75</v>
      </c>
      <c r="R484" s="53">
        <f t="shared" si="23"/>
        <v>434.90000000000003</v>
      </c>
      <c r="S484" s="51">
        <v>3967.5300000000007</v>
      </c>
    </row>
    <row r="485" spans="1:19" ht="15" x14ac:dyDescent="0.25">
      <c r="A485" s="28"/>
      <c r="B485" s="45" t="str">
        <f t="shared" si="21"/>
        <v>Mar-2024</v>
      </c>
      <c r="C485" s="57">
        <v>45375</v>
      </c>
      <c r="D485" s="43">
        <f t="shared" si="22"/>
        <v>737</v>
      </c>
      <c r="E485" s="76">
        <v>6</v>
      </c>
      <c r="F485" s="50">
        <v>13</v>
      </c>
      <c r="G485" s="49">
        <v>8160</v>
      </c>
      <c r="H485" s="73">
        <v>13</v>
      </c>
      <c r="I485" s="52">
        <v>13</v>
      </c>
      <c r="J485" s="51">
        <v>4294.2000000000007</v>
      </c>
      <c r="K485" s="52">
        <v>1</v>
      </c>
      <c r="L485" s="51">
        <v>801.08</v>
      </c>
      <c r="M485" s="52">
        <v>8</v>
      </c>
      <c r="N485" s="49">
        <v>4587.3</v>
      </c>
      <c r="O485" s="75">
        <v>7</v>
      </c>
      <c r="P485" s="54">
        <v>721.49999999999977</v>
      </c>
      <c r="Q485" s="54">
        <v>22.07</v>
      </c>
      <c r="R485" s="53">
        <f t="shared" si="23"/>
        <v>408</v>
      </c>
      <c r="S485" s="51">
        <v>4294.2000000000007</v>
      </c>
    </row>
    <row r="486" spans="1:19" ht="15" x14ac:dyDescent="0.25">
      <c r="A486" s="28"/>
      <c r="B486" s="45" t="str">
        <f t="shared" si="21"/>
        <v>Mar-2024</v>
      </c>
      <c r="C486" s="57">
        <v>45376</v>
      </c>
      <c r="D486" s="43">
        <f t="shared" si="22"/>
        <v>736</v>
      </c>
      <c r="E486" s="76">
        <v>2</v>
      </c>
      <c r="F486" s="50">
        <v>9</v>
      </c>
      <c r="G486" s="49">
        <v>11350</v>
      </c>
      <c r="H486" s="73">
        <v>9</v>
      </c>
      <c r="I486" s="52">
        <v>9</v>
      </c>
      <c r="J486" s="51">
        <v>596.80999999999995</v>
      </c>
      <c r="K486" s="52"/>
      <c r="L486" s="51"/>
      <c r="M486" s="52">
        <v>16</v>
      </c>
      <c r="N486" s="49">
        <v>10912.86</v>
      </c>
      <c r="O486" s="75">
        <v>11</v>
      </c>
      <c r="P486" s="54">
        <v>159.66999999999999</v>
      </c>
      <c r="Q486" s="54">
        <v>62.86</v>
      </c>
      <c r="R486" s="53">
        <f t="shared" si="23"/>
        <v>567.5</v>
      </c>
      <c r="S486" s="51">
        <v>596.80999999999995</v>
      </c>
    </row>
    <row r="487" spans="1:19" ht="15" x14ac:dyDescent="0.25">
      <c r="A487" s="28"/>
      <c r="B487" s="45" t="str">
        <f t="shared" si="21"/>
        <v>Mar-2024</v>
      </c>
      <c r="C487" s="57">
        <v>45377</v>
      </c>
      <c r="D487" s="43">
        <f t="shared" si="22"/>
        <v>735</v>
      </c>
      <c r="E487" s="76">
        <v>10</v>
      </c>
      <c r="F487" s="50">
        <v>8</v>
      </c>
      <c r="G487" s="49">
        <v>7700</v>
      </c>
      <c r="H487" s="73">
        <v>8</v>
      </c>
      <c r="I487" s="52">
        <v>8</v>
      </c>
      <c r="J487" s="51">
        <v>1758.7199999999998</v>
      </c>
      <c r="K487" s="52"/>
      <c r="L487" s="51"/>
      <c r="M487" s="52">
        <v>6</v>
      </c>
      <c r="N487" s="49">
        <v>6256.53</v>
      </c>
      <c r="O487" s="75">
        <v>6</v>
      </c>
      <c r="P487" s="54">
        <v>315.25000000000006</v>
      </c>
      <c r="Q487" s="54">
        <v>34.07</v>
      </c>
      <c r="R487" s="53">
        <f t="shared" si="23"/>
        <v>385</v>
      </c>
      <c r="S487" s="51">
        <v>1758.7199999999998</v>
      </c>
    </row>
    <row r="488" spans="1:19" ht="15" x14ac:dyDescent="0.25">
      <c r="A488" s="28"/>
      <c r="B488" s="45" t="str">
        <f t="shared" si="21"/>
        <v>Mar-2024</v>
      </c>
      <c r="C488" s="57">
        <v>45378</v>
      </c>
      <c r="D488" s="43">
        <f t="shared" si="22"/>
        <v>734</v>
      </c>
      <c r="E488" s="76">
        <v>3</v>
      </c>
      <c r="F488" s="50">
        <v>14</v>
      </c>
      <c r="G488" s="49">
        <v>8500</v>
      </c>
      <c r="H488" s="73">
        <v>14</v>
      </c>
      <c r="I488" s="52">
        <v>14</v>
      </c>
      <c r="J488" s="51">
        <v>4412.95</v>
      </c>
      <c r="K488" s="52"/>
      <c r="L488" s="51"/>
      <c r="M488" s="52">
        <v>21</v>
      </c>
      <c r="N488" s="49">
        <v>4852.57</v>
      </c>
      <c r="O488" s="75">
        <v>19</v>
      </c>
      <c r="P488" s="54">
        <v>765.51999999999987</v>
      </c>
      <c r="Q488" s="54">
        <v>52.57</v>
      </c>
      <c r="R488" s="53">
        <f t="shared" si="23"/>
        <v>425</v>
      </c>
      <c r="S488" s="51">
        <v>4412.95</v>
      </c>
    </row>
    <row r="489" spans="1:19" ht="15" x14ac:dyDescent="0.25">
      <c r="A489" s="28"/>
      <c r="B489" s="45" t="str">
        <f t="shared" si="21"/>
        <v>Mar-2024</v>
      </c>
      <c r="C489" s="57">
        <v>45379</v>
      </c>
      <c r="D489" s="43">
        <f t="shared" si="22"/>
        <v>733</v>
      </c>
      <c r="E489" s="76">
        <v>11</v>
      </c>
      <c r="F489" s="50">
        <v>14</v>
      </c>
      <c r="G489" s="49">
        <v>10800</v>
      </c>
      <c r="H489" s="73">
        <v>14</v>
      </c>
      <c r="I489" s="52">
        <v>14</v>
      </c>
      <c r="J489" s="51">
        <v>672.45999999999992</v>
      </c>
      <c r="K489" s="52"/>
      <c r="L489" s="51"/>
      <c r="M489" s="52">
        <v>26</v>
      </c>
      <c r="N489" s="49">
        <v>10306.280000000001</v>
      </c>
      <c r="O489" s="75">
        <v>24</v>
      </c>
      <c r="P489" s="54">
        <v>178.74000000000004</v>
      </c>
      <c r="Q489" s="54">
        <v>68.419999999999987</v>
      </c>
      <c r="R489" s="53">
        <f t="shared" si="23"/>
        <v>540</v>
      </c>
      <c r="S489" s="51">
        <v>672.45999999999992</v>
      </c>
    </row>
    <row r="490" spans="1:19" ht="15" x14ac:dyDescent="0.25">
      <c r="A490" s="28"/>
      <c r="B490" s="45" t="str">
        <f t="shared" si="21"/>
        <v>Mar-2024</v>
      </c>
      <c r="C490" s="57">
        <v>45380</v>
      </c>
      <c r="D490" s="43">
        <f t="shared" si="22"/>
        <v>732</v>
      </c>
      <c r="E490" s="76">
        <v>4</v>
      </c>
      <c r="F490" s="50">
        <v>6</v>
      </c>
      <c r="G490" s="49">
        <v>3200</v>
      </c>
      <c r="H490" s="73">
        <v>6</v>
      </c>
      <c r="I490" s="52">
        <v>6</v>
      </c>
      <c r="J490" s="51">
        <v>75.78</v>
      </c>
      <c r="K490" s="52"/>
      <c r="L490" s="51"/>
      <c r="M490" s="52">
        <v>9</v>
      </c>
      <c r="N490" s="49">
        <v>3171.79</v>
      </c>
      <c r="O490" s="75">
        <v>8</v>
      </c>
      <c r="P490" s="54">
        <v>47.57</v>
      </c>
      <c r="Q490" s="54">
        <v>33.669999999999995</v>
      </c>
      <c r="R490" s="53">
        <f t="shared" si="23"/>
        <v>160</v>
      </c>
      <c r="S490" s="51">
        <v>75.78</v>
      </c>
    </row>
    <row r="491" spans="1:19" ht="15" x14ac:dyDescent="0.25">
      <c r="A491" s="28"/>
      <c r="B491" s="45" t="str">
        <f t="shared" si="21"/>
        <v>Mar-2024</v>
      </c>
      <c r="C491" s="57">
        <v>45381</v>
      </c>
      <c r="D491" s="43">
        <f t="shared" si="22"/>
        <v>731</v>
      </c>
      <c r="E491" s="76">
        <v>5</v>
      </c>
      <c r="F491" s="50">
        <v>8</v>
      </c>
      <c r="G491" s="49">
        <v>4500</v>
      </c>
      <c r="H491" s="73">
        <v>8</v>
      </c>
      <c r="I491" s="52">
        <v>8</v>
      </c>
      <c r="J491" s="51">
        <v>1881.85</v>
      </c>
      <c r="K491" s="52"/>
      <c r="L491" s="51"/>
      <c r="M491" s="52">
        <v>7</v>
      </c>
      <c r="N491" s="49">
        <v>2947.94</v>
      </c>
      <c r="O491" s="75">
        <v>7</v>
      </c>
      <c r="P491" s="54">
        <v>329.78999999999996</v>
      </c>
      <c r="Q491" s="54">
        <v>27.409999999999997</v>
      </c>
      <c r="R491" s="53">
        <f t="shared" si="23"/>
        <v>225</v>
      </c>
      <c r="S491" s="51">
        <v>1881.85</v>
      </c>
    </row>
    <row r="492" spans="1:19" ht="15" x14ac:dyDescent="0.25">
      <c r="A492" s="28"/>
      <c r="B492" s="45" t="str">
        <f t="shared" si="21"/>
        <v>Mar-2024</v>
      </c>
      <c r="C492" s="57">
        <v>45382</v>
      </c>
      <c r="D492" s="43">
        <f t="shared" si="22"/>
        <v>730</v>
      </c>
      <c r="E492" s="76">
        <v>6</v>
      </c>
      <c r="F492" s="50">
        <v>3</v>
      </c>
      <c r="G492" s="49">
        <v>2300</v>
      </c>
      <c r="H492" s="73">
        <v>3</v>
      </c>
      <c r="I492" s="52">
        <v>3</v>
      </c>
      <c r="J492" s="51">
        <v>0</v>
      </c>
      <c r="K492" s="52"/>
      <c r="L492" s="51"/>
      <c r="M492" s="52">
        <v>4</v>
      </c>
      <c r="N492" s="49">
        <v>2321.19</v>
      </c>
      <c r="O492" s="75">
        <v>4</v>
      </c>
      <c r="P492" s="54">
        <v>21.189999999999998</v>
      </c>
      <c r="Q492" s="54">
        <v>21.189999999999998</v>
      </c>
      <c r="R492" s="53">
        <f t="shared" si="23"/>
        <v>115</v>
      </c>
      <c r="S492" s="51"/>
    </row>
    <row r="493" spans="1:19" ht="15" x14ac:dyDescent="0.25">
      <c r="A493" s="28"/>
      <c r="B493" s="45" t="str">
        <f t="shared" si="21"/>
        <v>Apr-2024</v>
      </c>
      <c r="C493" s="57">
        <v>45383</v>
      </c>
      <c r="D493" s="43">
        <f t="shared" si="22"/>
        <v>729</v>
      </c>
      <c r="E493" s="76">
        <v>4</v>
      </c>
      <c r="F493" s="50">
        <v>9</v>
      </c>
      <c r="G493" s="49">
        <v>7000</v>
      </c>
      <c r="H493" s="73">
        <v>9</v>
      </c>
      <c r="I493" s="52">
        <v>9</v>
      </c>
      <c r="J493" s="51">
        <v>1267.1299999999999</v>
      </c>
      <c r="K493" s="52"/>
      <c r="L493" s="51"/>
      <c r="M493" s="52">
        <v>8</v>
      </c>
      <c r="N493" s="49">
        <v>5979.35</v>
      </c>
      <c r="O493" s="75">
        <v>8</v>
      </c>
      <c r="P493" s="54">
        <v>246.48000000000002</v>
      </c>
      <c r="Q493" s="54">
        <v>40.78</v>
      </c>
      <c r="R493" s="53">
        <f t="shared" si="23"/>
        <v>350</v>
      </c>
      <c r="S493" s="51">
        <v>1267.1299999999999</v>
      </c>
    </row>
    <row r="494" spans="1:19" ht="15" x14ac:dyDescent="0.25">
      <c r="A494" s="28"/>
      <c r="B494" s="45" t="str">
        <f t="shared" si="21"/>
        <v>Apr-2024</v>
      </c>
      <c r="C494" s="57">
        <v>45384</v>
      </c>
      <c r="D494" s="43">
        <f t="shared" si="22"/>
        <v>728</v>
      </c>
      <c r="E494" s="76">
        <v>3</v>
      </c>
      <c r="F494" s="50">
        <v>5</v>
      </c>
      <c r="G494" s="49">
        <v>3800</v>
      </c>
      <c r="H494" s="73">
        <v>5</v>
      </c>
      <c r="I494" s="52">
        <v>5</v>
      </c>
      <c r="J494" s="51">
        <v>112.10999999999999</v>
      </c>
      <c r="K494" s="52"/>
      <c r="L494" s="51"/>
      <c r="M494" s="52">
        <v>5</v>
      </c>
      <c r="N494" s="49">
        <v>3739.1</v>
      </c>
      <c r="O494" s="75">
        <v>5</v>
      </c>
      <c r="P494" s="54">
        <v>51.210000000000008</v>
      </c>
      <c r="Q494" s="54">
        <v>30.36</v>
      </c>
      <c r="R494" s="53">
        <f t="shared" si="23"/>
        <v>190</v>
      </c>
      <c r="S494" s="51">
        <v>112.10999999999999</v>
      </c>
    </row>
    <row r="495" spans="1:19" ht="15" x14ac:dyDescent="0.25">
      <c r="A495" s="28"/>
      <c r="B495" s="45" t="str">
        <f t="shared" si="21"/>
        <v>Apr-2024</v>
      </c>
      <c r="C495" s="57">
        <v>45385</v>
      </c>
      <c r="D495" s="43">
        <f t="shared" si="22"/>
        <v>727</v>
      </c>
      <c r="E495" s="76">
        <v>7</v>
      </c>
      <c r="F495" s="50">
        <v>25</v>
      </c>
      <c r="G495" s="49">
        <v>24300</v>
      </c>
      <c r="H495" s="73">
        <v>25</v>
      </c>
      <c r="I495" s="52">
        <v>25</v>
      </c>
      <c r="J495" s="51">
        <v>7371.6699999999992</v>
      </c>
      <c r="K495" s="52">
        <v>2</v>
      </c>
      <c r="L495" s="51">
        <v>1475.22</v>
      </c>
      <c r="M495" s="52">
        <v>17</v>
      </c>
      <c r="N495" s="49">
        <v>18208.61</v>
      </c>
      <c r="O495" s="75">
        <v>17</v>
      </c>
      <c r="P495" s="54">
        <v>1280.28</v>
      </c>
      <c r="Q495" s="54">
        <v>88.9</v>
      </c>
      <c r="R495" s="53">
        <f t="shared" si="23"/>
        <v>1215</v>
      </c>
      <c r="S495" s="51">
        <v>7371.67</v>
      </c>
    </row>
    <row r="496" spans="1:19" ht="15" x14ac:dyDescent="0.25">
      <c r="A496" s="28"/>
      <c r="B496" s="45" t="str">
        <f t="shared" si="21"/>
        <v>Apr-2024</v>
      </c>
      <c r="C496" s="57">
        <v>45386</v>
      </c>
      <c r="D496" s="43">
        <f t="shared" si="22"/>
        <v>726</v>
      </c>
      <c r="E496" s="76">
        <v>3</v>
      </c>
      <c r="F496" s="50">
        <v>13</v>
      </c>
      <c r="G496" s="49">
        <v>10300</v>
      </c>
      <c r="H496" s="73">
        <v>13</v>
      </c>
      <c r="I496" s="52">
        <v>13</v>
      </c>
      <c r="J496" s="51">
        <v>2382.04</v>
      </c>
      <c r="K496" s="52">
        <v>1</v>
      </c>
      <c r="L496" s="51">
        <v>500.11</v>
      </c>
      <c r="M496" s="52">
        <v>11</v>
      </c>
      <c r="N496" s="49">
        <v>8341.15</v>
      </c>
      <c r="O496" s="75">
        <v>11</v>
      </c>
      <c r="P496" s="54">
        <v>423.19000000000005</v>
      </c>
      <c r="Q496" s="54">
        <v>41.15</v>
      </c>
      <c r="R496" s="53">
        <f t="shared" si="23"/>
        <v>515</v>
      </c>
      <c r="S496" s="51">
        <v>2382.04</v>
      </c>
    </row>
    <row r="497" spans="1:19" ht="15" x14ac:dyDescent="0.25">
      <c r="A497" s="28"/>
      <c r="B497" s="45" t="str">
        <f t="shared" si="21"/>
        <v>Apr-2024</v>
      </c>
      <c r="C497" s="57">
        <v>45387</v>
      </c>
      <c r="D497" s="43">
        <f t="shared" si="22"/>
        <v>725</v>
      </c>
      <c r="E497" s="76">
        <v>4</v>
      </c>
      <c r="F497" s="50">
        <v>10</v>
      </c>
      <c r="G497" s="49">
        <v>9500</v>
      </c>
      <c r="H497" s="73">
        <v>10</v>
      </c>
      <c r="I497" s="52">
        <v>10</v>
      </c>
      <c r="J497" s="51">
        <v>2144.87</v>
      </c>
      <c r="K497" s="52"/>
      <c r="L497" s="51"/>
      <c r="M497" s="52">
        <v>11</v>
      </c>
      <c r="N497" s="49">
        <v>7769.15</v>
      </c>
      <c r="O497" s="75">
        <v>10</v>
      </c>
      <c r="P497" s="54">
        <v>414.02</v>
      </c>
      <c r="Q497" s="54">
        <v>69.150000000000006</v>
      </c>
      <c r="R497" s="53">
        <f t="shared" si="23"/>
        <v>475</v>
      </c>
      <c r="S497" s="51">
        <v>2144.87</v>
      </c>
    </row>
    <row r="498" spans="1:19" ht="15" x14ac:dyDescent="0.25">
      <c r="A498" s="28"/>
      <c r="B498" s="45" t="str">
        <f t="shared" si="21"/>
        <v>Apr-2024</v>
      </c>
      <c r="C498" s="57">
        <v>45388</v>
      </c>
      <c r="D498" s="43">
        <f t="shared" si="22"/>
        <v>724</v>
      </c>
      <c r="E498" s="76">
        <v>3</v>
      </c>
      <c r="F498" s="50">
        <v>11</v>
      </c>
      <c r="G498" s="49">
        <v>8860</v>
      </c>
      <c r="H498" s="73">
        <v>11</v>
      </c>
      <c r="I498" s="52">
        <v>11</v>
      </c>
      <c r="J498" s="51">
        <v>632.1</v>
      </c>
      <c r="K498" s="52"/>
      <c r="L498" s="51"/>
      <c r="M498" s="52">
        <v>12</v>
      </c>
      <c r="N498" s="49">
        <v>8461.8700000000008</v>
      </c>
      <c r="O498" s="75">
        <v>11</v>
      </c>
      <c r="P498" s="54">
        <v>233.97</v>
      </c>
      <c r="Q498" s="54">
        <v>131.77000000000001</v>
      </c>
      <c r="R498" s="53">
        <f t="shared" si="23"/>
        <v>443</v>
      </c>
      <c r="S498" s="51">
        <v>632.1</v>
      </c>
    </row>
    <row r="499" spans="1:19" ht="15" x14ac:dyDescent="0.25">
      <c r="A499" s="28"/>
      <c r="B499" s="45" t="str">
        <f t="shared" si="21"/>
        <v>Apr-2024</v>
      </c>
      <c r="C499" s="57">
        <v>45389</v>
      </c>
      <c r="D499" s="43">
        <f t="shared" si="22"/>
        <v>723</v>
      </c>
      <c r="E499" s="76">
        <v>4</v>
      </c>
      <c r="F499" s="50">
        <v>9</v>
      </c>
      <c r="G499" s="49">
        <v>6760</v>
      </c>
      <c r="H499" s="73">
        <v>9</v>
      </c>
      <c r="I499" s="52">
        <v>9</v>
      </c>
      <c r="J499" s="51">
        <v>5423.42</v>
      </c>
      <c r="K499" s="52"/>
      <c r="L499" s="51"/>
      <c r="M499" s="52">
        <v>2</v>
      </c>
      <c r="N499" s="49">
        <v>2210.42</v>
      </c>
      <c r="O499" s="75">
        <v>2</v>
      </c>
      <c r="P499" s="54">
        <v>873.84</v>
      </c>
      <c r="Q499" s="54">
        <v>10.42</v>
      </c>
      <c r="R499" s="53">
        <f t="shared" si="23"/>
        <v>338</v>
      </c>
      <c r="S499" s="51">
        <v>5423.4199999999992</v>
      </c>
    </row>
    <row r="500" spans="1:19" ht="15" x14ac:dyDescent="0.25">
      <c r="A500" s="28"/>
      <c r="B500" s="45" t="str">
        <f t="shared" si="21"/>
        <v>Apr-2024</v>
      </c>
      <c r="C500" s="57">
        <v>45390</v>
      </c>
      <c r="D500" s="43">
        <f t="shared" si="22"/>
        <v>722</v>
      </c>
      <c r="E500" s="76">
        <v>2</v>
      </c>
      <c r="F500" s="50">
        <v>5</v>
      </c>
      <c r="G500" s="49">
        <v>3300</v>
      </c>
      <c r="H500" s="73">
        <v>5</v>
      </c>
      <c r="I500" s="52">
        <v>5</v>
      </c>
      <c r="J500" s="51">
        <v>595.54</v>
      </c>
      <c r="K500" s="52"/>
      <c r="L500" s="51"/>
      <c r="M500" s="52">
        <v>4</v>
      </c>
      <c r="N500" s="49">
        <v>2815.28</v>
      </c>
      <c r="O500" s="75">
        <v>4</v>
      </c>
      <c r="P500" s="54">
        <v>110.82</v>
      </c>
      <c r="Q500" s="54">
        <v>15.830000000000002</v>
      </c>
      <c r="R500" s="53">
        <f t="shared" si="23"/>
        <v>165</v>
      </c>
      <c r="S500" s="51">
        <v>595.54</v>
      </c>
    </row>
    <row r="501" spans="1:19" ht="15" x14ac:dyDescent="0.25">
      <c r="A501" s="28"/>
      <c r="B501" s="45" t="str">
        <f t="shared" si="21"/>
        <v>Apr-2024</v>
      </c>
      <c r="C501" s="57">
        <v>45391</v>
      </c>
      <c r="D501" s="43">
        <f t="shared" si="22"/>
        <v>721</v>
      </c>
      <c r="E501" s="76">
        <v>3</v>
      </c>
      <c r="F501" s="50">
        <v>14</v>
      </c>
      <c r="G501" s="49">
        <v>9850</v>
      </c>
      <c r="H501" s="73">
        <v>14</v>
      </c>
      <c r="I501" s="52">
        <v>14</v>
      </c>
      <c r="J501" s="51">
        <v>3096.11</v>
      </c>
      <c r="K501" s="52">
        <v>1</v>
      </c>
      <c r="L501" s="51">
        <v>200.04</v>
      </c>
      <c r="M501" s="52">
        <v>11</v>
      </c>
      <c r="N501" s="49">
        <v>7308.61</v>
      </c>
      <c r="O501" s="75">
        <v>10</v>
      </c>
      <c r="P501" s="54">
        <v>554.7199999999998</v>
      </c>
      <c r="Q501" s="54">
        <v>58.609999999999992</v>
      </c>
      <c r="R501" s="53">
        <f t="shared" si="23"/>
        <v>492.5</v>
      </c>
      <c r="S501" s="51">
        <v>3096.1100000000006</v>
      </c>
    </row>
    <row r="502" spans="1:19" ht="15" x14ac:dyDescent="0.25">
      <c r="A502" s="28"/>
      <c r="B502" s="45" t="str">
        <f t="shared" si="21"/>
        <v>Apr-2024</v>
      </c>
      <c r="C502" s="57">
        <v>45392</v>
      </c>
      <c r="D502" s="43">
        <f t="shared" si="22"/>
        <v>720</v>
      </c>
      <c r="E502" s="76">
        <v>4</v>
      </c>
      <c r="F502" s="50">
        <v>10</v>
      </c>
      <c r="G502" s="49">
        <v>8300</v>
      </c>
      <c r="H502" s="73">
        <v>10</v>
      </c>
      <c r="I502" s="52">
        <v>10</v>
      </c>
      <c r="J502" s="51">
        <v>1755.19</v>
      </c>
      <c r="K502" s="52"/>
      <c r="L502" s="51"/>
      <c r="M502" s="52">
        <v>14</v>
      </c>
      <c r="N502" s="49">
        <v>6864.85</v>
      </c>
      <c r="O502" s="75">
        <v>13</v>
      </c>
      <c r="P502" s="54">
        <v>320.03999999999996</v>
      </c>
      <c r="Q502" s="54">
        <v>64.849999999999994</v>
      </c>
      <c r="R502" s="53">
        <f t="shared" si="23"/>
        <v>415</v>
      </c>
      <c r="S502" s="51">
        <v>1755.19</v>
      </c>
    </row>
    <row r="503" spans="1:19" ht="15" x14ac:dyDescent="0.25">
      <c r="A503" s="28"/>
      <c r="B503" s="45" t="str">
        <f t="shared" si="21"/>
        <v>Apr-2024</v>
      </c>
      <c r="C503" s="57">
        <v>45393</v>
      </c>
      <c r="D503" s="43">
        <f t="shared" si="22"/>
        <v>719</v>
      </c>
      <c r="E503" s="76">
        <v>2</v>
      </c>
      <c r="F503" s="50">
        <v>8</v>
      </c>
      <c r="G503" s="49">
        <v>7560</v>
      </c>
      <c r="H503" s="73">
        <v>8</v>
      </c>
      <c r="I503" s="52">
        <v>8</v>
      </c>
      <c r="J503" s="51">
        <v>594.6</v>
      </c>
      <c r="K503" s="52"/>
      <c r="L503" s="51"/>
      <c r="M503" s="52">
        <v>7</v>
      </c>
      <c r="N503" s="49">
        <v>7140.24</v>
      </c>
      <c r="O503" s="75">
        <v>7</v>
      </c>
      <c r="P503" s="54">
        <v>174.84</v>
      </c>
      <c r="Q503" s="54">
        <v>80.239999999999995</v>
      </c>
      <c r="R503" s="53">
        <f t="shared" si="23"/>
        <v>378</v>
      </c>
      <c r="S503" s="51">
        <v>594.6</v>
      </c>
    </row>
    <row r="504" spans="1:19" ht="15" x14ac:dyDescent="0.25">
      <c r="A504" s="28"/>
      <c r="B504" s="45" t="str">
        <f t="shared" si="21"/>
        <v>Apr-2024</v>
      </c>
      <c r="C504" s="57">
        <v>45394</v>
      </c>
      <c r="D504" s="43">
        <f t="shared" si="22"/>
        <v>718</v>
      </c>
      <c r="E504" s="76">
        <v>9</v>
      </c>
      <c r="F504" s="50">
        <v>18</v>
      </c>
      <c r="G504" s="49">
        <v>10200</v>
      </c>
      <c r="H504" s="73">
        <v>18</v>
      </c>
      <c r="I504" s="52">
        <v>18</v>
      </c>
      <c r="J504" s="51">
        <v>4813.0600000000013</v>
      </c>
      <c r="K504" s="52">
        <v>1</v>
      </c>
      <c r="L504" s="51">
        <v>50</v>
      </c>
      <c r="M504" s="52">
        <v>13</v>
      </c>
      <c r="N504" s="49">
        <v>6192.15</v>
      </c>
      <c r="O504" s="75">
        <v>12</v>
      </c>
      <c r="P504" s="54">
        <v>805.20999999999992</v>
      </c>
      <c r="Q504" s="54">
        <v>42.17</v>
      </c>
      <c r="R504" s="53">
        <f t="shared" si="23"/>
        <v>510</v>
      </c>
      <c r="S504" s="51">
        <v>4813.0600000000013</v>
      </c>
    </row>
    <row r="505" spans="1:19" ht="15" x14ac:dyDescent="0.25">
      <c r="A505" s="28"/>
      <c r="B505" s="45" t="str">
        <f t="shared" si="21"/>
        <v>Apr-2024</v>
      </c>
      <c r="C505" s="57">
        <v>45395</v>
      </c>
      <c r="D505" s="43">
        <f t="shared" si="22"/>
        <v>717</v>
      </c>
      <c r="E505" s="76">
        <v>5</v>
      </c>
      <c r="F505" s="50">
        <v>10</v>
      </c>
      <c r="G505" s="49">
        <v>5500</v>
      </c>
      <c r="H505" s="73">
        <v>10</v>
      </c>
      <c r="I505" s="52">
        <v>10</v>
      </c>
      <c r="J505" s="51">
        <v>1783.68</v>
      </c>
      <c r="K505" s="52"/>
      <c r="L505" s="51"/>
      <c r="M505" s="52">
        <v>11</v>
      </c>
      <c r="N505" s="49">
        <v>4099.04</v>
      </c>
      <c r="O505" s="75">
        <v>11</v>
      </c>
      <c r="P505" s="54">
        <v>382.72</v>
      </c>
      <c r="Q505" s="54">
        <v>99.699999999999989</v>
      </c>
      <c r="R505" s="53">
        <f t="shared" si="23"/>
        <v>275</v>
      </c>
      <c r="S505" s="51">
        <v>1783.6800000000003</v>
      </c>
    </row>
    <row r="506" spans="1:19" ht="15" x14ac:dyDescent="0.25">
      <c r="A506" s="28"/>
      <c r="B506" s="45" t="str">
        <f t="shared" si="21"/>
        <v>Apr-2024</v>
      </c>
      <c r="C506" s="57">
        <v>45396</v>
      </c>
      <c r="D506" s="43">
        <f t="shared" si="22"/>
        <v>716</v>
      </c>
      <c r="E506" s="76">
        <v>4</v>
      </c>
      <c r="F506" s="50">
        <v>11</v>
      </c>
      <c r="G506" s="49">
        <v>7350</v>
      </c>
      <c r="H506" s="73">
        <v>11</v>
      </c>
      <c r="I506" s="52">
        <v>11</v>
      </c>
      <c r="J506" s="51">
        <v>4413.5200000000004</v>
      </c>
      <c r="K506" s="52"/>
      <c r="L506" s="51"/>
      <c r="M506" s="52">
        <v>12</v>
      </c>
      <c r="N506" s="49">
        <v>3656.48</v>
      </c>
      <c r="O506" s="75">
        <v>10</v>
      </c>
      <c r="P506" s="54">
        <v>720</v>
      </c>
      <c r="Q506" s="54">
        <v>38.21</v>
      </c>
      <c r="R506" s="53">
        <f t="shared" si="23"/>
        <v>367.5</v>
      </c>
      <c r="S506" s="51">
        <v>4413.5200000000004</v>
      </c>
    </row>
    <row r="507" spans="1:19" ht="15" x14ac:dyDescent="0.25">
      <c r="A507" s="28"/>
      <c r="B507" s="45" t="str">
        <f t="shared" si="21"/>
        <v>Apr-2024</v>
      </c>
      <c r="C507" s="57">
        <v>45397</v>
      </c>
      <c r="D507" s="43">
        <f t="shared" si="22"/>
        <v>715</v>
      </c>
      <c r="F507" s="50">
        <v>4</v>
      </c>
      <c r="G507" s="49">
        <v>3400</v>
      </c>
      <c r="H507" s="73">
        <v>4</v>
      </c>
      <c r="I507" s="52">
        <v>4</v>
      </c>
      <c r="J507" s="51">
        <v>594.08000000000004</v>
      </c>
      <c r="K507" s="52"/>
      <c r="L507" s="51"/>
      <c r="M507" s="52">
        <v>3</v>
      </c>
      <c r="N507" s="49">
        <v>2925.96</v>
      </c>
      <c r="O507" s="75">
        <v>3</v>
      </c>
      <c r="P507" s="54">
        <v>120.03999999999999</v>
      </c>
      <c r="Q507" s="54">
        <v>25.959999999999997</v>
      </c>
      <c r="R507" s="53">
        <f t="shared" si="23"/>
        <v>170</v>
      </c>
      <c r="S507" s="51">
        <v>594.08000000000004</v>
      </c>
    </row>
    <row r="508" spans="1:19" ht="15" x14ac:dyDescent="0.25">
      <c r="A508" s="28"/>
      <c r="B508" s="45" t="str">
        <f t="shared" si="21"/>
        <v>Apr-2024</v>
      </c>
      <c r="C508" s="57">
        <v>45398</v>
      </c>
      <c r="D508" s="43">
        <f t="shared" si="22"/>
        <v>714</v>
      </c>
      <c r="E508" s="76">
        <v>6</v>
      </c>
      <c r="F508" s="50">
        <v>13</v>
      </c>
      <c r="G508" s="49">
        <v>9550</v>
      </c>
      <c r="H508" s="73">
        <v>13</v>
      </c>
      <c r="I508" s="52">
        <v>12</v>
      </c>
      <c r="J508" s="51">
        <v>2969.75</v>
      </c>
      <c r="K508" s="52"/>
      <c r="L508" s="51"/>
      <c r="M508" s="52">
        <v>8</v>
      </c>
      <c r="N508" s="49">
        <v>7079.11</v>
      </c>
      <c r="O508" s="75">
        <v>7</v>
      </c>
      <c r="P508" s="54">
        <v>498.86</v>
      </c>
      <c r="Q508" s="54">
        <v>29.11</v>
      </c>
      <c r="R508" s="53">
        <f t="shared" si="23"/>
        <v>477.5</v>
      </c>
      <c r="S508" s="51">
        <v>2969.75</v>
      </c>
    </row>
    <row r="509" spans="1:19" ht="15" x14ac:dyDescent="0.25">
      <c r="A509" s="28"/>
      <c r="B509" s="45" t="str">
        <f t="shared" si="21"/>
        <v>Apr-2024</v>
      </c>
      <c r="C509" s="57">
        <v>45399</v>
      </c>
      <c r="D509" s="43">
        <f t="shared" si="22"/>
        <v>713</v>
      </c>
      <c r="E509" s="76">
        <v>10</v>
      </c>
      <c r="F509" s="50">
        <v>13</v>
      </c>
      <c r="G509" s="49">
        <v>8100</v>
      </c>
      <c r="H509" s="73">
        <v>13</v>
      </c>
      <c r="I509" s="52">
        <v>13</v>
      </c>
      <c r="J509" s="51">
        <v>4192.1600000000008</v>
      </c>
      <c r="K509" s="52"/>
      <c r="L509" s="51"/>
      <c r="M509" s="52">
        <v>6</v>
      </c>
      <c r="N509" s="49">
        <v>4590.09</v>
      </c>
      <c r="O509" s="75">
        <v>6</v>
      </c>
      <c r="P509" s="54">
        <v>682.25000000000011</v>
      </c>
      <c r="Q509" s="54">
        <v>18.559999999999999</v>
      </c>
      <c r="R509" s="53">
        <f t="shared" si="23"/>
        <v>405</v>
      </c>
      <c r="S509" s="51">
        <v>4192.1600000000008</v>
      </c>
    </row>
    <row r="510" spans="1:19" ht="15" x14ac:dyDescent="0.25">
      <c r="A510" s="28"/>
      <c r="B510" s="45" t="str">
        <f t="shared" si="21"/>
        <v>Apr-2024</v>
      </c>
      <c r="C510" s="57">
        <v>45400</v>
      </c>
      <c r="D510" s="43">
        <f t="shared" si="22"/>
        <v>712</v>
      </c>
      <c r="E510" s="76">
        <v>6</v>
      </c>
      <c r="F510" s="50">
        <v>11</v>
      </c>
      <c r="G510" s="49">
        <v>9150</v>
      </c>
      <c r="H510" s="73">
        <v>11</v>
      </c>
      <c r="I510" s="52">
        <v>11</v>
      </c>
      <c r="J510" s="51">
        <v>3204.4500000000003</v>
      </c>
      <c r="K510" s="52"/>
      <c r="L510" s="51"/>
      <c r="M510" s="52">
        <v>8</v>
      </c>
      <c r="N510" s="49">
        <v>6470.49</v>
      </c>
      <c r="O510" s="75">
        <v>8</v>
      </c>
      <c r="P510" s="54">
        <v>524.94000000000005</v>
      </c>
      <c r="Q510" s="54">
        <v>20.490000000000002</v>
      </c>
      <c r="R510" s="53">
        <f t="shared" si="23"/>
        <v>457.5</v>
      </c>
      <c r="S510" s="51">
        <v>3204.4500000000003</v>
      </c>
    </row>
    <row r="511" spans="1:19" ht="15" x14ac:dyDescent="0.25">
      <c r="A511" s="28"/>
      <c r="B511" s="45" t="str">
        <f t="shared" si="21"/>
        <v>Apr-2024</v>
      </c>
      <c r="C511" s="57">
        <v>45401</v>
      </c>
      <c r="D511" s="43">
        <f t="shared" si="22"/>
        <v>711</v>
      </c>
      <c r="E511" s="76">
        <v>2</v>
      </c>
      <c r="F511" s="50">
        <v>15</v>
      </c>
      <c r="G511" s="49">
        <v>11010</v>
      </c>
      <c r="H511" s="73">
        <v>15</v>
      </c>
      <c r="I511" s="52">
        <v>15</v>
      </c>
      <c r="J511" s="51">
        <v>1780.6799999999998</v>
      </c>
      <c r="K511" s="52"/>
      <c r="L511" s="51"/>
      <c r="M511" s="52">
        <v>12</v>
      </c>
      <c r="N511" s="49">
        <v>9575.74</v>
      </c>
      <c r="O511" s="75">
        <v>12</v>
      </c>
      <c r="P511" s="54">
        <v>346.41999999999996</v>
      </c>
      <c r="Q511" s="54">
        <v>65.739999999999995</v>
      </c>
      <c r="R511" s="53">
        <f t="shared" si="23"/>
        <v>550.5</v>
      </c>
      <c r="S511" s="51">
        <v>1780.6799999999998</v>
      </c>
    </row>
    <row r="512" spans="1:19" ht="15" x14ac:dyDescent="0.25">
      <c r="A512" s="28"/>
      <c r="B512" s="45" t="str">
        <f t="shared" si="21"/>
        <v>Apr-2024</v>
      </c>
      <c r="C512" s="57">
        <v>45402</v>
      </c>
      <c r="D512" s="43">
        <f t="shared" si="22"/>
        <v>710</v>
      </c>
      <c r="E512" s="76">
        <v>2</v>
      </c>
      <c r="F512" s="50">
        <v>6</v>
      </c>
      <c r="G512" s="49">
        <v>6100</v>
      </c>
      <c r="H512" s="73">
        <v>6</v>
      </c>
      <c r="I512" s="52">
        <v>6</v>
      </c>
      <c r="J512" s="51">
        <v>1186.8599999999999</v>
      </c>
      <c r="K512" s="52"/>
      <c r="L512" s="51"/>
      <c r="M512" s="52">
        <v>4</v>
      </c>
      <c r="N512" s="49">
        <v>5126.0200000000004</v>
      </c>
      <c r="O512" s="75">
        <v>4</v>
      </c>
      <c r="P512" s="54">
        <v>212.88000000000002</v>
      </c>
      <c r="Q512" s="54">
        <v>26.019999999999996</v>
      </c>
      <c r="R512" s="53">
        <f t="shared" si="23"/>
        <v>305</v>
      </c>
      <c r="S512" s="51">
        <v>1186.8599999999999</v>
      </c>
    </row>
    <row r="513" spans="1:19" ht="15" x14ac:dyDescent="0.25">
      <c r="A513" s="28"/>
      <c r="B513" s="45" t="str">
        <f t="shared" si="21"/>
        <v>Apr-2024</v>
      </c>
      <c r="C513" s="57">
        <v>45403</v>
      </c>
      <c r="D513" s="43">
        <f t="shared" si="22"/>
        <v>709</v>
      </c>
      <c r="E513" s="76">
        <v>3</v>
      </c>
      <c r="F513" s="50">
        <v>10</v>
      </c>
      <c r="G513" s="49">
        <v>7210</v>
      </c>
      <c r="H513" s="73">
        <v>10</v>
      </c>
      <c r="I513" s="52">
        <v>10</v>
      </c>
      <c r="J513" s="51">
        <v>1779.8999999999999</v>
      </c>
      <c r="K513" s="52"/>
      <c r="L513" s="51"/>
      <c r="M513" s="52">
        <v>7</v>
      </c>
      <c r="N513" s="49">
        <v>5773.49</v>
      </c>
      <c r="O513" s="75">
        <v>7</v>
      </c>
      <c r="P513" s="54">
        <v>343.39</v>
      </c>
      <c r="Q513" s="54">
        <v>63.489999999999995</v>
      </c>
      <c r="R513" s="53">
        <f t="shared" si="23"/>
        <v>360.5</v>
      </c>
      <c r="S513" s="51">
        <v>1779.8999999999999</v>
      </c>
    </row>
    <row r="514" spans="1:19" ht="15" x14ac:dyDescent="0.25">
      <c r="A514" s="28"/>
      <c r="B514" s="45" t="str">
        <f t="shared" si="21"/>
        <v>Apr-2024</v>
      </c>
      <c r="C514" s="57">
        <v>45404</v>
      </c>
      <c r="D514" s="43">
        <f t="shared" si="22"/>
        <v>708</v>
      </c>
      <c r="E514" s="76">
        <v>2</v>
      </c>
      <c r="F514" s="50">
        <v>12</v>
      </c>
      <c r="G514" s="49">
        <v>11800</v>
      </c>
      <c r="H514" s="73">
        <v>12</v>
      </c>
      <c r="I514" s="52">
        <v>12</v>
      </c>
      <c r="J514" s="51">
        <v>593.16999999999996</v>
      </c>
      <c r="K514" s="52"/>
      <c r="L514" s="51"/>
      <c r="M514" s="52">
        <v>12</v>
      </c>
      <c r="N514" s="49">
        <v>11332.57</v>
      </c>
      <c r="O514" s="75">
        <v>12</v>
      </c>
      <c r="P514" s="54">
        <v>125.73999999999998</v>
      </c>
      <c r="Q514" s="54">
        <v>32.57</v>
      </c>
      <c r="R514" s="53">
        <f t="shared" si="23"/>
        <v>590</v>
      </c>
      <c r="S514" s="51">
        <v>593.16999999999996</v>
      </c>
    </row>
    <row r="515" spans="1:19" ht="15" x14ac:dyDescent="0.25">
      <c r="A515" s="28"/>
      <c r="B515" s="45" t="str">
        <f t="shared" si="21"/>
        <v>Apr-2024</v>
      </c>
      <c r="C515" s="57">
        <v>45405</v>
      </c>
      <c r="D515" s="43">
        <f t="shared" si="22"/>
        <v>707</v>
      </c>
      <c r="E515" s="76">
        <v>7</v>
      </c>
      <c r="F515" s="50">
        <v>14</v>
      </c>
      <c r="G515" s="49">
        <v>9300</v>
      </c>
      <c r="H515" s="73">
        <v>14</v>
      </c>
      <c r="I515" s="52">
        <v>14</v>
      </c>
      <c r="J515" s="51">
        <v>2372.16</v>
      </c>
      <c r="K515" s="52"/>
      <c r="L515" s="51"/>
      <c r="M515" s="52">
        <v>10</v>
      </c>
      <c r="N515" s="49">
        <v>7341.03</v>
      </c>
      <c r="O515" s="75">
        <v>10</v>
      </c>
      <c r="P515" s="54">
        <v>413.19</v>
      </c>
      <c r="Q515" s="54">
        <v>41.03</v>
      </c>
      <c r="R515" s="53">
        <f t="shared" si="23"/>
        <v>465</v>
      </c>
      <c r="S515" s="51">
        <v>2372.16</v>
      </c>
    </row>
    <row r="516" spans="1:19" ht="15" x14ac:dyDescent="0.25">
      <c r="A516" s="28"/>
      <c r="B516" s="45" t="str">
        <f t="shared" si="21"/>
        <v>Apr-2024</v>
      </c>
      <c r="C516" s="57">
        <v>45406</v>
      </c>
      <c r="D516" s="43">
        <f t="shared" si="22"/>
        <v>706</v>
      </c>
      <c r="E516" s="76">
        <v>9</v>
      </c>
      <c r="F516" s="50">
        <v>14</v>
      </c>
      <c r="G516" s="49">
        <v>12350</v>
      </c>
      <c r="H516" s="73">
        <v>14</v>
      </c>
      <c r="I516" s="52">
        <v>14</v>
      </c>
      <c r="J516" s="51">
        <v>5735.0699999999988</v>
      </c>
      <c r="K516" s="52"/>
      <c r="L516" s="51"/>
      <c r="M516" s="52">
        <v>10</v>
      </c>
      <c r="N516" s="49">
        <v>7549.31</v>
      </c>
      <c r="O516" s="75">
        <v>8</v>
      </c>
      <c r="P516" s="54">
        <v>934.38</v>
      </c>
      <c r="Q516" s="54">
        <v>58</v>
      </c>
      <c r="R516" s="53">
        <f t="shared" si="23"/>
        <v>617.5</v>
      </c>
      <c r="S516" s="51">
        <v>5735.0699999999988</v>
      </c>
    </row>
    <row r="517" spans="1:19" ht="15" x14ac:dyDescent="0.25">
      <c r="A517" s="28"/>
      <c r="B517" s="45" t="str">
        <f t="shared" si="21"/>
        <v>Apr-2024</v>
      </c>
      <c r="C517" s="57">
        <v>45407</v>
      </c>
      <c r="D517" s="43">
        <f t="shared" si="22"/>
        <v>705</v>
      </c>
      <c r="E517" s="76">
        <v>1</v>
      </c>
      <c r="F517" s="50">
        <v>10</v>
      </c>
      <c r="G517" s="49">
        <v>7150</v>
      </c>
      <c r="H517" s="73">
        <v>10</v>
      </c>
      <c r="I517" s="52">
        <v>10</v>
      </c>
      <c r="J517" s="51">
        <v>1219.94</v>
      </c>
      <c r="K517" s="52"/>
      <c r="L517" s="51"/>
      <c r="M517" s="52">
        <v>11</v>
      </c>
      <c r="N517" s="49">
        <v>6150.81</v>
      </c>
      <c r="O517" s="75">
        <v>10</v>
      </c>
      <c r="P517" s="54">
        <v>220.75</v>
      </c>
      <c r="Q517" s="54">
        <v>28.24</v>
      </c>
      <c r="R517" s="53">
        <f t="shared" si="23"/>
        <v>357.5</v>
      </c>
      <c r="S517" s="51">
        <v>1219.94</v>
      </c>
    </row>
    <row r="518" spans="1:19" ht="15" x14ac:dyDescent="0.25">
      <c r="A518" s="28"/>
      <c r="B518" s="45" t="str">
        <f t="shared" ref="B518:B581" si="24">TEXT(C518,"MMM-YYYY")</f>
        <v>Apr-2024</v>
      </c>
      <c r="C518" s="57">
        <v>45408</v>
      </c>
      <c r="D518" s="43">
        <f t="shared" ref="D518:D581" si="25">$A$1-C518</f>
        <v>704</v>
      </c>
      <c r="E518" s="76">
        <v>6</v>
      </c>
      <c r="F518" s="50">
        <v>15</v>
      </c>
      <c r="G518" s="49">
        <v>9650</v>
      </c>
      <c r="H518" s="73">
        <v>15</v>
      </c>
      <c r="I518" s="52">
        <v>15</v>
      </c>
      <c r="J518" s="51">
        <v>3263</v>
      </c>
      <c r="K518" s="52"/>
      <c r="L518" s="51"/>
      <c r="M518" s="52">
        <v>10</v>
      </c>
      <c r="N518" s="49">
        <v>7014.18</v>
      </c>
      <c r="O518" s="75">
        <v>9</v>
      </c>
      <c r="P518" s="54">
        <v>627.17999999999995</v>
      </c>
      <c r="Q518" s="54">
        <v>114.18</v>
      </c>
      <c r="R518" s="53">
        <f t="shared" ref="R518:R581" si="26">G518*5%</f>
        <v>482.5</v>
      </c>
      <c r="S518" s="51">
        <v>3263</v>
      </c>
    </row>
    <row r="519" spans="1:19" ht="15" x14ac:dyDescent="0.25">
      <c r="A519" s="28"/>
      <c r="B519" s="45" t="str">
        <f t="shared" si="24"/>
        <v>Apr-2024</v>
      </c>
      <c r="C519" s="57">
        <v>45409</v>
      </c>
      <c r="D519" s="43">
        <f t="shared" si="25"/>
        <v>703</v>
      </c>
      <c r="E519" s="76">
        <v>3</v>
      </c>
      <c r="F519" s="50">
        <v>13</v>
      </c>
      <c r="G519" s="49">
        <v>8550</v>
      </c>
      <c r="H519" s="73">
        <v>13</v>
      </c>
      <c r="I519" s="52">
        <v>13</v>
      </c>
      <c r="J519" s="51">
        <v>4320.37</v>
      </c>
      <c r="K519" s="52"/>
      <c r="L519" s="51"/>
      <c r="M519" s="52">
        <v>12</v>
      </c>
      <c r="N519" s="49">
        <v>4943.8100000000004</v>
      </c>
      <c r="O519" s="75">
        <v>9</v>
      </c>
      <c r="P519" s="54">
        <v>714.18000000000006</v>
      </c>
      <c r="Q519" s="54">
        <v>47.55</v>
      </c>
      <c r="R519" s="53">
        <f t="shared" si="26"/>
        <v>427.5</v>
      </c>
      <c r="S519" s="51">
        <v>4320.37</v>
      </c>
    </row>
    <row r="520" spans="1:19" ht="15" x14ac:dyDescent="0.25">
      <c r="A520" s="28"/>
      <c r="B520" s="45" t="str">
        <f t="shared" si="24"/>
        <v>Apr-2024</v>
      </c>
      <c r="C520" s="57">
        <v>45410</v>
      </c>
      <c r="D520" s="43">
        <f t="shared" si="25"/>
        <v>702</v>
      </c>
      <c r="E520" s="76">
        <v>3</v>
      </c>
      <c r="F520" s="50">
        <v>10</v>
      </c>
      <c r="G520" s="49">
        <v>5770</v>
      </c>
      <c r="H520" s="73">
        <v>10</v>
      </c>
      <c r="I520" s="52">
        <v>10</v>
      </c>
      <c r="J520" s="51">
        <v>2332.4299999999998</v>
      </c>
      <c r="K520" s="52"/>
      <c r="L520" s="51"/>
      <c r="M520" s="52">
        <v>8</v>
      </c>
      <c r="N520" s="49">
        <v>3814.5</v>
      </c>
      <c r="O520" s="75">
        <v>7</v>
      </c>
      <c r="P520" s="54">
        <v>376.93</v>
      </c>
      <c r="Q520" s="54">
        <v>14.5</v>
      </c>
      <c r="R520" s="53">
        <f t="shared" si="26"/>
        <v>288.5</v>
      </c>
      <c r="S520" s="51">
        <v>2332.4299999999998</v>
      </c>
    </row>
    <row r="521" spans="1:19" ht="15" x14ac:dyDescent="0.25">
      <c r="A521" s="28"/>
      <c r="B521" s="45" t="str">
        <f t="shared" si="24"/>
        <v>Apr-2024</v>
      </c>
      <c r="C521" s="57">
        <v>45411</v>
      </c>
      <c r="D521" s="43">
        <f t="shared" si="25"/>
        <v>701</v>
      </c>
      <c r="E521" s="76">
        <v>5</v>
      </c>
      <c r="F521" s="50">
        <v>11</v>
      </c>
      <c r="G521" s="49">
        <v>12590</v>
      </c>
      <c r="H521" s="73">
        <v>11</v>
      </c>
      <c r="I521" s="52">
        <v>11</v>
      </c>
      <c r="J521" s="51">
        <v>592.26</v>
      </c>
      <c r="K521" s="52"/>
      <c r="L521" s="51"/>
      <c r="M521" s="52">
        <v>11</v>
      </c>
      <c r="N521" s="49">
        <v>12137.34</v>
      </c>
      <c r="O521" s="75">
        <v>11</v>
      </c>
      <c r="P521" s="54">
        <v>139.60000000000002</v>
      </c>
      <c r="Q521" s="54">
        <v>47.34</v>
      </c>
      <c r="R521" s="53">
        <f t="shared" si="26"/>
        <v>629.5</v>
      </c>
      <c r="S521" s="51">
        <v>592.26</v>
      </c>
    </row>
    <row r="522" spans="1:19" ht="15" x14ac:dyDescent="0.25">
      <c r="A522" s="28"/>
      <c r="B522" s="45" t="str">
        <f t="shared" si="24"/>
        <v>Apr-2024</v>
      </c>
      <c r="C522" s="57">
        <v>45412</v>
      </c>
      <c r="D522" s="43">
        <f t="shared" si="25"/>
        <v>700</v>
      </c>
      <c r="E522" s="76">
        <v>2</v>
      </c>
      <c r="F522" s="50">
        <v>9</v>
      </c>
      <c r="G522" s="49">
        <v>6450</v>
      </c>
      <c r="H522" s="73">
        <v>9</v>
      </c>
      <c r="I522" s="52">
        <v>9</v>
      </c>
      <c r="J522" s="51">
        <v>1241.47</v>
      </c>
      <c r="K522" s="52">
        <v>1</v>
      </c>
      <c r="L522" s="51">
        <v>450</v>
      </c>
      <c r="M522" s="52">
        <v>7</v>
      </c>
      <c r="N522" s="49">
        <v>5429.71</v>
      </c>
      <c r="O522" s="75">
        <v>7</v>
      </c>
      <c r="P522" s="54">
        <v>221.17999999999998</v>
      </c>
      <c r="Q522" s="54">
        <v>29.82</v>
      </c>
      <c r="R522" s="53">
        <f t="shared" si="26"/>
        <v>322.5</v>
      </c>
      <c r="S522" s="51">
        <v>1241.47</v>
      </c>
    </row>
    <row r="523" spans="1:19" ht="15" x14ac:dyDescent="0.25">
      <c r="A523" s="28"/>
      <c r="B523" s="45" t="str">
        <f t="shared" si="24"/>
        <v>May-2024</v>
      </c>
      <c r="C523" s="57">
        <v>45413</v>
      </c>
      <c r="D523" s="43">
        <f t="shared" si="25"/>
        <v>699</v>
      </c>
      <c r="E523" s="76">
        <v>7</v>
      </c>
      <c r="F523" s="50">
        <v>9</v>
      </c>
      <c r="G523" s="49">
        <v>5300</v>
      </c>
      <c r="H523" s="73">
        <v>9</v>
      </c>
      <c r="I523" s="52">
        <v>9</v>
      </c>
      <c r="J523" s="51">
        <v>2011.35</v>
      </c>
      <c r="K523" s="52"/>
      <c r="L523" s="51"/>
      <c r="M523" s="52">
        <v>6</v>
      </c>
      <c r="N523" s="49">
        <v>3622.39</v>
      </c>
      <c r="O523" s="75">
        <v>6</v>
      </c>
      <c r="P523" s="54">
        <v>333.74000000000007</v>
      </c>
      <c r="Q523" s="54">
        <v>22.39</v>
      </c>
      <c r="R523" s="53">
        <f t="shared" si="26"/>
        <v>265</v>
      </c>
      <c r="S523" s="51">
        <v>2011.35</v>
      </c>
    </row>
    <row r="524" spans="1:19" ht="15" x14ac:dyDescent="0.25">
      <c r="A524" s="28"/>
      <c r="B524" s="45" t="str">
        <f t="shared" si="24"/>
        <v>May-2024</v>
      </c>
      <c r="C524" s="57">
        <v>45414</v>
      </c>
      <c r="D524" s="43">
        <f t="shared" si="25"/>
        <v>698</v>
      </c>
      <c r="E524" s="76">
        <v>6</v>
      </c>
      <c r="F524" s="50">
        <v>13</v>
      </c>
      <c r="G524" s="49">
        <v>7900</v>
      </c>
      <c r="H524" s="73">
        <v>13</v>
      </c>
      <c r="I524" s="52">
        <v>13</v>
      </c>
      <c r="J524" s="51">
        <v>3480.69</v>
      </c>
      <c r="K524" s="52"/>
      <c r="L524" s="51"/>
      <c r="M524" s="52">
        <v>12</v>
      </c>
      <c r="N524" s="49">
        <v>4991.62</v>
      </c>
      <c r="O524" s="75">
        <v>11</v>
      </c>
      <c r="P524" s="54">
        <v>572.30999999999995</v>
      </c>
      <c r="Q524" s="54">
        <v>39.6</v>
      </c>
      <c r="R524" s="53">
        <f t="shared" si="26"/>
        <v>395</v>
      </c>
      <c r="S524" s="51">
        <v>3480.69</v>
      </c>
    </row>
    <row r="525" spans="1:19" ht="15" x14ac:dyDescent="0.25">
      <c r="A525" s="28"/>
      <c r="B525" s="45" t="str">
        <f t="shared" si="24"/>
        <v>May-2024</v>
      </c>
      <c r="C525" s="57">
        <v>45415</v>
      </c>
      <c r="D525" s="43">
        <f t="shared" si="25"/>
        <v>697</v>
      </c>
      <c r="E525" s="76">
        <v>5</v>
      </c>
      <c r="F525" s="50">
        <v>10</v>
      </c>
      <c r="G525" s="49">
        <v>7390</v>
      </c>
      <c r="H525" s="73">
        <v>10</v>
      </c>
      <c r="I525" s="52">
        <v>10</v>
      </c>
      <c r="J525" s="51">
        <v>176.92000000000002</v>
      </c>
      <c r="K525" s="52"/>
      <c r="L525" s="51"/>
      <c r="M525" s="52">
        <v>12</v>
      </c>
      <c r="N525" s="49">
        <v>7300.01</v>
      </c>
      <c r="O525" s="75">
        <v>12</v>
      </c>
      <c r="P525" s="54">
        <v>86.93</v>
      </c>
      <c r="Q525" s="54">
        <v>52.179999999999993</v>
      </c>
      <c r="R525" s="53">
        <f t="shared" si="26"/>
        <v>369.5</v>
      </c>
      <c r="S525" s="51">
        <v>176.92</v>
      </c>
    </row>
    <row r="526" spans="1:19" ht="15" x14ac:dyDescent="0.25">
      <c r="A526" s="28"/>
      <c r="B526" s="45" t="str">
        <f t="shared" si="24"/>
        <v>May-2024</v>
      </c>
      <c r="C526" s="57">
        <v>45416</v>
      </c>
      <c r="D526" s="43">
        <f t="shared" si="25"/>
        <v>696</v>
      </c>
      <c r="E526" s="76">
        <v>6</v>
      </c>
      <c r="F526" s="50">
        <v>6</v>
      </c>
      <c r="G526" s="49">
        <v>5400</v>
      </c>
      <c r="H526" s="73">
        <v>6</v>
      </c>
      <c r="I526" s="52">
        <v>6</v>
      </c>
      <c r="J526" s="51">
        <v>1774.83</v>
      </c>
      <c r="K526" s="52"/>
      <c r="L526" s="51"/>
      <c r="M526" s="52">
        <v>3</v>
      </c>
      <c r="N526" s="49">
        <v>3927.45</v>
      </c>
      <c r="O526" s="75">
        <v>3</v>
      </c>
      <c r="P526" s="54">
        <v>302.27999999999997</v>
      </c>
      <c r="Q526" s="54">
        <v>27.450000000000003</v>
      </c>
      <c r="R526" s="53">
        <f t="shared" si="26"/>
        <v>270</v>
      </c>
      <c r="S526" s="51">
        <v>1774.83</v>
      </c>
    </row>
    <row r="527" spans="1:19" ht="15" x14ac:dyDescent="0.25">
      <c r="A527" s="28"/>
      <c r="B527" s="45" t="str">
        <f t="shared" si="24"/>
        <v>May-2024</v>
      </c>
      <c r="C527" s="57">
        <v>45417</v>
      </c>
      <c r="D527" s="43">
        <f t="shared" si="25"/>
        <v>695</v>
      </c>
      <c r="E527" s="76">
        <v>3</v>
      </c>
      <c r="F527" s="50">
        <v>8</v>
      </c>
      <c r="G527" s="49">
        <v>3400</v>
      </c>
      <c r="H527" s="73">
        <v>7</v>
      </c>
      <c r="I527" s="52">
        <v>7</v>
      </c>
      <c r="J527" s="51">
        <v>2244.8900000000003</v>
      </c>
      <c r="K527" s="52"/>
      <c r="L527" s="51"/>
      <c r="M527" s="52">
        <v>4</v>
      </c>
      <c r="N527" s="49">
        <v>1511.27</v>
      </c>
      <c r="O527" s="75">
        <v>4</v>
      </c>
      <c r="P527" s="54">
        <v>356.15999999999997</v>
      </c>
      <c r="Q527" s="54">
        <v>11.27</v>
      </c>
      <c r="R527" s="53">
        <f t="shared" si="26"/>
        <v>170</v>
      </c>
      <c r="S527" s="51">
        <v>2244.89</v>
      </c>
    </row>
    <row r="528" spans="1:19" ht="15" x14ac:dyDescent="0.25">
      <c r="A528" s="28"/>
      <c r="B528" s="45" t="str">
        <f t="shared" si="24"/>
        <v>May-2024</v>
      </c>
      <c r="C528" s="57">
        <v>45418</v>
      </c>
      <c r="D528" s="43">
        <f t="shared" si="25"/>
        <v>694</v>
      </c>
      <c r="E528" s="76">
        <v>5</v>
      </c>
      <c r="F528" s="50">
        <v>17</v>
      </c>
      <c r="G528" s="49">
        <v>15660</v>
      </c>
      <c r="H528" s="73">
        <v>17</v>
      </c>
      <c r="I528" s="52">
        <v>17</v>
      </c>
      <c r="J528" s="51">
        <v>2308.35</v>
      </c>
      <c r="K528" s="52"/>
      <c r="L528" s="51"/>
      <c r="M528" s="52">
        <v>13</v>
      </c>
      <c r="N528" s="49">
        <v>13794.14</v>
      </c>
      <c r="O528" s="75">
        <v>13</v>
      </c>
      <c r="P528" s="54">
        <v>442.48999999999995</v>
      </c>
      <c r="Q528" s="54">
        <v>84.139999999999986</v>
      </c>
      <c r="R528" s="53">
        <f t="shared" si="26"/>
        <v>783</v>
      </c>
      <c r="S528" s="51">
        <v>2308.3500000000004</v>
      </c>
    </row>
    <row r="529" spans="1:19" ht="15" x14ac:dyDescent="0.25">
      <c r="A529" s="28"/>
      <c r="B529" s="45" t="str">
        <f t="shared" si="24"/>
        <v>May-2024</v>
      </c>
      <c r="C529" s="57">
        <v>45419</v>
      </c>
      <c r="D529" s="43">
        <f t="shared" si="25"/>
        <v>693</v>
      </c>
      <c r="E529" s="76">
        <v>5</v>
      </c>
      <c r="F529" s="50">
        <v>9</v>
      </c>
      <c r="G529" s="49">
        <v>6700</v>
      </c>
      <c r="H529" s="73">
        <v>9</v>
      </c>
      <c r="I529" s="52">
        <v>9</v>
      </c>
      <c r="J529" s="51">
        <v>2721.05</v>
      </c>
      <c r="K529" s="52"/>
      <c r="L529" s="51"/>
      <c r="M529" s="52">
        <v>6</v>
      </c>
      <c r="N529" s="49">
        <v>4417.6899999999996</v>
      </c>
      <c r="O529" s="75">
        <v>6</v>
      </c>
      <c r="P529" s="54">
        <v>438.73999999999995</v>
      </c>
      <c r="Q529" s="54">
        <v>17.689999999999998</v>
      </c>
      <c r="R529" s="53">
        <f t="shared" si="26"/>
        <v>335</v>
      </c>
      <c r="S529" s="51">
        <v>2721.05</v>
      </c>
    </row>
    <row r="530" spans="1:19" ht="15" x14ac:dyDescent="0.25">
      <c r="A530" s="28"/>
      <c r="B530" s="45" t="str">
        <f t="shared" si="24"/>
        <v>May-2024</v>
      </c>
      <c r="C530" s="57">
        <v>45420</v>
      </c>
      <c r="D530" s="43">
        <f t="shared" si="25"/>
        <v>692</v>
      </c>
      <c r="E530" s="76">
        <v>4</v>
      </c>
      <c r="F530" s="50">
        <v>8</v>
      </c>
      <c r="G530" s="49">
        <v>11750</v>
      </c>
      <c r="H530" s="73">
        <v>8</v>
      </c>
      <c r="I530" s="52">
        <v>8</v>
      </c>
      <c r="J530" s="51">
        <v>1182.18</v>
      </c>
      <c r="K530" s="52"/>
      <c r="L530" s="51"/>
      <c r="M530" s="52">
        <v>6</v>
      </c>
      <c r="N530" s="49">
        <v>10806.48</v>
      </c>
      <c r="O530" s="75">
        <v>6</v>
      </c>
      <c r="P530" s="54">
        <v>238.66</v>
      </c>
      <c r="Q530" s="54">
        <v>56.48</v>
      </c>
      <c r="R530" s="53">
        <f t="shared" si="26"/>
        <v>587.5</v>
      </c>
      <c r="S530" s="51">
        <v>1182.18</v>
      </c>
    </row>
    <row r="531" spans="1:19" ht="15" x14ac:dyDescent="0.25">
      <c r="A531" s="28"/>
      <c r="B531" s="45" t="str">
        <f t="shared" si="24"/>
        <v>May-2024</v>
      </c>
      <c r="C531" s="57">
        <v>45421</v>
      </c>
      <c r="D531" s="43">
        <f t="shared" si="25"/>
        <v>691</v>
      </c>
      <c r="E531" s="76">
        <v>6</v>
      </c>
      <c r="F531" s="50">
        <v>11</v>
      </c>
      <c r="G531" s="49">
        <v>8500</v>
      </c>
      <c r="H531" s="73">
        <v>11</v>
      </c>
      <c r="I531" s="52">
        <v>11</v>
      </c>
      <c r="J531" s="51">
        <v>2598.79</v>
      </c>
      <c r="K531" s="52">
        <v>1</v>
      </c>
      <c r="L531" s="51">
        <v>1100.24</v>
      </c>
      <c r="M531" s="52">
        <v>9</v>
      </c>
      <c r="N531" s="49">
        <v>6454.71</v>
      </c>
      <c r="O531" s="75">
        <v>9</v>
      </c>
      <c r="P531" s="54">
        <v>553.5</v>
      </c>
      <c r="Q531" s="54">
        <v>154.70999999999998</v>
      </c>
      <c r="R531" s="53">
        <f t="shared" si="26"/>
        <v>425</v>
      </c>
      <c r="S531" s="51">
        <v>2598.79</v>
      </c>
    </row>
    <row r="532" spans="1:19" ht="15" x14ac:dyDescent="0.25">
      <c r="A532" s="28"/>
      <c r="B532" s="45" t="str">
        <f t="shared" si="24"/>
        <v>May-2024</v>
      </c>
      <c r="C532" s="57">
        <v>45422</v>
      </c>
      <c r="D532" s="43">
        <f t="shared" si="25"/>
        <v>690</v>
      </c>
      <c r="E532" s="76">
        <v>5</v>
      </c>
      <c r="F532" s="50">
        <v>10</v>
      </c>
      <c r="G532" s="49">
        <v>6500</v>
      </c>
      <c r="H532" s="73">
        <v>10</v>
      </c>
      <c r="I532" s="52">
        <v>10</v>
      </c>
      <c r="J532" s="51">
        <v>1715.48</v>
      </c>
      <c r="K532" s="52"/>
      <c r="L532" s="51"/>
      <c r="M532" s="52">
        <v>7</v>
      </c>
      <c r="N532" s="49">
        <v>5071.87</v>
      </c>
      <c r="O532" s="75">
        <v>7</v>
      </c>
      <c r="P532" s="54">
        <v>287.35000000000008</v>
      </c>
      <c r="Q532" s="54">
        <v>21.87</v>
      </c>
      <c r="R532" s="53">
        <f t="shared" si="26"/>
        <v>325</v>
      </c>
      <c r="S532" s="51">
        <v>1715.48</v>
      </c>
    </row>
    <row r="533" spans="1:19" ht="15" x14ac:dyDescent="0.25">
      <c r="A533" s="28"/>
      <c r="B533" s="45" t="str">
        <f t="shared" si="24"/>
        <v>May-2024</v>
      </c>
      <c r="C533" s="57">
        <v>45423</v>
      </c>
      <c r="D533" s="43">
        <f t="shared" si="25"/>
        <v>689</v>
      </c>
      <c r="E533" s="76">
        <v>2</v>
      </c>
      <c r="F533" s="50">
        <v>8</v>
      </c>
      <c r="G533" s="49">
        <v>4850</v>
      </c>
      <c r="H533" s="73">
        <v>8</v>
      </c>
      <c r="I533" s="52">
        <v>8</v>
      </c>
      <c r="J533" s="51">
        <v>3452.45</v>
      </c>
      <c r="K533" s="52"/>
      <c r="L533" s="51"/>
      <c r="M533" s="52">
        <v>24</v>
      </c>
      <c r="N533" s="49">
        <v>1950.65</v>
      </c>
      <c r="O533" s="75">
        <v>21</v>
      </c>
      <c r="P533" s="54">
        <v>553.1</v>
      </c>
      <c r="Q533" s="54">
        <v>52.8</v>
      </c>
      <c r="R533" s="53">
        <f t="shared" si="26"/>
        <v>242.5</v>
      </c>
      <c r="S533" s="51">
        <v>3452.45</v>
      </c>
    </row>
    <row r="534" spans="1:19" ht="15" x14ac:dyDescent="0.25">
      <c r="A534" s="28"/>
      <c r="B534" s="45" t="str">
        <f t="shared" si="24"/>
        <v>May-2024</v>
      </c>
      <c r="C534" s="57">
        <v>45424</v>
      </c>
      <c r="D534" s="43">
        <f t="shared" si="25"/>
        <v>688</v>
      </c>
      <c r="E534" s="76">
        <v>5</v>
      </c>
      <c r="F534" s="50">
        <v>11</v>
      </c>
      <c r="G534" s="49">
        <v>6050</v>
      </c>
      <c r="H534" s="73">
        <v>11</v>
      </c>
      <c r="I534" s="52">
        <v>11</v>
      </c>
      <c r="J534" s="51">
        <v>4013.2700000000009</v>
      </c>
      <c r="K534" s="52"/>
      <c r="L534" s="51"/>
      <c r="M534" s="52">
        <v>7</v>
      </c>
      <c r="N534" s="49">
        <v>2691.29</v>
      </c>
      <c r="O534" s="75">
        <v>7</v>
      </c>
      <c r="P534" s="54">
        <v>654.55999999999995</v>
      </c>
      <c r="Q534" s="54">
        <v>41.839999999999996</v>
      </c>
      <c r="R534" s="53">
        <f t="shared" si="26"/>
        <v>302.5</v>
      </c>
      <c r="S534" s="51">
        <v>4013.2700000000004</v>
      </c>
    </row>
    <row r="535" spans="1:19" ht="15" x14ac:dyDescent="0.25">
      <c r="A535" s="28"/>
      <c r="B535" s="45" t="str">
        <f t="shared" si="24"/>
        <v>May-2024</v>
      </c>
      <c r="C535" s="57">
        <v>45425</v>
      </c>
      <c r="D535" s="43">
        <f t="shared" si="25"/>
        <v>687</v>
      </c>
      <c r="E535" s="76">
        <v>4</v>
      </c>
      <c r="F535" s="50">
        <v>10</v>
      </c>
      <c r="G535" s="49">
        <v>8260</v>
      </c>
      <c r="H535" s="73">
        <v>10</v>
      </c>
      <c r="I535" s="52">
        <v>10</v>
      </c>
      <c r="J535" s="51">
        <v>1180.8800000000001</v>
      </c>
      <c r="K535" s="52"/>
      <c r="L535" s="51"/>
      <c r="M535" s="52">
        <v>10</v>
      </c>
      <c r="N535" s="49">
        <v>7292.24</v>
      </c>
      <c r="O535" s="75">
        <v>8</v>
      </c>
      <c r="P535" s="54">
        <v>213.12</v>
      </c>
      <c r="Q535" s="54">
        <v>32.24</v>
      </c>
      <c r="R535" s="53">
        <f t="shared" si="26"/>
        <v>413</v>
      </c>
      <c r="S535" s="51">
        <v>1180.8800000000001</v>
      </c>
    </row>
    <row r="536" spans="1:19" ht="15" x14ac:dyDescent="0.25">
      <c r="A536" s="28"/>
      <c r="B536" s="45" t="str">
        <f t="shared" si="24"/>
        <v>May-2024</v>
      </c>
      <c r="C536" s="57">
        <v>45426</v>
      </c>
      <c r="D536" s="43">
        <f t="shared" si="25"/>
        <v>686</v>
      </c>
      <c r="E536" s="76">
        <v>7</v>
      </c>
      <c r="F536" s="50">
        <v>14</v>
      </c>
      <c r="G536" s="49">
        <v>9975</v>
      </c>
      <c r="H536" s="73">
        <v>14</v>
      </c>
      <c r="I536" s="52">
        <v>14</v>
      </c>
      <c r="J536" s="51">
        <v>4455.8099999999995</v>
      </c>
      <c r="K536" s="52"/>
      <c r="L536" s="51"/>
      <c r="M536" s="52">
        <v>9</v>
      </c>
      <c r="N536" s="49">
        <v>6282.41</v>
      </c>
      <c r="O536" s="75">
        <v>9</v>
      </c>
      <c r="P536" s="54">
        <v>763.21999999999991</v>
      </c>
      <c r="Q536" s="54">
        <v>82.41</v>
      </c>
      <c r="R536" s="53">
        <f t="shared" si="26"/>
        <v>498.75</v>
      </c>
      <c r="S536" s="51">
        <v>4455.8099999999995</v>
      </c>
    </row>
    <row r="537" spans="1:19" ht="15" x14ac:dyDescent="0.25">
      <c r="A537" s="28"/>
      <c r="B537" s="45" t="str">
        <f t="shared" si="24"/>
        <v>May-2024</v>
      </c>
      <c r="C537" s="57">
        <v>45427</v>
      </c>
      <c r="D537" s="43">
        <f t="shared" si="25"/>
        <v>685</v>
      </c>
      <c r="E537" s="76">
        <v>4</v>
      </c>
      <c r="F537" s="50">
        <v>11</v>
      </c>
      <c r="G537" s="49">
        <v>8900</v>
      </c>
      <c r="H537" s="73">
        <v>11</v>
      </c>
      <c r="I537" s="52">
        <v>11</v>
      </c>
      <c r="J537" s="51">
        <v>1180.3599999999999</v>
      </c>
      <c r="K537" s="52"/>
      <c r="L537" s="51"/>
      <c r="M537" s="52">
        <v>9</v>
      </c>
      <c r="N537" s="49">
        <v>7946.04</v>
      </c>
      <c r="O537" s="75">
        <v>9</v>
      </c>
      <c r="P537" s="54">
        <v>226.39999999999995</v>
      </c>
      <c r="Q537" s="54">
        <v>46.039999999999992</v>
      </c>
      <c r="R537" s="53">
        <f t="shared" si="26"/>
        <v>445</v>
      </c>
      <c r="S537" s="51">
        <v>1180.3599999999999</v>
      </c>
    </row>
    <row r="538" spans="1:19" ht="15" x14ac:dyDescent="0.25">
      <c r="A538" s="28"/>
      <c r="B538" s="45" t="str">
        <f t="shared" si="24"/>
        <v>May-2024</v>
      </c>
      <c r="C538" s="57">
        <v>45428</v>
      </c>
      <c r="D538" s="43">
        <f t="shared" si="25"/>
        <v>684</v>
      </c>
      <c r="E538" s="76">
        <v>6</v>
      </c>
      <c r="F538" s="50">
        <v>14</v>
      </c>
      <c r="G538" s="49">
        <v>7420</v>
      </c>
      <c r="H538" s="73">
        <v>14</v>
      </c>
      <c r="I538" s="52">
        <v>14</v>
      </c>
      <c r="J538" s="51">
        <v>4747.67</v>
      </c>
      <c r="K538" s="52"/>
      <c r="L538" s="51"/>
      <c r="M538" s="52">
        <v>8</v>
      </c>
      <c r="N538" s="49">
        <v>3410.6</v>
      </c>
      <c r="O538" s="75">
        <v>8</v>
      </c>
      <c r="P538" s="54">
        <v>738.27000000000021</v>
      </c>
      <c r="Q538" s="54">
        <v>11.370000000000001</v>
      </c>
      <c r="R538" s="53">
        <f t="shared" si="26"/>
        <v>371</v>
      </c>
      <c r="S538" s="51">
        <v>4747.67</v>
      </c>
    </row>
    <row r="539" spans="1:19" ht="15" x14ac:dyDescent="0.25">
      <c r="A539" s="28"/>
      <c r="B539" s="45" t="str">
        <f t="shared" si="24"/>
        <v>May-2024</v>
      </c>
      <c r="C539" s="57">
        <v>45429</v>
      </c>
      <c r="D539" s="43">
        <f t="shared" si="25"/>
        <v>683</v>
      </c>
      <c r="E539" s="76">
        <v>5</v>
      </c>
      <c r="F539" s="50">
        <v>14</v>
      </c>
      <c r="G539" s="49">
        <v>9180</v>
      </c>
      <c r="H539" s="73">
        <v>13</v>
      </c>
      <c r="I539" s="52">
        <v>14</v>
      </c>
      <c r="J539" s="51">
        <v>3665.2900000000004</v>
      </c>
      <c r="K539" s="52">
        <v>1</v>
      </c>
      <c r="L539" s="51">
        <v>1000.22</v>
      </c>
      <c r="M539" s="52">
        <v>15</v>
      </c>
      <c r="N539" s="49">
        <v>6094.37</v>
      </c>
      <c r="O539" s="75">
        <v>8</v>
      </c>
      <c r="P539" s="54">
        <v>579.66</v>
      </c>
      <c r="Q539" s="54">
        <v>19.47</v>
      </c>
      <c r="R539" s="53">
        <f t="shared" si="26"/>
        <v>459</v>
      </c>
      <c r="S539" s="51">
        <v>3665.29</v>
      </c>
    </row>
    <row r="540" spans="1:19" ht="15" x14ac:dyDescent="0.25">
      <c r="A540" s="28"/>
      <c r="B540" s="45" t="str">
        <f t="shared" si="24"/>
        <v>May-2024</v>
      </c>
      <c r="C540" s="57">
        <v>45430</v>
      </c>
      <c r="D540" s="43">
        <f t="shared" si="25"/>
        <v>682</v>
      </c>
      <c r="E540" s="76">
        <v>4</v>
      </c>
      <c r="F540" s="50">
        <v>11</v>
      </c>
      <c r="G540" s="49">
        <v>7100</v>
      </c>
      <c r="H540" s="73">
        <v>11</v>
      </c>
      <c r="I540" s="52">
        <v>11</v>
      </c>
      <c r="J540" s="51">
        <v>1420.86</v>
      </c>
      <c r="K540" s="52"/>
      <c r="L540" s="51"/>
      <c r="M540" s="52">
        <v>10</v>
      </c>
      <c r="N540" s="49">
        <v>5916.51</v>
      </c>
      <c r="O540" s="75">
        <v>10</v>
      </c>
      <c r="P540" s="54">
        <v>237.37</v>
      </c>
      <c r="Q540" s="54">
        <v>16.510000000000002</v>
      </c>
      <c r="R540" s="53">
        <f t="shared" si="26"/>
        <v>355</v>
      </c>
      <c r="S540" s="51">
        <v>1420.86</v>
      </c>
    </row>
    <row r="541" spans="1:19" ht="15" x14ac:dyDescent="0.25">
      <c r="A541" s="28"/>
      <c r="B541" s="45" t="str">
        <f t="shared" si="24"/>
        <v>May-2024</v>
      </c>
      <c r="C541" s="57">
        <v>45431</v>
      </c>
      <c r="D541" s="43">
        <f t="shared" si="25"/>
        <v>681</v>
      </c>
      <c r="E541" s="76">
        <v>2</v>
      </c>
      <c r="F541" s="50">
        <v>16</v>
      </c>
      <c r="G541" s="49">
        <v>12960</v>
      </c>
      <c r="H541" s="73">
        <v>16</v>
      </c>
      <c r="I541" s="52">
        <v>14</v>
      </c>
      <c r="J541" s="51">
        <v>589.66</v>
      </c>
      <c r="K541" s="52"/>
      <c r="L541" s="51"/>
      <c r="M541" s="52">
        <v>14</v>
      </c>
      <c r="N541" s="49">
        <v>12519.47</v>
      </c>
      <c r="O541" s="75">
        <v>13</v>
      </c>
      <c r="P541" s="54">
        <v>149.13</v>
      </c>
      <c r="Q541" s="54">
        <v>59.469999999999992</v>
      </c>
      <c r="R541" s="53">
        <f t="shared" si="26"/>
        <v>648</v>
      </c>
      <c r="S541" s="51">
        <v>589.66</v>
      </c>
    </row>
    <row r="542" spans="1:19" ht="15" x14ac:dyDescent="0.25">
      <c r="A542" s="28"/>
      <c r="B542" s="45" t="str">
        <f t="shared" si="24"/>
        <v>May-2024</v>
      </c>
      <c r="C542" s="57">
        <v>45432</v>
      </c>
      <c r="D542" s="43">
        <f t="shared" si="25"/>
        <v>680</v>
      </c>
      <c r="E542" s="76">
        <v>5</v>
      </c>
      <c r="F542" s="50">
        <v>16</v>
      </c>
      <c r="G542" s="49">
        <v>12750</v>
      </c>
      <c r="H542" s="73">
        <v>16</v>
      </c>
      <c r="I542" s="52">
        <v>16</v>
      </c>
      <c r="J542" s="51">
        <v>1773.9599999999998</v>
      </c>
      <c r="K542" s="52">
        <v>1</v>
      </c>
      <c r="L542" s="51">
        <v>2000.44</v>
      </c>
      <c r="M542" s="52">
        <v>15</v>
      </c>
      <c r="N542" s="49">
        <v>11296.64</v>
      </c>
      <c r="O542" s="75">
        <v>14</v>
      </c>
      <c r="P542" s="54">
        <v>320.60000000000008</v>
      </c>
      <c r="Q542" s="54">
        <v>52.01</v>
      </c>
      <c r="R542" s="53">
        <f t="shared" si="26"/>
        <v>637.5</v>
      </c>
      <c r="S542" s="51">
        <v>1773.9599999999998</v>
      </c>
    </row>
    <row r="543" spans="1:19" ht="15" x14ac:dyDescent="0.25">
      <c r="A543" s="28"/>
      <c r="B543" s="45" t="str">
        <f t="shared" si="24"/>
        <v>May-2024</v>
      </c>
      <c r="C543" s="57">
        <v>45433</v>
      </c>
      <c r="D543" s="43">
        <f t="shared" si="25"/>
        <v>679</v>
      </c>
      <c r="E543" s="76">
        <v>8</v>
      </c>
      <c r="F543" s="50">
        <v>17</v>
      </c>
      <c r="G543" s="49">
        <v>13700</v>
      </c>
      <c r="H543" s="73">
        <v>17</v>
      </c>
      <c r="I543" s="52">
        <v>17</v>
      </c>
      <c r="J543" s="51">
        <v>1540.4499999999998</v>
      </c>
      <c r="K543" s="52">
        <v>1</v>
      </c>
      <c r="L543" s="51">
        <v>100.02</v>
      </c>
      <c r="M543" s="52">
        <v>13</v>
      </c>
      <c r="N543" s="49">
        <v>12474.93</v>
      </c>
      <c r="O543" s="75">
        <v>13</v>
      </c>
      <c r="P543" s="54">
        <v>315.38</v>
      </c>
      <c r="Q543" s="54">
        <v>74.930000000000007</v>
      </c>
      <c r="R543" s="53">
        <f t="shared" si="26"/>
        <v>685</v>
      </c>
      <c r="S543" s="51">
        <v>1540.45</v>
      </c>
    </row>
    <row r="544" spans="1:19" ht="15" x14ac:dyDescent="0.25">
      <c r="A544" s="28"/>
      <c r="B544" s="45" t="str">
        <f t="shared" si="24"/>
        <v>May-2024</v>
      </c>
      <c r="C544" s="57">
        <v>45434</v>
      </c>
      <c r="D544" s="43">
        <f t="shared" si="25"/>
        <v>678</v>
      </c>
      <c r="E544" s="76">
        <v>9</v>
      </c>
      <c r="F544" s="50">
        <v>14</v>
      </c>
      <c r="G544" s="49">
        <v>10720</v>
      </c>
      <c r="H544" s="73">
        <v>14</v>
      </c>
      <c r="I544" s="52">
        <v>14</v>
      </c>
      <c r="J544" s="51">
        <v>3656.14</v>
      </c>
      <c r="K544" s="52"/>
      <c r="L544" s="51"/>
      <c r="M544" s="52">
        <v>7</v>
      </c>
      <c r="N544" s="49">
        <v>7688.07</v>
      </c>
      <c r="O544" s="75">
        <v>7</v>
      </c>
      <c r="P544" s="54">
        <v>624.20999999999981</v>
      </c>
      <c r="Q544" s="54">
        <v>68.069999999999993</v>
      </c>
      <c r="R544" s="53">
        <f t="shared" si="26"/>
        <v>536</v>
      </c>
      <c r="S544" s="51">
        <v>3656.14</v>
      </c>
    </row>
    <row r="545" spans="1:19" ht="15" x14ac:dyDescent="0.25">
      <c r="A545" s="28"/>
      <c r="B545" s="45" t="str">
        <f t="shared" si="24"/>
        <v>May-2024</v>
      </c>
      <c r="C545" s="57">
        <v>45435</v>
      </c>
      <c r="D545" s="43">
        <f t="shared" si="25"/>
        <v>677</v>
      </c>
      <c r="E545" s="76">
        <v>5</v>
      </c>
      <c r="F545" s="50">
        <v>18</v>
      </c>
      <c r="G545" s="49">
        <v>11275</v>
      </c>
      <c r="H545" s="73">
        <v>18</v>
      </c>
      <c r="I545" s="52">
        <v>18</v>
      </c>
      <c r="J545" s="51">
        <v>3066.1899999999996</v>
      </c>
      <c r="K545" s="52">
        <v>1</v>
      </c>
      <c r="L545" s="51">
        <v>100</v>
      </c>
      <c r="M545" s="52">
        <v>17</v>
      </c>
      <c r="N545" s="49">
        <v>8798.09</v>
      </c>
      <c r="O545" s="75">
        <v>17</v>
      </c>
      <c r="P545" s="54">
        <v>589.28000000000009</v>
      </c>
      <c r="Q545" s="54">
        <v>123.09</v>
      </c>
      <c r="R545" s="53">
        <f t="shared" si="26"/>
        <v>563.75</v>
      </c>
      <c r="S545" s="51">
        <v>3066.1899999999996</v>
      </c>
    </row>
    <row r="546" spans="1:19" ht="15" x14ac:dyDescent="0.25">
      <c r="A546" s="28"/>
      <c r="B546" s="45" t="str">
        <f t="shared" si="24"/>
        <v>May-2024</v>
      </c>
      <c r="C546" s="57">
        <v>45436</v>
      </c>
      <c r="D546" s="43">
        <f t="shared" si="25"/>
        <v>676</v>
      </c>
      <c r="E546" s="76">
        <v>3</v>
      </c>
      <c r="F546" s="50">
        <v>8</v>
      </c>
      <c r="G546" s="49">
        <v>5200</v>
      </c>
      <c r="H546" s="73">
        <v>8</v>
      </c>
      <c r="I546" s="52">
        <v>8</v>
      </c>
      <c r="J546" s="51">
        <v>1178.02</v>
      </c>
      <c r="K546" s="52"/>
      <c r="L546" s="51"/>
      <c r="M546" s="52">
        <v>6</v>
      </c>
      <c r="N546" s="49">
        <v>4209.58</v>
      </c>
      <c r="O546" s="75">
        <v>6</v>
      </c>
      <c r="P546" s="54">
        <v>187.6</v>
      </c>
      <c r="Q546" s="54">
        <v>9.5799999999999983</v>
      </c>
      <c r="R546" s="53">
        <f t="shared" si="26"/>
        <v>260</v>
      </c>
      <c r="S546" s="51">
        <v>1178.02</v>
      </c>
    </row>
    <row r="547" spans="1:19" ht="15" x14ac:dyDescent="0.25">
      <c r="A547" s="28"/>
      <c r="B547" s="45" t="str">
        <f t="shared" si="24"/>
        <v>May-2024</v>
      </c>
      <c r="C547" s="57">
        <v>45437</v>
      </c>
      <c r="D547" s="43">
        <f t="shared" si="25"/>
        <v>675</v>
      </c>
      <c r="E547" s="76">
        <v>2</v>
      </c>
      <c r="F547" s="50">
        <v>11</v>
      </c>
      <c r="G547" s="49">
        <v>9600</v>
      </c>
      <c r="H547" s="73">
        <v>11</v>
      </c>
      <c r="I547" s="52">
        <v>11</v>
      </c>
      <c r="J547" s="51">
        <v>2241.8000000000002</v>
      </c>
      <c r="K547" s="52"/>
      <c r="L547" s="51"/>
      <c r="M547" s="52">
        <v>8</v>
      </c>
      <c r="N547" s="49">
        <v>7750.66</v>
      </c>
      <c r="O547" s="75">
        <v>8</v>
      </c>
      <c r="P547" s="54">
        <v>392.46</v>
      </c>
      <c r="Q547" s="54">
        <v>50.66</v>
      </c>
      <c r="R547" s="53">
        <f t="shared" si="26"/>
        <v>480</v>
      </c>
      <c r="S547" s="51">
        <v>2241.8000000000002</v>
      </c>
    </row>
    <row r="548" spans="1:19" ht="15" x14ac:dyDescent="0.25">
      <c r="A548" s="28"/>
      <c r="B548" s="45" t="str">
        <f t="shared" si="24"/>
        <v>May-2024</v>
      </c>
      <c r="C548" s="57">
        <v>45438</v>
      </c>
      <c r="D548" s="43">
        <f t="shared" si="25"/>
        <v>674</v>
      </c>
      <c r="E548" s="76">
        <v>5</v>
      </c>
      <c r="F548" s="50">
        <v>8</v>
      </c>
      <c r="G548" s="49">
        <v>4100</v>
      </c>
      <c r="H548" s="73">
        <v>8</v>
      </c>
      <c r="I548" s="52">
        <v>8</v>
      </c>
      <c r="J548" s="51">
        <v>1297.9000000000001</v>
      </c>
      <c r="K548" s="52"/>
      <c r="L548" s="51"/>
      <c r="M548" s="52">
        <v>9</v>
      </c>
      <c r="N548" s="49">
        <v>3028.43</v>
      </c>
      <c r="O548" s="75">
        <v>9</v>
      </c>
      <c r="P548" s="54">
        <v>226.33000000000004</v>
      </c>
      <c r="Q548" s="54">
        <v>28.43</v>
      </c>
      <c r="R548" s="53">
        <f t="shared" si="26"/>
        <v>205</v>
      </c>
      <c r="S548" s="51">
        <v>1297.9000000000001</v>
      </c>
    </row>
    <row r="549" spans="1:19" ht="15" x14ac:dyDescent="0.25">
      <c r="A549" s="28"/>
      <c r="B549" s="45" t="str">
        <f t="shared" si="24"/>
        <v>May-2024</v>
      </c>
      <c r="C549" s="57">
        <v>45439</v>
      </c>
      <c r="D549" s="43">
        <f t="shared" si="25"/>
        <v>673</v>
      </c>
      <c r="F549" s="50">
        <v>8</v>
      </c>
      <c r="G549" s="49">
        <v>6900</v>
      </c>
      <c r="H549" s="73">
        <v>8</v>
      </c>
      <c r="I549" s="52">
        <v>8</v>
      </c>
      <c r="J549" s="51">
        <v>0</v>
      </c>
      <c r="K549" s="52">
        <v>1</v>
      </c>
      <c r="L549" s="51">
        <v>500.11</v>
      </c>
      <c r="M549" s="52">
        <v>8</v>
      </c>
      <c r="N549" s="49">
        <v>6944.09</v>
      </c>
      <c r="O549" s="75">
        <v>8</v>
      </c>
      <c r="P549" s="54">
        <v>44.09</v>
      </c>
      <c r="Q549" s="54">
        <v>44.09</v>
      </c>
      <c r="R549" s="53">
        <f t="shared" si="26"/>
        <v>345</v>
      </c>
      <c r="S549" s="51"/>
    </row>
    <row r="550" spans="1:19" ht="15" x14ac:dyDescent="0.25">
      <c r="A550" s="28"/>
      <c r="B550" s="45" t="str">
        <f t="shared" si="24"/>
        <v>May-2024</v>
      </c>
      <c r="C550" s="57">
        <v>45440</v>
      </c>
      <c r="D550" s="43">
        <f t="shared" si="25"/>
        <v>672</v>
      </c>
      <c r="E550" s="76">
        <v>3</v>
      </c>
      <c r="F550" s="50">
        <v>7</v>
      </c>
      <c r="G550" s="49">
        <v>6650</v>
      </c>
      <c r="H550" s="73">
        <v>7</v>
      </c>
      <c r="I550" s="52">
        <v>7</v>
      </c>
      <c r="J550" s="51">
        <v>588.49</v>
      </c>
      <c r="K550" s="52"/>
      <c r="L550" s="51"/>
      <c r="M550" s="52">
        <v>6</v>
      </c>
      <c r="N550" s="49">
        <v>6184.28</v>
      </c>
      <c r="O550" s="75">
        <v>6</v>
      </c>
      <c r="P550" s="54">
        <v>122.76999999999998</v>
      </c>
      <c r="Q550" s="54">
        <v>34.28</v>
      </c>
      <c r="R550" s="53">
        <f t="shared" si="26"/>
        <v>332.5</v>
      </c>
      <c r="S550" s="51">
        <v>588.49</v>
      </c>
    </row>
    <row r="551" spans="1:19" ht="15" x14ac:dyDescent="0.25">
      <c r="A551" s="28"/>
      <c r="B551" s="45" t="str">
        <f t="shared" si="24"/>
        <v>May-2024</v>
      </c>
      <c r="C551" s="57">
        <v>45441</v>
      </c>
      <c r="D551" s="43">
        <f t="shared" si="25"/>
        <v>671</v>
      </c>
      <c r="F551" s="50">
        <v>8</v>
      </c>
      <c r="G551" s="49">
        <v>8900</v>
      </c>
      <c r="H551" s="73">
        <v>8</v>
      </c>
      <c r="I551" s="52">
        <v>8</v>
      </c>
      <c r="J551" s="51">
        <v>588.36</v>
      </c>
      <c r="K551" s="52"/>
      <c r="L551" s="51"/>
      <c r="M551" s="52">
        <v>7</v>
      </c>
      <c r="N551" s="49">
        <v>8458.34</v>
      </c>
      <c r="O551" s="75">
        <v>7</v>
      </c>
      <c r="P551" s="54">
        <v>146.69999999999999</v>
      </c>
      <c r="Q551" s="54">
        <v>58.339999999999996</v>
      </c>
      <c r="R551" s="53">
        <f t="shared" si="26"/>
        <v>445</v>
      </c>
      <c r="S551" s="51">
        <v>588.36</v>
      </c>
    </row>
    <row r="552" spans="1:19" ht="15" x14ac:dyDescent="0.25">
      <c r="A552" s="28"/>
      <c r="B552" s="45" t="str">
        <f t="shared" si="24"/>
        <v>May-2024</v>
      </c>
      <c r="C552" s="57">
        <v>45442</v>
      </c>
      <c r="D552" s="43">
        <f t="shared" si="25"/>
        <v>670</v>
      </c>
      <c r="E552" s="76">
        <v>8</v>
      </c>
      <c r="F552" s="50">
        <v>11</v>
      </c>
      <c r="G552" s="49">
        <v>7300</v>
      </c>
      <c r="H552" s="73">
        <v>11</v>
      </c>
      <c r="I552" s="52">
        <v>11</v>
      </c>
      <c r="J552" s="51">
        <v>3176.71</v>
      </c>
      <c r="K552" s="52"/>
      <c r="L552" s="51"/>
      <c r="M552" s="52">
        <v>5</v>
      </c>
      <c r="N552" s="49">
        <v>4619.09</v>
      </c>
      <c r="O552" s="75">
        <v>5</v>
      </c>
      <c r="P552" s="54">
        <v>495.8</v>
      </c>
      <c r="Q552" s="54">
        <v>19.09</v>
      </c>
      <c r="R552" s="53">
        <f t="shared" si="26"/>
        <v>365</v>
      </c>
      <c r="S552" s="51">
        <v>3176.71</v>
      </c>
    </row>
    <row r="553" spans="1:19" ht="15" x14ac:dyDescent="0.25">
      <c r="A553" s="28"/>
      <c r="B553" s="45" t="str">
        <f t="shared" si="24"/>
        <v>May-2024</v>
      </c>
      <c r="C553" s="57">
        <v>45443</v>
      </c>
      <c r="D553" s="43">
        <f t="shared" si="25"/>
        <v>669</v>
      </c>
      <c r="E553" s="76">
        <v>9</v>
      </c>
      <c r="F553" s="50">
        <v>17</v>
      </c>
      <c r="G553" s="49">
        <v>13960</v>
      </c>
      <c r="H553" s="73">
        <v>17</v>
      </c>
      <c r="I553" s="52">
        <v>17</v>
      </c>
      <c r="J553" s="51">
        <v>3181</v>
      </c>
      <c r="K553" s="52"/>
      <c r="L553" s="51"/>
      <c r="M553" s="52">
        <v>10</v>
      </c>
      <c r="N553" s="49">
        <v>11304.74</v>
      </c>
      <c r="O553" s="75">
        <v>10</v>
      </c>
      <c r="P553" s="54">
        <v>525.74000000000012</v>
      </c>
      <c r="Q553" s="54">
        <v>44.739999999999995</v>
      </c>
      <c r="R553" s="53">
        <f t="shared" si="26"/>
        <v>698</v>
      </c>
      <c r="S553" s="51">
        <v>3181</v>
      </c>
    </row>
    <row r="554" spans="1:19" ht="15" x14ac:dyDescent="0.25">
      <c r="A554" s="28"/>
      <c r="B554" s="45" t="str">
        <f t="shared" si="24"/>
        <v>Jun-2024</v>
      </c>
      <c r="C554" s="57">
        <v>45444</v>
      </c>
      <c r="D554" s="43">
        <f t="shared" si="25"/>
        <v>668</v>
      </c>
      <c r="E554" s="76">
        <v>5</v>
      </c>
      <c r="F554" s="50">
        <v>11</v>
      </c>
      <c r="G554" s="49">
        <v>11450</v>
      </c>
      <c r="H554" s="73">
        <v>11</v>
      </c>
      <c r="I554" s="52">
        <v>11</v>
      </c>
      <c r="J554" s="51">
        <v>2352.21</v>
      </c>
      <c r="K554" s="52"/>
      <c r="L554" s="51"/>
      <c r="M554" s="52">
        <v>16</v>
      </c>
      <c r="N554" s="49">
        <v>9514.1</v>
      </c>
      <c r="O554" s="75">
        <v>10</v>
      </c>
      <c r="P554" s="54">
        <v>416.31</v>
      </c>
      <c r="Q554" s="54">
        <v>64.429999999999993</v>
      </c>
      <c r="R554" s="53">
        <f t="shared" si="26"/>
        <v>572.5</v>
      </c>
      <c r="S554" s="51">
        <v>2352.21</v>
      </c>
    </row>
    <row r="555" spans="1:19" ht="15" x14ac:dyDescent="0.25">
      <c r="A555" s="28"/>
      <c r="B555" s="45" t="str">
        <f t="shared" si="24"/>
        <v>Jun-2024</v>
      </c>
      <c r="C555" s="57">
        <v>45445</v>
      </c>
      <c r="D555" s="43">
        <f t="shared" si="25"/>
        <v>667</v>
      </c>
      <c r="E555" s="76">
        <v>7</v>
      </c>
      <c r="F555" s="50">
        <v>6</v>
      </c>
      <c r="G555" s="49">
        <v>4900</v>
      </c>
      <c r="H555" s="73">
        <v>6</v>
      </c>
      <c r="I555" s="52">
        <v>6</v>
      </c>
      <c r="J555" s="51">
        <v>1175.68</v>
      </c>
      <c r="K555" s="52"/>
      <c r="L555" s="51"/>
      <c r="M555" s="52">
        <v>4</v>
      </c>
      <c r="N555" s="49">
        <v>3954.95</v>
      </c>
      <c r="O555" s="75">
        <v>4</v>
      </c>
      <c r="P555" s="54">
        <v>230.63</v>
      </c>
      <c r="Q555" s="54">
        <v>54.95</v>
      </c>
      <c r="R555" s="53">
        <f t="shared" si="26"/>
        <v>245</v>
      </c>
      <c r="S555" s="51">
        <v>1175.68</v>
      </c>
    </row>
    <row r="556" spans="1:19" ht="15" x14ac:dyDescent="0.25">
      <c r="A556" s="28"/>
      <c r="B556" s="45" t="str">
        <f t="shared" si="24"/>
        <v>Jun-2024</v>
      </c>
      <c r="C556" s="57">
        <v>45446</v>
      </c>
      <c r="D556" s="43">
        <f t="shared" si="25"/>
        <v>666</v>
      </c>
      <c r="E556" s="76">
        <v>4</v>
      </c>
      <c r="F556" s="50">
        <v>9</v>
      </c>
      <c r="G556" s="49">
        <v>5170</v>
      </c>
      <c r="H556" s="73">
        <v>9</v>
      </c>
      <c r="I556" s="52">
        <v>9</v>
      </c>
      <c r="J556" s="51">
        <v>1327.3500000000001</v>
      </c>
      <c r="K556" s="52"/>
      <c r="L556" s="51"/>
      <c r="M556" s="52">
        <v>6</v>
      </c>
      <c r="N556" s="49">
        <v>4062.95</v>
      </c>
      <c r="O556" s="75">
        <v>6</v>
      </c>
      <c r="P556" s="54">
        <v>220.3</v>
      </c>
      <c r="Q556" s="54">
        <v>18.05</v>
      </c>
      <c r="R556" s="53">
        <f t="shared" si="26"/>
        <v>258.5</v>
      </c>
      <c r="S556" s="51">
        <v>1327.3500000000001</v>
      </c>
    </row>
    <row r="557" spans="1:19" ht="15" x14ac:dyDescent="0.25">
      <c r="A557" s="28"/>
      <c r="B557" s="45" t="str">
        <f t="shared" si="24"/>
        <v>Jun-2024</v>
      </c>
      <c r="C557" s="57">
        <v>45447</v>
      </c>
      <c r="D557" s="43">
        <f t="shared" si="25"/>
        <v>665</v>
      </c>
      <c r="E557" s="76">
        <v>2</v>
      </c>
      <c r="F557" s="50">
        <v>11</v>
      </c>
      <c r="G557" s="49">
        <v>9050</v>
      </c>
      <c r="H557" s="73">
        <v>11</v>
      </c>
      <c r="I557" s="52">
        <v>11</v>
      </c>
      <c r="J557" s="51">
        <v>1763</v>
      </c>
      <c r="K557" s="52"/>
      <c r="L557" s="51"/>
      <c r="M557" s="52">
        <v>9</v>
      </c>
      <c r="N557" s="49">
        <v>7594.25</v>
      </c>
      <c r="O557" s="75">
        <v>9</v>
      </c>
      <c r="P557" s="54">
        <v>307.24999999999994</v>
      </c>
      <c r="Q557" s="54">
        <v>44.51</v>
      </c>
      <c r="R557" s="53">
        <f t="shared" si="26"/>
        <v>452.5</v>
      </c>
      <c r="S557" s="51">
        <v>1763</v>
      </c>
    </row>
    <row r="558" spans="1:19" ht="15" x14ac:dyDescent="0.25">
      <c r="A558" s="28"/>
      <c r="B558" s="45" t="str">
        <f t="shared" si="24"/>
        <v>Jun-2024</v>
      </c>
      <c r="C558" s="57">
        <v>45448</v>
      </c>
      <c r="D558" s="43">
        <f t="shared" si="25"/>
        <v>664</v>
      </c>
      <c r="E558" s="76">
        <v>6</v>
      </c>
      <c r="F558" s="50">
        <v>8</v>
      </c>
      <c r="G558" s="49">
        <v>5000</v>
      </c>
      <c r="H558" s="73">
        <v>8</v>
      </c>
      <c r="I558" s="52">
        <v>8</v>
      </c>
      <c r="J558" s="51">
        <v>1762.3500000000001</v>
      </c>
      <c r="K558" s="52"/>
      <c r="L558" s="51"/>
      <c r="M558" s="52">
        <v>7</v>
      </c>
      <c r="N558" s="49">
        <v>3521.08</v>
      </c>
      <c r="O558" s="75">
        <v>7</v>
      </c>
      <c r="P558" s="54">
        <v>283.43</v>
      </c>
      <c r="Q558" s="54">
        <v>21.080000000000002</v>
      </c>
      <c r="R558" s="53">
        <f t="shared" si="26"/>
        <v>250</v>
      </c>
      <c r="S558" s="51">
        <v>1762.3500000000001</v>
      </c>
    </row>
    <row r="559" spans="1:19" ht="15" x14ac:dyDescent="0.25">
      <c r="A559" s="28"/>
      <c r="B559" s="45" t="str">
        <f t="shared" si="24"/>
        <v>Jun-2024</v>
      </c>
      <c r="C559" s="57">
        <v>45449</v>
      </c>
      <c r="D559" s="43">
        <f t="shared" si="25"/>
        <v>663</v>
      </c>
      <c r="E559" s="76">
        <v>2</v>
      </c>
      <c r="F559" s="50">
        <v>9</v>
      </c>
      <c r="G559" s="49">
        <v>6800</v>
      </c>
      <c r="H559" s="73">
        <v>9</v>
      </c>
      <c r="I559" s="52">
        <v>9</v>
      </c>
      <c r="J559" s="51">
        <v>1528.2600000000002</v>
      </c>
      <c r="K559" s="52"/>
      <c r="L559" s="51"/>
      <c r="M559" s="52">
        <v>6</v>
      </c>
      <c r="N559" s="49">
        <v>5533.56</v>
      </c>
      <c r="O559" s="75">
        <v>6</v>
      </c>
      <c r="P559" s="54">
        <v>261.82</v>
      </c>
      <c r="Q559" s="54">
        <v>33.56</v>
      </c>
      <c r="R559" s="53">
        <f t="shared" si="26"/>
        <v>340</v>
      </c>
      <c r="S559" s="51">
        <v>1528.26</v>
      </c>
    </row>
    <row r="560" spans="1:19" ht="15" x14ac:dyDescent="0.25">
      <c r="A560" s="28"/>
      <c r="B560" s="45" t="str">
        <f t="shared" si="24"/>
        <v>Jun-2024</v>
      </c>
      <c r="C560" s="57">
        <v>45450</v>
      </c>
      <c r="D560" s="43">
        <f t="shared" si="25"/>
        <v>662</v>
      </c>
      <c r="E560" s="76">
        <v>11</v>
      </c>
      <c r="F560" s="50">
        <v>16</v>
      </c>
      <c r="G560" s="49">
        <v>10600</v>
      </c>
      <c r="H560" s="73">
        <v>16</v>
      </c>
      <c r="I560" s="52">
        <v>16</v>
      </c>
      <c r="J560" s="51">
        <v>4236.8</v>
      </c>
      <c r="K560" s="52"/>
      <c r="L560" s="51"/>
      <c r="M560" s="52">
        <v>10</v>
      </c>
      <c r="N560" s="49">
        <v>7062.82</v>
      </c>
      <c r="O560" s="75">
        <v>10</v>
      </c>
      <c r="P560" s="54">
        <v>699.61999999999989</v>
      </c>
      <c r="Q560" s="54">
        <v>62.82</v>
      </c>
      <c r="R560" s="53">
        <f t="shared" si="26"/>
        <v>530</v>
      </c>
      <c r="S560" s="51">
        <v>4236.8</v>
      </c>
    </row>
    <row r="561" spans="1:19" ht="15" x14ac:dyDescent="0.25">
      <c r="A561" s="28"/>
      <c r="B561" s="45" t="str">
        <f t="shared" si="24"/>
        <v>Jun-2024</v>
      </c>
      <c r="C561" s="57">
        <v>45451</v>
      </c>
      <c r="D561" s="43">
        <f t="shared" si="25"/>
        <v>661</v>
      </c>
      <c r="E561" s="76">
        <v>5</v>
      </c>
      <c r="F561" s="50">
        <v>10</v>
      </c>
      <c r="G561" s="49">
        <v>4100</v>
      </c>
      <c r="H561" s="73">
        <v>10</v>
      </c>
      <c r="I561" s="52">
        <v>10</v>
      </c>
      <c r="J561" s="51">
        <v>3295.33</v>
      </c>
      <c r="K561" s="52"/>
      <c r="L561" s="51"/>
      <c r="M561" s="52">
        <v>2</v>
      </c>
      <c r="N561" s="49">
        <v>1320.8</v>
      </c>
      <c r="O561" s="75">
        <v>2</v>
      </c>
      <c r="P561" s="54">
        <v>516.13</v>
      </c>
      <c r="Q561" s="54">
        <v>20.799999999999997</v>
      </c>
      <c r="R561" s="53">
        <f t="shared" si="26"/>
        <v>205</v>
      </c>
      <c r="S561" s="51">
        <v>3295.33</v>
      </c>
    </row>
    <row r="562" spans="1:19" ht="15" x14ac:dyDescent="0.25">
      <c r="A562" s="28"/>
      <c r="B562" s="45" t="str">
        <f t="shared" si="24"/>
        <v>Jun-2024</v>
      </c>
      <c r="C562" s="57">
        <v>45452</v>
      </c>
      <c r="D562" s="43">
        <f t="shared" si="25"/>
        <v>660</v>
      </c>
      <c r="E562" s="76">
        <v>4</v>
      </c>
      <c r="F562" s="50">
        <v>9</v>
      </c>
      <c r="G562" s="49">
        <v>6400</v>
      </c>
      <c r="H562" s="73">
        <v>8</v>
      </c>
      <c r="I562" s="52">
        <v>9</v>
      </c>
      <c r="J562" s="51">
        <v>1173.8599999999999</v>
      </c>
      <c r="K562" s="52">
        <v>1</v>
      </c>
      <c r="L562" s="51">
        <v>500.11</v>
      </c>
      <c r="M562" s="52">
        <v>7</v>
      </c>
      <c r="N562" s="49">
        <v>5425.8</v>
      </c>
      <c r="O562" s="75">
        <v>7</v>
      </c>
      <c r="P562" s="54">
        <v>199.66</v>
      </c>
      <c r="Q562" s="54">
        <v>25.8</v>
      </c>
      <c r="R562" s="53">
        <f t="shared" si="26"/>
        <v>320</v>
      </c>
      <c r="S562" s="51">
        <v>1173.8599999999999</v>
      </c>
    </row>
    <row r="563" spans="1:19" ht="15" x14ac:dyDescent="0.25">
      <c r="A563" s="28"/>
      <c r="B563" s="45" t="str">
        <f t="shared" si="24"/>
        <v>Jun-2024</v>
      </c>
      <c r="C563" s="57">
        <v>45453</v>
      </c>
      <c r="D563" s="43">
        <f t="shared" si="25"/>
        <v>659</v>
      </c>
      <c r="E563" s="76">
        <v>4</v>
      </c>
      <c r="F563" s="50">
        <v>8</v>
      </c>
      <c r="G563" s="49">
        <v>7250</v>
      </c>
      <c r="H563" s="73">
        <v>8</v>
      </c>
      <c r="I563" s="52">
        <v>8</v>
      </c>
      <c r="J563" s="51">
        <v>2467.1499999999996</v>
      </c>
      <c r="K563" s="52"/>
      <c r="L563" s="51"/>
      <c r="M563" s="52">
        <v>3</v>
      </c>
      <c r="N563" s="49">
        <v>5166.2299999999996</v>
      </c>
      <c r="O563" s="75">
        <v>3</v>
      </c>
      <c r="P563" s="54">
        <v>383.38</v>
      </c>
      <c r="Q563" s="54">
        <v>16.23</v>
      </c>
      <c r="R563" s="53">
        <f t="shared" si="26"/>
        <v>362.5</v>
      </c>
      <c r="S563" s="51">
        <v>2467.1499999999996</v>
      </c>
    </row>
    <row r="564" spans="1:19" ht="15" x14ac:dyDescent="0.25">
      <c r="A564" s="28"/>
      <c r="B564" s="45" t="str">
        <f t="shared" si="24"/>
        <v>Jun-2024</v>
      </c>
      <c r="C564" s="57">
        <v>45454</v>
      </c>
      <c r="D564" s="43">
        <f t="shared" si="25"/>
        <v>658</v>
      </c>
      <c r="E564" s="76">
        <v>8</v>
      </c>
      <c r="F564" s="50">
        <v>10</v>
      </c>
      <c r="G564" s="49">
        <v>5400</v>
      </c>
      <c r="H564" s="73">
        <v>10</v>
      </c>
      <c r="I564" s="52">
        <v>10</v>
      </c>
      <c r="J564" s="51">
        <v>4226.6099999999997</v>
      </c>
      <c r="K564" s="52"/>
      <c r="L564" s="51"/>
      <c r="M564" s="52">
        <v>3</v>
      </c>
      <c r="N564" s="49">
        <v>1803.75</v>
      </c>
      <c r="O564" s="75">
        <v>3</v>
      </c>
      <c r="P564" s="54">
        <v>630.3599999999999</v>
      </c>
      <c r="Q564" s="54">
        <v>3.75</v>
      </c>
      <c r="R564" s="53">
        <f t="shared" si="26"/>
        <v>270</v>
      </c>
      <c r="S564" s="51">
        <v>4226.6099999999997</v>
      </c>
    </row>
    <row r="565" spans="1:19" ht="15" x14ac:dyDescent="0.25">
      <c r="A565" s="28"/>
      <c r="B565" s="45" t="str">
        <f t="shared" si="24"/>
        <v>Jun-2024</v>
      </c>
      <c r="C565" s="57">
        <v>45455</v>
      </c>
      <c r="D565" s="43">
        <f t="shared" si="25"/>
        <v>657</v>
      </c>
      <c r="E565" s="76">
        <v>2</v>
      </c>
      <c r="F565" s="50">
        <v>6</v>
      </c>
      <c r="G565" s="49">
        <v>3980</v>
      </c>
      <c r="H565" s="73">
        <v>6</v>
      </c>
      <c r="I565" s="52">
        <v>6</v>
      </c>
      <c r="J565" s="51">
        <v>0</v>
      </c>
      <c r="K565" s="52"/>
      <c r="L565" s="51"/>
      <c r="M565" s="52">
        <v>9</v>
      </c>
      <c r="N565" s="49">
        <v>3998.17</v>
      </c>
      <c r="O565" s="75">
        <v>8</v>
      </c>
      <c r="P565" s="54">
        <v>18.169999999999998</v>
      </c>
      <c r="Q565" s="54">
        <v>18.169999999999998</v>
      </c>
      <c r="R565" s="53">
        <f t="shared" si="26"/>
        <v>199</v>
      </c>
      <c r="S565" s="51"/>
    </row>
    <row r="566" spans="1:19" ht="15" x14ac:dyDescent="0.25">
      <c r="A566" s="28"/>
      <c r="B566" s="45" t="str">
        <f t="shared" si="24"/>
        <v>Jun-2024</v>
      </c>
      <c r="C566" s="57">
        <v>45456</v>
      </c>
      <c r="D566" s="43">
        <f t="shared" si="25"/>
        <v>656</v>
      </c>
      <c r="E566" s="76">
        <v>1</v>
      </c>
      <c r="F566" s="50">
        <v>8</v>
      </c>
      <c r="G566" s="49">
        <v>4600</v>
      </c>
      <c r="H566" s="73">
        <v>8</v>
      </c>
      <c r="I566" s="52">
        <v>8</v>
      </c>
      <c r="J566" s="51">
        <v>1292.6799999999998</v>
      </c>
      <c r="K566" s="52"/>
      <c r="L566" s="51"/>
      <c r="M566" s="52">
        <v>7</v>
      </c>
      <c r="N566" s="49">
        <v>3567.45</v>
      </c>
      <c r="O566" s="75">
        <v>7</v>
      </c>
      <c r="P566" s="54">
        <v>260.13</v>
      </c>
      <c r="Q566" s="54">
        <v>67.449999999999989</v>
      </c>
      <c r="R566" s="53">
        <f t="shared" si="26"/>
        <v>230</v>
      </c>
      <c r="S566" s="51">
        <v>1292.6799999999998</v>
      </c>
    </row>
    <row r="567" spans="1:19" ht="15" x14ac:dyDescent="0.25">
      <c r="A567" s="28"/>
      <c r="B567" s="45" t="str">
        <f t="shared" si="24"/>
        <v>Jun-2024</v>
      </c>
      <c r="C567" s="57">
        <v>45457</v>
      </c>
      <c r="D567" s="43">
        <f t="shared" si="25"/>
        <v>655</v>
      </c>
      <c r="E567" s="76">
        <v>6</v>
      </c>
      <c r="F567" s="50">
        <v>15</v>
      </c>
      <c r="G567" s="49">
        <v>12550</v>
      </c>
      <c r="H567" s="73">
        <v>15</v>
      </c>
      <c r="I567" s="52">
        <v>15</v>
      </c>
      <c r="J567" s="51">
        <v>2270.12</v>
      </c>
      <c r="K567" s="52">
        <v>2</v>
      </c>
      <c r="L567" s="51">
        <v>1800.4</v>
      </c>
      <c r="M567" s="52">
        <v>14</v>
      </c>
      <c r="N567" s="49">
        <v>10665.37</v>
      </c>
      <c r="O567" s="75">
        <v>14</v>
      </c>
      <c r="P567" s="54">
        <v>385.49000000000007</v>
      </c>
      <c r="Q567" s="54">
        <v>66.650000000000006</v>
      </c>
      <c r="R567" s="53">
        <f t="shared" si="26"/>
        <v>627.5</v>
      </c>
      <c r="S567" s="51">
        <v>2270.12</v>
      </c>
    </row>
    <row r="568" spans="1:19" ht="15" x14ac:dyDescent="0.25">
      <c r="A568" s="28"/>
      <c r="B568" s="45" t="str">
        <f t="shared" si="24"/>
        <v>Jun-2024</v>
      </c>
      <c r="C568" s="57">
        <v>45458</v>
      </c>
      <c r="D568" s="43">
        <f t="shared" si="25"/>
        <v>654</v>
      </c>
      <c r="E568" s="76">
        <v>1</v>
      </c>
      <c r="F568" s="50">
        <v>9</v>
      </c>
      <c r="G568" s="49">
        <v>6600</v>
      </c>
      <c r="H568" s="73">
        <v>9</v>
      </c>
      <c r="I568" s="52">
        <v>9</v>
      </c>
      <c r="J568" s="51">
        <v>591.16999999999996</v>
      </c>
      <c r="K568" s="52">
        <v>1</v>
      </c>
      <c r="L568" s="51">
        <v>95</v>
      </c>
      <c r="M568" s="52">
        <v>9</v>
      </c>
      <c r="N568" s="49">
        <v>6184.45</v>
      </c>
      <c r="O568" s="75">
        <v>9</v>
      </c>
      <c r="P568" s="54">
        <v>175.62</v>
      </c>
      <c r="Q568" s="54">
        <v>89.470000000000013</v>
      </c>
      <c r="R568" s="53">
        <f t="shared" si="26"/>
        <v>330</v>
      </c>
      <c r="S568" s="51">
        <v>591.16999999999996</v>
      </c>
    </row>
    <row r="569" spans="1:19" ht="15" x14ac:dyDescent="0.25">
      <c r="A569" s="28"/>
      <c r="B569" s="45" t="str">
        <f t="shared" si="24"/>
        <v>Jun-2024</v>
      </c>
      <c r="C569" s="57">
        <v>45459</v>
      </c>
      <c r="D569" s="43">
        <f t="shared" si="25"/>
        <v>653</v>
      </c>
      <c r="E569" s="76">
        <v>4</v>
      </c>
      <c r="F569" s="50">
        <v>8</v>
      </c>
      <c r="G569" s="49">
        <v>6360</v>
      </c>
      <c r="H569" s="73">
        <v>8</v>
      </c>
      <c r="I569" s="52">
        <v>8</v>
      </c>
      <c r="J569" s="51">
        <v>705.79</v>
      </c>
      <c r="K569" s="52"/>
      <c r="L569" s="51"/>
      <c r="M569" s="52">
        <v>10</v>
      </c>
      <c r="N569" s="49">
        <v>5788.86</v>
      </c>
      <c r="O569" s="75">
        <v>6</v>
      </c>
      <c r="P569" s="54">
        <v>134.65</v>
      </c>
      <c r="Q569" s="54">
        <v>28.86</v>
      </c>
      <c r="R569" s="53">
        <f t="shared" si="26"/>
        <v>318</v>
      </c>
      <c r="S569" s="51">
        <v>705.79</v>
      </c>
    </row>
    <row r="570" spans="1:19" ht="15" x14ac:dyDescent="0.25">
      <c r="A570" s="28"/>
      <c r="B570" s="45" t="str">
        <f t="shared" si="24"/>
        <v>Jun-2024</v>
      </c>
      <c r="C570" s="57">
        <v>45460</v>
      </c>
      <c r="D570" s="43">
        <f t="shared" si="25"/>
        <v>652</v>
      </c>
      <c r="E570" s="76">
        <v>13</v>
      </c>
      <c r="F570" s="50">
        <v>11</v>
      </c>
      <c r="G570" s="49">
        <v>4500</v>
      </c>
      <c r="H570" s="73">
        <v>11</v>
      </c>
      <c r="I570" s="52">
        <v>11</v>
      </c>
      <c r="J570" s="51">
        <v>2236.6299999999997</v>
      </c>
      <c r="K570" s="52">
        <v>1</v>
      </c>
      <c r="L570" s="51">
        <v>95</v>
      </c>
      <c r="M570" s="52">
        <v>5</v>
      </c>
      <c r="N570" s="49">
        <v>2606.27</v>
      </c>
      <c r="O570" s="75">
        <v>5</v>
      </c>
      <c r="P570" s="54">
        <v>342.9</v>
      </c>
      <c r="Q570" s="54">
        <v>6.27</v>
      </c>
      <c r="R570" s="53">
        <f t="shared" si="26"/>
        <v>225</v>
      </c>
      <c r="S570" s="51">
        <v>2236.6299999999997</v>
      </c>
    </row>
    <row r="571" spans="1:19" ht="15" x14ac:dyDescent="0.25">
      <c r="A571" s="28"/>
      <c r="B571" s="45" t="str">
        <f t="shared" si="24"/>
        <v>Jun-2024</v>
      </c>
      <c r="C571" s="57">
        <v>45461</v>
      </c>
      <c r="D571" s="43">
        <f t="shared" si="25"/>
        <v>651</v>
      </c>
      <c r="E571" s="76">
        <v>2</v>
      </c>
      <c r="F571" s="50">
        <v>11</v>
      </c>
      <c r="G571" s="49">
        <v>7000</v>
      </c>
      <c r="H571" s="73">
        <v>11</v>
      </c>
      <c r="I571" s="52">
        <v>11</v>
      </c>
      <c r="J571" s="51">
        <v>2110.09</v>
      </c>
      <c r="K571" s="52"/>
      <c r="L571" s="51"/>
      <c r="M571" s="52">
        <v>8</v>
      </c>
      <c r="N571" s="49">
        <v>5221.37</v>
      </c>
      <c r="O571" s="75">
        <v>8</v>
      </c>
      <c r="P571" s="54">
        <v>331.46000000000009</v>
      </c>
      <c r="Q571" s="54">
        <v>21.37</v>
      </c>
      <c r="R571" s="53">
        <f t="shared" si="26"/>
        <v>350</v>
      </c>
      <c r="S571" s="51">
        <v>2110.09</v>
      </c>
    </row>
    <row r="572" spans="1:19" ht="15" x14ac:dyDescent="0.25">
      <c r="A572" s="28"/>
      <c r="B572" s="45" t="str">
        <f t="shared" si="24"/>
        <v>Jun-2024</v>
      </c>
      <c r="C572" s="57">
        <v>45462</v>
      </c>
      <c r="D572" s="43">
        <f t="shared" si="25"/>
        <v>650</v>
      </c>
      <c r="E572" s="76">
        <v>9</v>
      </c>
      <c r="F572" s="50">
        <v>4</v>
      </c>
      <c r="G572" s="49">
        <v>2300</v>
      </c>
      <c r="H572" s="73">
        <v>4</v>
      </c>
      <c r="I572" s="52">
        <v>4</v>
      </c>
      <c r="J572" s="51">
        <v>1756.8899999999999</v>
      </c>
      <c r="K572" s="52"/>
      <c r="L572" s="51"/>
      <c r="M572" s="52">
        <v>1</v>
      </c>
      <c r="N572" s="49">
        <v>802.7</v>
      </c>
      <c r="O572" s="75">
        <v>1</v>
      </c>
      <c r="P572" s="54">
        <v>259.59000000000003</v>
      </c>
      <c r="Q572" s="54">
        <v>2.7</v>
      </c>
      <c r="R572" s="53">
        <f t="shared" si="26"/>
        <v>115</v>
      </c>
      <c r="S572" s="51">
        <v>1756.8899999999999</v>
      </c>
    </row>
    <row r="573" spans="1:19" ht="15" x14ac:dyDescent="0.25">
      <c r="A573" s="28"/>
      <c r="B573" s="45" t="str">
        <f t="shared" si="24"/>
        <v>Jun-2024</v>
      </c>
      <c r="C573" s="57">
        <v>45463</v>
      </c>
      <c r="D573" s="43">
        <f t="shared" si="25"/>
        <v>649</v>
      </c>
      <c r="E573" s="76">
        <v>5</v>
      </c>
      <c r="F573" s="50">
        <v>12</v>
      </c>
      <c r="G573" s="49">
        <v>7380</v>
      </c>
      <c r="H573" s="73">
        <v>12</v>
      </c>
      <c r="I573" s="52">
        <v>12</v>
      </c>
      <c r="J573" s="51">
        <v>2432.1</v>
      </c>
      <c r="K573" s="52">
        <v>1</v>
      </c>
      <c r="L573" s="51">
        <v>100.02</v>
      </c>
      <c r="M573" s="52">
        <v>10</v>
      </c>
      <c r="N573" s="49">
        <v>5399.13</v>
      </c>
      <c r="O573" s="75">
        <v>10</v>
      </c>
      <c r="P573" s="54">
        <v>451.22999999999996</v>
      </c>
      <c r="Q573" s="54">
        <v>96.33</v>
      </c>
      <c r="R573" s="53">
        <f t="shared" si="26"/>
        <v>369</v>
      </c>
      <c r="S573" s="51">
        <v>2432.1</v>
      </c>
    </row>
    <row r="574" spans="1:19" ht="15" x14ac:dyDescent="0.25">
      <c r="A574" s="28"/>
      <c r="B574" s="45" t="str">
        <f t="shared" si="24"/>
        <v>Jun-2024</v>
      </c>
      <c r="C574" s="57">
        <v>45464</v>
      </c>
      <c r="D574" s="43">
        <f t="shared" si="25"/>
        <v>648</v>
      </c>
      <c r="E574" s="76">
        <v>5</v>
      </c>
      <c r="F574" s="50">
        <v>11</v>
      </c>
      <c r="G574" s="49">
        <v>8800</v>
      </c>
      <c r="H574" s="73">
        <v>11</v>
      </c>
      <c r="I574" s="52">
        <v>11</v>
      </c>
      <c r="J574" s="51">
        <v>3864.79</v>
      </c>
      <c r="K574" s="52"/>
      <c r="L574" s="51"/>
      <c r="M574" s="52">
        <v>6</v>
      </c>
      <c r="N574" s="49">
        <v>5527.17</v>
      </c>
      <c r="O574" s="75">
        <v>6</v>
      </c>
      <c r="P574" s="54">
        <v>591.96</v>
      </c>
      <c r="Q574" s="54">
        <v>27.17</v>
      </c>
      <c r="R574" s="53">
        <f t="shared" si="26"/>
        <v>440</v>
      </c>
      <c r="S574" s="51">
        <v>3864.79</v>
      </c>
    </row>
    <row r="575" spans="1:19" ht="15" x14ac:dyDescent="0.25">
      <c r="A575" s="28"/>
      <c r="B575" s="45" t="str">
        <f t="shared" si="24"/>
        <v>Jun-2024</v>
      </c>
      <c r="C575" s="57">
        <v>45465</v>
      </c>
      <c r="D575" s="43">
        <f t="shared" si="25"/>
        <v>647</v>
      </c>
      <c r="E575" s="76">
        <v>4</v>
      </c>
      <c r="F575" s="50">
        <v>14</v>
      </c>
      <c r="G575" s="49">
        <v>9350</v>
      </c>
      <c r="H575" s="73">
        <v>14</v>
      </c>
      <c r="I575" s="52">
        <v>14</v>
      </c>
      <c r="J575" s="51">
        <v>1875.31</v>
      </c>
      <c r="K575" s="52"/>
      <c r="L575" s="51"/>
      <c r="M575" s="52">
        <v>10</v>
      </c>
      <c r="N575" s="49">
        <v>7808.35</v>
      </c>
      <c r="O575" s="75">
        <v>10</v>
      </c>
      <c r="P575" s="54">
        <v>333.65999999999997</v>
      </c>
      <c r="Q575" s="54">
        <v>58.35</v>
      </c>
      <c r="R575" s="53">
        <f t="shared" si="26"/>
        <v>467.5</v>
      </c>
      <c r="S575" s="51">
        <v>1875.3100000000002</v>
      </c>
    </row>
    <row r="576" spans="1:19" ht="15" x14ac:dyDescent="0.25">
      <c r="A576" s="28"/>
      <c r="B576" s="45" t="str">
        <f t="shared" si="24"/>
        <v>Jun-2024</v>
      </c>
      <c r="C576" s="57">
        <v>45466</v>
      </c>
      <c r="D576" s="43">
        <f t="shared" si="25"/>
        <v>646</v>
      </c>
      <c r="E576" s="76">
        <v>3</v>
      </c>
      <c r="F576" s="50">
        <v>8</v>
      </c>
      <c r="G576" s="49">
        <v>6010</v>
      </c>
      <c r="H576" s="73">
        <v>8</v>
      </c>
      <c r="I576" s="52">
        <v>8</v>
      </c>
      <c r="J576" s="51">
        <v>994.09</v>
      </c>
      <c r="K576" s="52"/>
      <c r="L576" s="51"/>
      <c r="M576" s="52">
        <v>6</v>
      </c>
      <c r="N576" s="49">
        <v>5173.6000000000004</v>
      </c>
      <c r="O576" s="75">
        <v>6</v>
      </c>
      <c r="P576" s="54">
        <v>157.68999999999997</v>
      </c>
      <c r="Q576" s="54">
        <v>13.6</v>
      </c>
      <c r="R576" s="53">
        <f t="shared" si="26"/>
        <v>300.5</v>
      </c>
      <c r="S576" s="51">
        <v>994.09</v>
      </c>
    </row>
    <row r="577" spans="1:19" ht="15" x14ac:dyDescent="0.25">
      <c r="A577" s="28"/>
      <c r="B577" s="45" t="str">
        <f t="shared" si="24"/>
        <v>Jun-2024</v>
      </c>
      <c r="C577" s="57">
        <v>45467</v>
      </c>
      <c r="D577" s="43">
        <f t="shared" si="25"/>
        <v>645</v>
      </c>
      <c r="E577" s="76">
        <v>5</v>
      </c>
      <c r="F577" s="50">
        <v>8</v>
      </c>
      <c r="G577" s="49">
        <v>5550</v>
      </c>
      <c r="H577" s="73">
        <v>8</v>
      </c>
      <c r="I577" s="52">
        <v>8</v>
      </c>
      <c r="J577" s="51">
        <v>1874.47</v>
      </c>
      <c r="K577" s="52"/>
      <c r="L577" s="51"/>
      <c r="M577" s="52">
        <v>4</v>
      </c>
      <c r="N577" s="49">
        <v>3966.92</v>
      </c>
      <c r="O577" s="75">
        <v>4</v>
      </c>
      <c r="P577" s="54">
        <v>291.39000000000004</v>
      </c>
      <c r="Q577" s="54">
        <v>16.920000000000002</v>
      </c>
      <c r="R577" s="53">
        <f t="shared" si="26"/>
        <v>277.5</v>
      </c>
      <c r="S577" s="51">
        <v>1874.47</v>
      </c>
    </row>
    <row r="578" spans="1:19" ht="15" x14ac:dyDescent="0.25">
      <c r="A578" s="28"/>
      <c r="B578" s="45" t="str">
        <f t="shared" si="24"/>
        <v>Jun-2024</v>
      </c>
      <c r="C578" s="57">
        <v>45468</v>
      </c>
      <c r="D578" s="43">
        <f t="shared" si="25"/>
        <v>644</v>
      </c>
      <c r="E578" s="76">
        <v>6</v>
      </c>
      <c r="F578" s="50">
        <v>12</v>
      </c>
      <c r="G578" s="49">
        <v>13550</v>
      </c>
      <c r="H578" s="73">
        <v>12</v>
      </c>
      <c r="I578" s="52">
        <v>12</v>
      </c>
      <c r="J578" s="51">
        <v>1289.2</v>
      </c>
      <c r="K578" s="52"/>
      <c r="L578" s="51"/>
      <c r="M578" s="52">
        <v>12</v>
      </c>
      <c r="N578" s="49">
        <v>12556.44</v>
      </c>
      <c r="O578" s="75">
        <v>11</v>
      </c>
      <c r="P578" s="54">
        <v>295.64000000000004</v>
      </c>
      <c r="Q578" s="54">
        <v>106.44</v>
      </c>
      <c r="R578" s="53">
        <f t="shared" si="26"/>
        <v>677.5</v>
      </c>
      <c r="S578" s="51">
        <v>1289.2</v>
      </c>
    </row>
    <row r="579" spans="1:19" ht="15" x14ac:dyDescent="0.25">
      <c r="A579" s="28"/>
      <c r="B579" s="45" t="str">
        <f t="shared" si="24"/>
        <v>Jun-2024</v>
      </c>
      <c r="C579" s="57">
        <v>45469</v>
      </c>
      <c r="D579" s="43">
        <f t="shared" si="25"/>
        <v>643</v>
      </c>
      <c r="E579" s="76">
        <v>4</v>
      </c>
      <c r="F579" s="50">
        <v>16</v>
      </c>
      <c r="G579" s="49">
        <v>11010</v>
      </c>
      <c r="H579" s="73">
        <v>16</v>
      </c>
      <c r="I579" s="52">
        <v>16</v>
      </c>
      <c r="J579" s="51">
        <v>4514.1100000000015</v>
      </c>
      <c r="K579" s="52">
        <v>6</v>
      </c>
      <c r="L579" s="51">
        <v>566.12</v>
      </c>
      <c r="M579" s="52">
        <v>22</v>
      </c>
      <c r="N579" s="49">
        <v>7197.75</v>
      </c>
      <c r="O579" s="75">
        <v>15</v>
      </c>
      <c r="P579" s="54">
        <v>701.86000000000024</v>
      </c>
      <c r="Q579" s="54">
        <v>43.72</v>
      </c>
      <c r="R579" s="53">
        <f t="shared" si="26"/>
        <v>550.5</v>
      </c>
      <c r="S579" s="51">
        <v>4514.1100000000006</v>
      </c>
    </row>
    <row r="580" spans="1:19" ht="15" x14ac:dyDescent="0.25">
      <c r="A580" s="28"/>
      <c r="B580" s="45" t="str">
        <f t="shared" si="24"/>
        <v>Jun-2024</v>
      </c>
      <c r="C580" s="57">
        <v>45470</v>
      </c>
      <c r="D580" s="43">
        <f t="shared" si="25"/>
        <v>642</v>
      </c>
      <c r="E580" s="76">
        <v>8</v>
      </c>
      <c r="F580" s="50">
        <v>10</v>
      </c>
      <c r="G580" s="49">
        <v>4200</v>
      </c>
      <c r="H580" s="73">
        <v>10</v>
      </c>
      <c r="I580" s="52">
        <v>10</v>
      </c>
      <c r="J580" s="51">
        <v>3746.4200000000005</v>
      </c>
      <c r="K580" s="52"/>
      <c r="L580" s="51"/>
      <c r="M580" s="52">
        <v>2</v>
      </c>
      <c r="N580" s="49">
        <v>1002.86</v>
      </c>
      <c r="O580" s="75">
        <v>2</v>
      </c>
      <c r="P580" s="54">
        <v>549.2800000000002</v>
      </c>
      <c r="Q580" s="54">
        <v>2.8600000000000003</v>
      </c>
      <c r="R580" s="53">
        <f t="shared" si="26"/>
        <v>210</v>
      </c>
      <c r="S580" s="51">
        <v>3746.4200000000005</v>
      </c>
    </row>
    <row r="581" spans="1:19" ht="15" x14ac:dyDescent="0.25">
      <c r="A581" s="28"/>
      <c r="B581" s="45" t="str">
        <f t="shared" si="24"/>
        <v>Jun-2024</v>
      </c>
      <c r="C581" s="57">
        <v>45471</v>
      </c>
      <c r="D581" s="43">
        <f t="shared" si="25"/>
        <v>641</v>
      </c>
      <c r="E581" s="76">
        <v>4</v>
      </c>
      <c r="F581" s="50">
        <v>11</v>
      </c>
      <c r="G581" s="49">
        <v>6450</v>
      </c>
      <c r="H581" s="73">
        <v>11</v>
      </c>
      <c r="I581" s="52">
        <v>11</v>
      </c>
      <c r="J581" s="51">
        <v>1992.2000000000003</v>
      </c>
      <c r="K581" s="52"/>
      <c r="L581" s="51"/>
      <c r="M581" s="52">
        <v>5</v>
      </c>
      <c r="N581" s="49">
        <v>4772.38</v>
      </c>
      <c r="O581" s="75">
        <v>5</v>
      </c>
      <c r="P581" s="54">
        <v>314.58000000000004</v>
      </c>
      <c r="Q581" s="54">
        <v>22.380000000000003</v>
      </c>
      <c r="R581" s="53">
        <f t="shared" si="26"/>
        <v>322.5</v>
      </c>
      <c r="S581" s="51">
        <v>1992.2</v>
      </c>
    </row>
    <row r="582" spans="1:19" ht="15" x14ac:dyDescent="0.25">
      <c r="A582" s="28"/>
      <c r="B582" s="45" t="str">
        <f t="shared" ref="B582:B646" si="27">TEXT(C582,"MMM-YYYY")</f>
        <v>Jun-2024</v>
      </c>
      <c r="C582" s="57">
        <v>45472</v>
      </c>
      <c r="D582" s="43">
        <f t="shared" ref="D582:D646" si="28">$A$1-C582</f>
        <v>640</v>
      </c>
      <c r="E582" s="76">
        <v>3</v>
      </c>
      <c r="F582" s="50">
        <v>13</v>
      </c>
      <c r="G582" s="49">
        <v>10330</v>
      </c>
      <c r="H582" s="73">
        <v>13</v>
      </c>
      <c r="I582" s="52">
        <v>13</v>
      </c>
      <c r="J582" s="51">
        <v>3412.97</v>
      </c>
      <c r="K582" s="52">
        <v>1</v>
      </c>
      <c r="L582" s="51">
        <v>10</v>
      </c>
      <c r="M582" s="52">
        <v>9</v>
      </c>
      <c r="N582" s="49">
        <v>7524.36</v>
      </c>
      <c r="O582" s="75">
        <v>9</v>
      </c>
      <c r="P582" s="54">
        <v>607.32999999999993</v>
      </c>
      <c r="Q582" s="54">
        <v>114.41</v>
      </c>
      <c r="R582" s="53">
        <f t="shared" ref="R582:R646" si="29">G582*5%</f>
        <v>516.5</v>
      </c>
      <c r="S582" s="51">
        <v>3412.9700000000003</v>
      </c>
    </row>
    <row r="583" spans="1:19" ht="15" x14ac:dyDescent="0.25">
      <c r="A583" s="28"/>
      <c r="B583" s="45" t="str">
        <f t="shared" si="27"/>
        <v>Jun-2024</v>
      </c>
      <c r="C583" s="57">
        <v>45473</v>
      </c>
      <c r="D583" s="43">
        <f t="shared" si="28"/>
        <v>639</v>
      </c>
      <c r="E583" s="76">
        <v>2</v>
      </c>
      <c r="F583" s="50">
        <v>6</v>
      </c>
      <c r="G583" s="49">
        <v>6940</v>
      </c>
      <c r="H583" s="73">
        <v>6</v>
      </c>
      <c r="I583" s="52">
        <v>6</v>
      </c>
      <c r="J583" s="51">
        <v>1984.95</v>
      </c>
      <c r="K583" s="52"/>
      <c r="L583" s="51"/>
      <c r="M583" s="52">
        <v>8</v>
      </c>
      <c r="N583" s="49">
        <v>5258.81</v>
      </c>
      <c r="O583" s="75">
        <v>7</v>
      </c>
      <c r="P583" s="54">
        <v>303.76</v>
      </c>
      <c r="Q583" s="54">
        <v>18.809999999999999</v>
      </c>
      <c r="R583" s="53">
        <f t="shared" si="29"/>
        <v>347</v>
      </c>
      <c r="S583" s="51">
        <v>1984.95</v>
      </c>
    </row>
    <row r="584" spans="1:19" s="97" customFormat="1" ht="15" x14ac:dyDescent="0.25">
      <c r="A584" s="84"/>
      <c r="B584" s="85"/>
      <c r="C584" s="86"/>
      <c r="D584" s="87"/>
      <c r="E584" s="88"/>
      <c r="F584" s="89"/>
      <c r="G584" s="83">
        <f>SUM(G554:G583)</f>
        <v>213580</v>
      </c>
      <c r="H584" s="90"/>
      <c r="I584" s="92"/>
      <c r="J584" s="93"/>
      <c r="K584" s="92"/>
      <c r="L584" s="93"/>
      <c r="M584" s="92"/>
      <c r="N584" s="83"/>
      <c r="O584" s="94"/>
      <c r="P584" s="98"/>
      <c r="Q584" s="98"/>
      <c r="R584" s="96"/>
      <c r="S584" s="93"/>
    </row>
    <row r="585" spans="1:19" ht="15" x14ac:dyDescent="0.25">
      <c r="A585" s="28"/>
      <c r="B585" s="45" t="str">
        <f t="shared" si="27"/>
        <v>Jul-2024</v>
      </c>
      <c r="C585" s="57">
        <v>45474</v>
      </c>
      <c r="D585" s="43">
        <f t="shared" si="28"/>
        <v>638</v>
      </c>
      <c r="E585" s="76">
        <v>6</v>
      </c>
      <c r="F585" s="50">
        <v>11</v>
      </c>
      <c r="G585" s="49">
        <v>6400</v>
      </c>
      <c r="H585" s="73">
        <v>11</v>
      </c>
      <c r="I585" s="52">
        <v>11</v>
      </c>
      <c r="J585" s="51">
        <v>1168.1400000000001</v>
      </c>
      <c r="K585" s="52">
        <v>1</v>
      </c>
      <c r="L585" s="51">
        <v>500.11</v>
      </c>
      <c r="M585" s="52">
        <v>33</v>
      </c>
      <c r="N585" s="49">
        <v>5445.89</v>
      </c>
      <c r="O585" s="75">
        <v>15</v>
      </c>
      <c r="P585" s="54">
        <v>214.03</v>
      </c>
      <c r="Q585" s="54">
        <v>45.89</v>
      </c>
      <c r="R585" s="53">
        <f t="shared" si="29"/>
        <v>320</v>
      </c>
      <c r="S585" s="51">
        <v>1168.1400000000001</v>
      </c>
    </row>
    <row r="586" spans="1:19" ht="15" x14ac:dyDescent="0.25">
      <c r="A586" s="28"/>
      <c r="B586" s="45" t="str">
        <f t="shared" si="27"/>
        <v>Jul-2024</v>
      </c>
      <c r="C586" s="57">
        <v>45475</v>
      </c>
      <c r="D586" s="43">
        <f t="shared" si="28"/>
        <v>637</v>
      </c>
      <c r="E586" s="76">
        <v>6</v>
      </c>
      <c r="F586" s="50">
        <v>14</v>
      </c>
      <c r="G586" s="49">
        <v>12210</v>
      </c>
      <c r="H586" s="73">
        <v>14</v>
      </c>
      <c r="I586" s="52">
        <v>14</v>
      </c>
      <c r="J586" s="51">
        <v>2398.5700000000002</v>
      </c>
      <c r="K586" s="52"/>
      <c r="L586" s="51"/>
      <c r="M586" s="52">
        <v>9</v>
      </c>
      <c r="N586" s="49">
        <v>10234.219999999999</v>
      </c>
      <c r="O586" s="75">
        <v>9</v>
      </c>
      <c r="P586" s="54">
        <v>422.78999999999996</v>
      </c>
      <c r="Q586" s="54">
        <v>74.22</v>
      </c>
      <c r="R586" s="53">
        <f t="shared" si="29"/>
        <v>610.5</v>
      </c>
      <c r="S586" s="51">
        <v>2398.5700000000002</v>
      </c>
    </row>
    <row r="587" spans="1:19" ht="15" x14ac:dyDescent="0.25">
      <c r="A587" s="28"/>
      <c r="B587" s="45" t="str">
        <f t="shared" si="27"/>
        <v>Jul-2024</v>
      </c>
      <c r="C587" s="57">
        <v>45476</v>
      </c>
      <c r="D587" s="43">
        <f t="shared" si="28"/>
        <v>636</v>
      </c>
      <c r="E587" s="76">
        <v>3</v>
      </c>
      <c r="F587" s="50">
        <v>8</v>
      </c>
      <c r="G587" s="49">
        <v>5600</v>
      </c>
      <c r="H587" s="73">
        <v>8</v>
      </c>
      <c r="I587" s="52">
        <v>8</v>
      </c>
      <c r="J587" s="51">
        <v>703.06999999999994</v>
      </c>
      <c r="K587" s="52"/>
      <c r="L587" s="51"/>
      <c r="M587" s="52">
        <v>13</v>
      </c>
      <c r="N587" s="49">
        <v>5027.26</v>
      </c>
      <c r="O587" s="75">
        <v>11</v>
      </c>
      <c r="P587" s="54">
        <v>130.32999999999998</v>
      </c>
      <c r="Q587" s="54">
        <v>27.260000000000005</v>
      </c>
      <c r="R587" s="53">
        <f t="shared" si="29"/>
        <v>280</v>
      </c>
      <c r="S587" s="51">
        <v>703.06999999999994</v>
      </c>
    </row>
    <row r="588" spans="1:19" ht="15" x14ac:dyDescent="0.25">
      <c r="A588" s="28"/>
      <c r="B588" s="45" t="str">
        <f t="shared" si="27"/>
        <v>Jul-2024</v>
      </c>
      <c r="C588" s="57">
        <v>45477</v>
      </c>
      <c r="D588" s="43">
        <f t="shared" si="28"/>
        <v>635</v>
      </c>
      <c r="E588" s="76">
        <v>4</v>
      </c>
      <c r="F588" s="50">
        <v>11</v>
      </c>
      <c r="G588" s="49">
        <v>7750</v>
      </c>
      <c r="H588" s="73">
        <v>11</v>
      </c>
      <c r="I588" s="52">
        <v>11</v>
      </c>
      <c r="J588" s="51">
        <v>1751.04</v>
      </c>
      <c r="K588" s="52"/>
      <c r="L588" s="51"/>
      <c r="M588" s="52">
        <v>11</v>
      </c>
      <c r="N588" s="49">
        <v>6351.93</v>
      </c>
      <c r="O588" s="75">
        <v>10</v>
      </c>
      <c r="P588" s="54">
        <v>352.96999999999997</v>
      </c>
      <c r="Q588" s="54">
        <v>101.93</v>
      </c>
      <c r="R588" s="53">
        <f t="shared" si="29"/>
        <v>387.5</v>
      </c>
      <c r="S588" s="51">
        <v>1751.04</v>
      </c>
    </row>
    <row r="589" spans="1:19" ht="15" x14ac:dyDescent="0.25">
      <c r="A589" s="28"/>
      <c r="B589" s="45" t="str">
        <f t="shared" si="27"/>
        <v>Jul-2024</v>
      </c>
      <c r="C589" s="57">
        <v>45478</v>
      </c>
      <c r="D589" s="43">
        <f t="shared" si="28"/>
        <v>634</v>
      </c>
      <c r="E589" s="76">
        <v>3</v>
      </c>
      <c r="F589" s="50">
        <v>11</v>
      </c>
      <c r="G589" s="49">
        <v>11890</v>
      </c>
      <c r="H589" s="73">
        <v>11</v>
      </c>
      <c r="I589" s="52">
        <v>11</v>
      </c>
      <c r="J589" s="51">
        <v>2453.3999999999996</v>
      </c>
      <c r="K589" s="52">
        <v>1</v>
      </c>
      <c r="L589" s="51">
        <v>300.07</v>
      </c>
      <c r="M589" s="52">
        <v>9</v>
      </c>
      <c r="N589" s="49">
        <v>9880.23</v>
      </c>
      <c r="O589" s="75">
        <v>9</v>
      </c>
      <c r="P589" s="54">
        <v>443.63</v>
      </c>
      <c r="Q589" s="54">
        <v>90.22999999999999</v>
      </c>
      <c r="R589" s="53">
        <f t="shared" si="29"/>
        <v>594.5</v>
      </c>
      <c r="S589" s="51">
        <v>2453.3999999999996</v>
      </c>
    </row>
    <row r="590" spans="1:19" ht="15" x14ac:dyDescent="0.25">
      <c r="A590" s="28"/>
      <c r="B590" s="45" t="str">
        <f t="shared" si="27"/>
        <v>Jul-2024</v>
      </c>
      <c r="C590" s="57">
        <v>45479</v>
      </c>
      <c r="D590" s="43">
        <f t="shared" si="28"/>
        <v>633</v>
      </c>
      <c r="E590" s="76">
        <v>4</v>
      </c>
      <c r="F590" s="50">
        <v>6</v>
      </c>
      <c r="G590" s="49">
        <v>4100</v>
      </c>
      <c r="H590" s="73">
        <v>6</v>
      </c>
      <c r="I590" s="52">
        <v>6</v>
      </c>
      <c r="J590" s="51">
        <v>119.17</v>
      </c>
      <c r="K590" s="52"/>
      <c r="L590" s="51"/>
      <c r="M590" s="52">
        <v>6</v>
      </c>
      <c r="N590" s="49">
        <v>4031.01</v>
      </c>
      <c r="O590" s="75">
        <v>6</v>
      </c>
      <c r="P590" s="54">
        <v>50.18</v>
      </c>
      <c r="Q590" s="54">
        <v>31.009999999999998</v>
      </c>
      <c r="R590" s="53">
        <f t="shared" si="29"/>
        <v>205</v>
      </c>
      <c r="S590" s="51">
        <v>119.17</v>
      </c>
    </row>
    <row r="591" spans="1:19" ht="15" x14ac:dyDescent="0.25">
      <c r="A591" s="28"/>
      <c r="B591" s="45" t="str">
        <f t="shared" si="27"/>
        <v>Jul-2024</v>
      </c>
      <c r="C591" s="57">
        <v>45480</v>
      </c>
      <c r="D591" s="43">
        <f t="shared" si="28"/>
        <v>632</v>
      </c>
      <c r="E591" s="76">
        <v>4</v>
      </c>
      <c r="F591" s="50">
        <v>6</v>
      </c>
      <c r="G591" s="49">
        <v>2100</v>
      </c>
      <c r="H591" s="73">
        <v>6</v>
      </c>
      <c r="I591" s="52">
        <v>6</v>
      </c>
      <c r="J591" s="51">
        <v>821.56999999999994</v>
      </c>
      <c r="K591" s="52"/>
      <c r="L591" s="51"/>
      <c r="M591" s="52">
        <v>3</v>
      </c>
      <c r="N591" s="49">
        <v>1405.73</v>
      </c>
      <c r="O591" s="75">
        <v>3</v>
      </c>
      <c r="P591" s="54">
        <v>127.30000000000001</v>
      </c>
      <c r="Q591" s="54">
        <v>5.7299999999999995</v>
      </c>
      <c r="R591" s="53">
        <f t="shared" si="29"/>
        <v>105</v>
      </c>
      <c r="S591" s="51">
        <v>821.56999999999994</v>
      </c>
    </row>
    <row r="592" spans="1:19" ht="15" x14ac:dyDescent="0.25">
      <c r="A592" s="28"/>
      <c r="B592" s="45" t="str">
        <f t="shared" si="27"/>
        <v>Jul-2024</v>
      </c>
      <c r="C592" s="57">
        <v>45481</v>
      </c>
      <c r="D592" s="43">
        <f t="shared" si="28"/>
        <v>631</v>
      </c>
      <c r="E592" s="76">
        <v>9</v>
      </c>
      <c r="F592" s="50">
        <v>14</v>
      </c>
      <c r="G592" s="49">
        <v>9070</v>
      </c>
      <c r="H592" s="73">
        <v>13</v>
      </c>
      <c r="I592" s="52">
        <v>14</v>
      </c>
      <c r="J592" s="51">
        <v>1285.4299999999998</v>
      </c>
      <c r="K592" s="52">
        <v>2</v>
      </c>
      <c r="L592" s="51">
        <v>1100.24</v>
      </c>
      <c r="M592" s="52">
        <v>14</v>
      </c>
      <c r="N592" s="49">
        <v>8006.1</v>
      </c>
      <c r="O592" s="75">
        <v>13</v>
      </c>
      <c r="P592" s="54">
        <v>221.53000000000003</v>
      </c>
      <c r="Q592" s="54">
        <v>36.1</v>
      </c>
      <c r="R592" s="53">
        <f t="shared" si="29"/>
        <v>453.5</v>
      </c>
      <c r="S592" s="51">
        <v>1285.4299999999998</v>
      </c>
    </row>
    <row r="593" spans="1:19" ht="15" x14ac:dyDescent="0.25">
      <c r="A593" s="28"/>
      <c r="B593" s="45" t="str">
        <f t="shared" si="27"/>
        <v>Jul-2024</v>
      </c>
      <c r="C593" s="57">
        <v>45482</v>
      </c>
      <c r="D593" s="43">
        <f t="shared" si="28"/>
        <v>630</v>
      </c>
      <c r="E593" s="76">
        <v>3</v>
      </c>
      <c r="F593" s="50">
        <v>8</v>
      </c>
      <c r="G593" s="49">
        <v>5800</v>
      </c>
      <c r="H593" s="73">
        <v>8</v>
      </c>
      <c r="I593" s="52">
        <v>8</v>
      </c>
      <c r="J593" s="51">
        <v>1749.09</v>
      </c>
      <c r="K593" s="52"/>
      <c r="L593" s="51"/>
      <c r="M593" s="52">
        <v>7</v>
      </c>
      <c r="N593" s="49">
        <v>4332.68</v>
      </c>
      <c r="O593" s="75">
        <v>6</v>
      </c>
      <c r="P593" s="54">
        <v>281.77000000000004</v>
      </c>
      <c r="Q593" s="54">
        <v>32.68</v>
      </c>
      <c r="R593" s="53">
        <f t="shared" si="29"/>
        <v>290</v>
      </c>
      <c r="S593" s="51">
        <v>1749.09</v>
      </c>
    </row>
    <row r="594" spans="1:19" ht="15" x14ac:dyDescent="0.25">
      <c r="A594" s="28"/>
      <c r="B594" s="45" t="str">
        <f t="shared" si="27"/>
        <v>Jul-2024</v>
      </c>
      <c r="C594" s="57">
        <v>45483</v>
      </c>
      <c r="D594" s="43">
        <f t="shared" si="28"/>
        <v>629</v>
      </c>
      <c r="E594" s="76">
        <v>3</v>
      </c>
      <c r="F594" s="50">
        <v>14</v>
      </c>
      <c r="G594" s="49">
        <v>9830</v>
      </c>
      <c r="H594" s="73">
        <v>14</v>
      </c>
      <c r="I594" s="52">
        <v>14</v>
      </c>
      <c r="J594" s="51">
        <v>3039.7999999999997</v>
      </c>
      <c r="K594" s="52">
        <v>2</v>
      </c>
      <c r="L594" s="51">
        <v>500.11</v>
      </c>
      <c r="M594" s="52">
        <v>9</v>
      </c>
      <c r="N594" s="49">
        <v>7264.5</v>
      </c>
      <c r="O594" s="75">
        <v>7</v>
      </c>
      <c r="P594" s="54">
        <v>474.30000000000013</v>
      </c>
      <c r="Q594" s="54">
        <v>34.5</v>
      </c>
      <c r="R594" s="53">
        <f t="shared" si="29"/>
        <v>491.5</v>
      </c>
      <c r="S594" s="51">
        <v>3039.8</v>
      </c>
    </row>
    <row r="595" spans="1:19" ht="15" x14ac:dyDescent="0.25">
      <c r="A595" s="28"/>
      <c r="B595" s="45" t="str">
        <f t="shared" si="27"/>
        <v>Jul-2024</v>
      </c>
      <c r="C595" s="57">
        <v>45484</v>
      </c>
      <c r="D595" s="43">
        <f t="shared" si="28"/>
        <v>628</v>
      </c>
      <c r="E595" s="76">
        <v>2</v>
      </c>
      <c r="F595" s="50">
        <v>5</v>
      </c>
      <c r="G595" s="49">
        <v>2300</v>
      </c>
      <c r="H595" s="73">
        <v>5</v>
      </c>
      <c r="I595" s="52">
        <v>5</v>
      </c>
      <c r="J595" s="51">
        <v>238.04</v>
      </c>
      <c r="K595" s="52"/>
      <c r="L595" s="51"/>
      <c r="M595" s="52">
        <v>3</v>
      </c>
      <c r="N595" s="49">
        <v>2115.96</v>
      </c>
      <c r="O595" s="75">
        <v>3</v>
      </c>
      <c r="P595" s="54">
        <v>54</v>
      </c>
      <c r="Q595" s="54">
        <v>15.959999999999999</v>
      </c>
      <c r="R595" s="53">
        <f t="shared" si="29"/>
        <v>115</v>
      </c>
      <c r="S595" s="51">
        <v>238.04</v>
      </c>
    </row>
    <row r="596" spans="1:19" ht="15" x14ac:dyDescent="0.25">
      <c r="A596" s="28"/>
      <c r="B596" s="45" t="str">
        <f t="shared" si="27"/>
        <v>Jul-2024</v>
      </c>
      <c r="C596" s="57">
        <v>45485</v>
      </c>
      <c r="D596" s="43">
        <f t="shared" si="28"/>
        <v>627</v>
      </c>
      <c r="E596" s="76">
        <v>1</v>
      </c>
      <c r="F596" s="50">
        <v>7</v>
      </c>
      <c r="G596" s="49">
        <v>5660</v>
      </c>
      <c r="H596" s="73">
        <v>7</v>
      </c>
      <c r="I596" s="52">
        <v>7</v>
      </c>
      <c r="J596" s="51">
        <v>1284.27</v>
      </c>
      <c r="K596" s="52"/>
      <c r="L596" s="51"/>
      <c r="M596" s="52">
        <v>4</v>
      </c>
      <c r="N596" s="49">
        <v>4581.3599999999997</v>
      </c>
      <c r="O596" s="75">
        <v>4</v>
      </c>
      <c r="P596" s="54">
        <v>205.63</v>
      </c>
      <c r="Q596" s="54">
        <v>21.36</v>
      </c>
      <c r="R596" s="53">
        <f t="shared" si="29"/>
        <v>283</v>
      </c>
      <c r="S596" s="51">
        <v>1284.27</v>
      </c>
    </row>
    <row r="597" spans="1:19" ht="15" x14ac:dyDescent="0.25">
      <c r="A597" s="28"/>
      <c r="B597" s="45" t="str">
        <f t="shared" si="27"/>
        <v>Jul-2024</v>
      </c>
      <c r="C597" s="57">
        <v>45486</v>
      </c>
      <c r="D597" s="43">
        <f t="shared" si="28"/>
        <v>626</v>
      </c>
      <c r="E597" s="76">
        <v>3</v>
      </c>
      <c r="F597" s="50">
        <v>6</v>
      </c>
      <c r="G597" s="49">
        <v>3600</v>
      </c>
      <c r="H597" s="73">
        <v>6</v>
      </c>
      <c r="I597" s="52">
        <v>6</v>
      </c>
      <c r="J597" s="51">
        <v>118.96</v>
      </c>
      <c r="K597" s="52"/>
      <c r="L597" s="51"/>
      <c r="M597" s="52">
        <v>6</v>
      </c>
      <c r="N597" s="49">
        <v>3521.68</v>
      </c>
      <c r="O597" s="75">
        <v>5</v>
      </c>
      <c r="P597" s="54">
        <v>40.64</v>
      </c>
      <c r="Q597" s="54">
        <v>21.68</v>
      </c>
      <c r="R597" s="53">
        <f t="shared" si="29"/>
        <v>180</v>
      </c>
      <c r="S597" s="51">
        <v>118.96</v>
      </c>
    </row>
    <row r="598" spans="1:19" ht="15" x14ac:dyDescent="0.25">
      <c r="A598" s="28"/>
      <c r="B598" s="45" t="str">
        <f t="shared" si="27"/>
        <v>Jul-2024</v>
      </c>
      <c r="C598" s="57">
        <v>45487</v>
      </c>
      <c r="D598" s="43">
        <f t="shared" si="28"/>
        <v>625</v>
      </c>
      <c r="E598" s="76">
        <v>2</v>
      </c>
      <c r="F598" s="50">
        <v>7</v>
      </c>
      <c r="G598" s="49">
        <v>6460</v>
      </c>
      <c r="H598" s="73">
        <v>7</v>
      </c>
      <c r="I598" s="52">
        <v>7</v>
      </c>
      <c r="J598" s="51">
        <v>2449.14</v>
      </c>
      <c r="K598" s="52"/>
      <c r="L598" s="51"/>
      <c r="M598" s="52">
        <v>5</v>
      </c>
      <c r="N598" s="49">
        <v>4372.84</v>
      </c>
      <c r="O598" s="75">
        <v>5</v>
      </c>
      <c r="P598" s="54">
        <v>361.97999999999996</v>
      </c>
      <c r="Q598" s="54">
        <v>13.529999999999998</v>
      </c>
      <c r="R598" s="53">
        <f t="shared" si="29"/>
        <v>323</v>
      </c>
      <c r="S598" s="51">
        <v>2449.14</v>
      </c>
    </row>
    <row r="599" spans="1:19" ht="15" x14ac:dyDescent="0.25">
      <c r="A599" s="28"/>
      <c r="B599" s="45" t="str">
        <f t="shared" si="27"/>
        <v>Jul-2024</v>
      </c>
      <c r="C599" s="57">
        <v>45488</v>
      </c>
      <c r="D599" s="43">
        <f t="shared" si="28"/>
        <v>624</v>
      </c>
      <c r="E599" s="76">
        <v>4</v>
      </c>
      <c r="F599" s="50">
        <v>10</v>
      </c>
      <c r="G599" s="49">
        <v>7600</v>
      </c>
      <c r="H599" s="73">
        <v>10</v>
      </c>
      <c r="I599" s="52">
        <v>10</v>
      </c>
      <c r="J599" s="51">
        <v>736.89</v>
      </c>
      <c r="K599" s="52"/>
      <c r="L599" s="51"/>
      <c r="M599" s="52">
        <v>8</v>
      </c>
      <c r="N599" s="49">
        <v>7061.55</v>
      </c>
      <c r="O599" s="75">
        <v>8</v>
      </c>
      <c r="P599" s="54">
        <v>198.44</v>
      </c>
      <c r="Q599" s="54">
        <v>91.32</v>
      </c>
      <c r="R599" s="53">
        <f t="shared" si="29"/>
        <v>380</v>
      </c>
      <c r="S599" s="51">
        <v>736.89</v>
      </c>
    </row>
    <row r="600" spans="1:19" ht="15" x14ac:dyDescent="0.25">
      <c r="A600" s="28"/>
      <c r="B600" s="45" t="str">
        <f t="shared" si="27"/>
        <v>Jul-2024</v>
      </c>
      <c r="C600" s="57">
        <v>45489</v>
      </c>
      <c r="D600" s="43">
        <f t="shared" si="28"/>
        <v>623</v>
      </c>
      <c r="E600" s="76">
        <v>4</v>
      </c>
      <c r="F600" s="50">
        <v>9</v>
      </c>
      <c r="G600" s="49">
        <v>6945</v>
      </c>
      <c r="H600" s="73">
        <v>9</v>
      </c>
      <c r="I600" s="52">
        <v>9</v>
      </c>
      <c r="J600" s="51">
        <v>1278.1100000000001</v>
      </c>
      <c r="K600" s="52">
        <v>4</v>
      </c>
      <c r="L600" s="51">
        <v>800.18</v>
      </c>
      <c r="M600" s="52">
        <v>9</v>
      </c>
      <c r="N600" s="49">
        <v>5871.09</v>
      </c>
      <c r="O600" s="75">
        <v>6</v>
      </c>
      <c r="P600" s="54">
        <v>204.20000000000002</v>
      </c>
      <c r="Q600" s="54">
        <v>21.09</v>
      </c>
      <c r="R600" s="53">
        <f t="shared" si="29"/>
        <v>347.25</v>
      </c>
      <c r="S600" s="51">
        <v>1278.1100000000001</v>
      </c>
    </row>
    <row r="601" spans="1:19" ht="15" x14ac:dyDescent="0.25">
      <c r="A601" s="28"/>
      <c r="B601" s="45" t="str">
        <f t="shared" si="27"/>
        <v>Jul-2024</v>
      </c>
      <c r="C601" s="57">
        <v>45490</v>
      </c>
      <c r="D601" s="43">
        <f t="shared" si="28"/>
        <v>622</v>
      </c>
      <c r="E601" s="76">
        <v>5</v>
      </c>
      <c r="F601" s="50">
        <v>21</v>
      </c>
      <c r="G601" s="49">
        <v>10890</v>
      </c>
      <c r="H601" s="73">
        <v>21</v>
      </c>
      <c r="I601" s="52">
        <v>21</v>
      </c>
      <c r="J601" s="51">
        <v>4626.41</v>
      </c>
      <c r="K601" s="52">
        <v>1</v>
      </c>
      <c r="L601" s="51">
        <v>95</v>
      </c>
      <c r="M601" s="52">
        <v>14</v>
      </c>
      <c r="N601" s="49">
        <v>6982.76</v>
      </c>
      <c r="O601" s="75">
        <v>14</v>
      </c>
      <c r="P601" s="54">
        <v>719.17000000000007</v>
      </c>
      <c r="Q601" s="54">
        <v>84.27</v>
      </c>
      <c r="R601" s="53">
        <f t="shared" si="29"/>
        <v>544.5</v>
      </c>
      <c r="S601" s="51">
        <v>4626.41</v>
      </c>
    </row>
    <row r="602" spans="1:19" ht="15" x14ac:dyDescent="0.25">
      <c r="A602" s="28"/>
      <c r="B602" s="45" t="str">
        <f t="shared" si="27"/>
        <v>Jul-2024</v>
      </c>
      <c r="C602" s="57">
        <v>45491</v>
      </c>
      <c r="D602" s="43">
        <f t="shared" si="28"/>
        <v>621</v>
      </c>
      <c r="E602" s="76">
        <v>3</v>
      </c>
      <c r="F602" s="50">
        <v>4</v>
      </c>
      <c r="G602" s="49">
        <v>1800</v>
      </c>
      <c r="H602" s="73">
        <v>4</v>
      </c>
      <c r="I602" s="52">
        <v>4</v>
      </c>
      <c r="J602" s="51">
        <v>1282.5300000000002</v>
      </c>
      <c r="K602" s="52"/>
      <c r="L602" s="51"/>
      <c r="M602" s="52">
        <v>1</v>
      </c>
      <c r="N602" s="49">
        <v>701.95</v>
      </c>
      <c r="O602" s="75">
        <v>1</v>
      </c>
      <c r="P602" s="54">
        <v>184.48</v>
      </c>
      <c r="Q602" s="54">
        <v>1.95</v>
      </c>
      <c r="R602" s="53">
        <f t="shared" si="29"/>
        <v>90</v>
      </c>
      <c r="S602" s="51">
        <v>1282.53</v>
      </c>
    </row>
    <row r="603" spans="1:19" ht="15" x14ac:dyDescent="0.25">
      <c r="A603" s="28"/>
      <c r="B603" s="45" t="str">
        <f t="shared" si="27"/>
        <v>Jul-2024</v>
      </c>
      <c r="C603" s="57">
        <v>45492</v>
      </c>
      <c r="D603" s="43">
        <f t="shared" si="28"/>
        <v>620</v>
      </c>
      <c r="E603" s="76">
        <v>5</v>
      </c>
      <c r="F603" s="50">
        <v>9</v>
      </c>
      <c r="G603" s="49">
        <v>6100</v>
      </c>
      <c r="H603" s="73">
        <v>9</v>
      </c>
      <c r="I603" s="52">
        <v>9</v>
      </c>
      <c r="J603" s="51">
        <v>700.51</v>
      </c>
      <c r="K603" s="52"/>
      <c r="L603" s="51"/>
      <c r="M603" s="52">
        <v>13</v>
      </c>
      <c r="N603" s="49">
        <v>5533.92</v>
      </c>
      <c r="O603" s="75">
        <v>10</v>
      </c>
      <c r="P603" s="54">
        <v>134.43</v>
      </c>
      <c r="Q603" s="54">
        <v>33.92</v>
      </c>
      <c r="R603" s="53">
        <f t="shared" si="29"/>
        <v>305</v>
      </c>
      <c r="S603" s="51">
        <v>700.51</v>
      </c>
    </row>
    <row r="604" spans="1:19" ht="15" x14ac:dyDescent="0.25">
      <c r="A604" s="28"/>
      <c r="B604" s="45" t="str">
        <f t="shared" si="27"/>
        <v>Jul-2024</v>
      </c>
      <c r="C604" s="57">
        <v>45493</v>
      </c>
      <c r="D604" s="43">
        <f t="shared" si="28"/>
        <v>619</v>
      </c>
      <c r="E604" s="76">
        <v>5</v>
      </c>
      <c r="F604" s="50">
        <v>9</v>
      </c>
      <c r="G604" s="49">
        <v>9250</v>
      </c>
      <c r="H604" s="73">
        <v>9</v>
      </c>
      <c r="I604" s="52">
        <v>9</v>
      </c>
      <c r="J604" s="51">
        <v>2326.4</v>
      </c>
      <c r="K604" s="52"/>
      <c r="L604" s="51"/>
      <c r="M604" s="52">
        <v>5</v>
      </c>
      <c r="N604" s="49">
        <v>7288.42</v>
      </c>
      <c r="O604" s="75">
        <v>5</v>
      </c>
      <c r="P604" s="54">
        <v>364.82</v>
      </c>
      <c r="Q604" s="54">
        <v>38.419999999999995</v>
      </c>
      <c r="R604" s="53">
        <f t="shared" si="29"/>
        <v>462.5</v>
      </c>
      <c r="S604" s="51">
        <v>2326.4</v>
      </c>
    </row>
    <row r="605" spans="1:19" ht="15" x14ac:dyDescent="0.25">
      <c r="A605" s="28"/>
      <c r="B605" s="45" t="str">
        <f t="shared" si="27"/>
        <v>Jul-2024</v>
      </c>
      <c r="C605" s="57">
        <v>45494</v>
      </c>
      <c r="D605" s="43">
        <f t="shared" si="28"/>
        <v>618</v>
      </c>
      <c r="E605" s="76">
        <v>5</v>
      </c>
      <c r="F605" s="50">
        <v>7</v>
      </c>
      <c r="G605" s="49">
        <v>7200</v>
      </c>
      <c r="H605" s="73">
        <v>7</v>
      </c>
      <c r="I605" s="52">
        <v>7</v>
      </c>
      <c r="J605" s="51">
        <v>1050.3599999999999</v>
      </c>
      <c r="K605" s="52"/>
      <c r="L605" s="51"/>
      <c r="M605" s="52">
        <v>5</v>
      </c>
      <c r="N605" s="49">
        <v>6321.54</v>
      </c>
      <c r="O605" s="75">
        <v>5</v>
      </c>
      <c r="P605" s="54">
        <v>171.90000000000003</v>
      </c>
      <c r="Q605" s="54">
        <v>21.54</v>
      </c>
      <c r="R605" s="53">
        <f t="shared" si="29"/>
        <v>360</v>
      </c>
      <c r="S605" s="51">
        <v>1050.3599999999999</v>
      </c>
    </row>
    <row r="606" spans="1:19" ht="15" x14ac:dyDescent="0.25">
      <c r="A606" s="28"/>
      <c r="B606" s="45" t="str">
        <f t="shared" si="27"/>
        <v>Jul-2024</v>
      </c>
      <c r="C606" s="57">
        <v>45495</v>
      </c>
      <c r="D606" s="43">
        <f t="shared" si="28"/>
        <v>617</v>
      </c>
      <c r="E606" s="76">
        <v>10</v>
      </c>
      <c r="F606" s="50">
        <v>14</v>
      </c>
      <c r="G606" s="49">
        <v>10400</v>
      </c>
      <c r="H606" s="73">
        <v>14</v>
      </c>
      <c r="I606" s="52">
        <v>14</v>
      </c>
      <c r="J606" s="51">
        <v>3956.82</v>
      </c>
      <c r="K606" s="52"/>
      <c r="L606" s="51"/>
      <c r="M606" s="52">
        <v>8</v>
      </c>
      <c r="N606" s="49">
        <v>7045.4</v>
      </c>
      <c r="O606" s="75">
        <v>8</v>
      </c>
      <c r="P606" s="54">
        <v>602.22</v>
      </c>
      <c r="Q606" s="54">
        <v>45.4</v>
      </c>
      <c r="R606" s="53">
        <f t="shared" si="29"/>
        <v>520</v>
      </c>
      <c r="S606" s="51">
        <v>3956.8200000000006</v>
      </c>
    </row>
    <row r="607" spans="1:19" ht="15" x14ac:dyDescent="0.25">
      <c r="A607" s="28"/>
      <c r="B607" s="45" t="str">
        <f t="shared" si="27"/>
        <v>Jul-2024</v>
      </c>
      <c r="C607" s="57">
        <v>45496</v>
      </c>
      <c r="D607" s="43">
        <f t="shared" si="28"/>
        <v>616</v>
      </c>
      <c r="E607" s="76">
        <v>5</v>
      </c>
      <c r="F607" s="50">
        <v>4</v>
      </c>
      <c r="G607" s="49">
        <v>3560</v>
      </c>
      <c r="H607" s="73">
        <v>4</v>
      </c>
      <c r="I607" s="52">
        <v>4</v>
      </c>
      <c r="J607" s="51">
        <v>581.21</v>
      </c>
      <c r="K607" s="52"/>
      <c r="L607" s="51"/>
      <c r="M607" s="52">
        <v>3</v>
      </c>
      <c r="N607" s="49">
        <v>3070.19</v>
      </c>
      <c r="O607" s="75">
        <v>3</v>
      </c>
      <c r="P607" s="54">
        <v>91.399999999999991</v>
      </c>
      <c r="Q607" s="54">
        <v>10.19</v>
      </c>
      <c r="R607" s="53">
        <f t="shared" si="29"/>
        <v>178</v>
      </c>
      <c r="S607" s="51">
        <v>581.21</v>
      </c>
    </row>
    <row r="608" spans="1:19" ht="15" x14ac:dyDescent="0.25">
      <c r="A608" s="28"/>
      <c r="B608" s="45" t="str">
        <f t="shared" si="27"/>
        <v>Jul-2024</v>
      </c>
      <c r="C608" s="57">
        <v>45497</v>
      </c>
      <c r="D608" s="43">
        <f t="shared" si="28"/>
        <v>615</v>
      </c>
      <c r="E608" s="76">
        <v>8</v>
      </c>
      <c r="F608" s="50">
        <v>12</v>
      </c>
      <c r="G608" s="49">
        <v>5890</v>
      </c>
      <c r="H608" s="73">
        <v>12</v>
      </c>
      <c r="I608" s="52">
        <v>12</v>
      </c>
      <c r="J608" s="51">
        <v>1886.31</v>
      </c>
      <c r="K608" s="52"/>
      <c r="L608" s="51"/>
      <c r="M608" s="52">
        <v>12</v>
      </c>
      <c r="N608" s="49">
        <v>4327.22</v>
      </c>
      <c r="O608" s="75">
        <v>11</v>
      </c>
      <c r="P608" s="54">
        <v>323.53000000000009</v>
      </c>
      <c r="Q608" s="54">
        <v>55.690000000000005</v>
      </c>
      <c r="R608" s="53">
        <f t="shared" si="29"/>
        <v>294.5</v>
      </c>
      <c r="S608" s="51">
        <v>1886.31</v>
      </c>
    </row>
    <row r="609" spans="1:19" ht="15" x14ac:dyDescent="0.25">
      <c r="A609" s="28"/>
      <c r="B609" s="45" t="str">
        <f t="shared" si="27"/>
        <v>Jul-2024</v>
      </c>
      <c r="C609" s="57">
        <v>45498</v>
      </c>
      <c r="D609" s="43">
        <f t="shared" si="28"/>
        <v>614</v>
      </c>
      <c r="E609" s="76">
        <v>11</v>
      </c>
      <c r="F609" s="50">
        <v>15</v>
      </c>
      <c r="G609" s="49">
        <v>10850</v>
      </c>
      <c r="H609" s="73">
        <v>15</v>
      </c>
      <c r="I609" s="52">
        <v>15</v>
      </c>
      <c r="J609" s="51">
        <v>2669.6000000000004</v>
      </c>
      <c r="K609" s="52">
        <v>3</v>
      </c>
      <c r="L609" s="51">
        <v>509</v>
      </c>
      <c r="M609" s="52">
        <v>11</v>
      </c>
      <c r="N609" s="49">
        <v>8599.14</v>
      </c>
      <c r="O609" s="75">
        <v>10</v>
      </c>
      <c r="P609" s="54">
        <v>418.74000000000018</v>
      </c>
      <c r="Q609" s="54">
        <v>39.25</v>
      </c>
      <c r="R609" s="53">
        <f t="shared" si="29"/>
        <v>542.5</v>
      </c>
      <c r="S609" s="51">
        <v>2669.6</v>
      </c>
    </row>
    <row r="610" spans="1:19" ht="15" x14ac:dyDescent="0.25">
      <c r="A610" s="28"/>
      <c r="B610" s="45" t="str">
        <f t="shared" si="27"/>
        <v>Jul-2024</v>
      </c>
      <c r="C610" s="57">
        <v>45499</v>
      </c>
      <c r="D610" s="43">
        <f t="shared" si="28"/>
        <v>613</v>
      </c>
      <c r="E610" s="76">
        <v>5</v>
      </c>
      <c r="F610" s="50">
        <v>8</v>
      </c>
      <c r="G610" s="49">
        <v>7400</v>
      </c>
      <c r="H610" s="73">
        <v>8</v>
      </c>
      <c r="I610" s="52">
        <v>8</v>
      </c>
      <c r="J610" s="51">
        <v>2554.33</v>
      </c>
      <c r="K610" s="52"/>
      <c r="L610" s="51"/>
      <c r="M610" s="52">
        <v>5</v>
      </c>
      <c r="N610" s="49">
        <v>5234.46</v>
      </c>
      <c r="O610" s="75">
        <v>5</v>
      </c>
      <c r="P610" s="54">
        <v>388.78999999999996</v>
      </c>
      <c r="Q610" s="54">
        <v>34.459999999999994</v>
      </c>
      <c r="R610" s="53">
        <f t="shared" si="29"/>
        <v>370</v>
      </c>
      <c r="S610" s="51">
        <v>2554.3300000000004</v>
      </c>
    </row>
    <row r="611" spans="1:19" ht="15" x14ac:dyDescent="0.25">
      <c r="A611" s="28"/>
      <c r="B611" s="45" t="str">
        <f t="shared" si="27"/>
        <v>Jul-2024</v>
      </c>
      <c r="C611" s="57">
        <v>45500</v>
      </c>
      <c r="D611" s="43">
        <f t="shared" si="28"/>
        <v>612</v>
      </c>
      <c r="E611" s="76">
        <v>2</v>
      </c>
      <c r="F611" s="50">
        <v>15</v>
      </c>
      <c r="G611" s="49">
        <v>11910</v>
      </c>
      <c r="H611" s="73">
        <v>15</v>
      </c>
      <c r="I611" s="52">
        <v>15</v>
      </c>
      <c r="J611" s="51">
        <v>4064.8300000000004</v>
      </c>
      <c r="K611" s="52"/>
      <c r="L611" s="51"/>
      <c r="M611" s="52">
        <v>9</v>
      </c>
      <c r="N611" s="49">
        <v>8447.1200000000008</v>
      </c>
      <c r="O611" s="75">
        <v>9</v>
      </c>
      <c r="P611" s="54">
        <v>601.94999999999982</v>
      </c>
      <c r="Q611" s="54">
        <v>37.119999999999997</v>
      </c>
      <c r="R611" s="53">
        <f t="shared" si="29"/>
        <v>595.5</v>
      </c>
      <c r="S611" s="51">
        <v>4064.8300000000004</v>
      </c>
    </row>
    <row r="612" spans="1:19" ht="15" x14ac:dyDescent="0.25">
      <c r="A612" s="28"/>
      <c r="B612" s="45" t="str">
        <f t="shared" si="27"/>
        <v>Jul-2024</v>
      </c>
      <c r="C612" s="57">
        <v>45501</v>
      </c>
      <c r="D612" s="43">
        <f t="shared" si="28"/>
        <v>611</v>
      </c>
      <c r="E612" s="76">
        <v>5</v>
      </c>
      <c r="F612" s="50">
        <v>10</v>
      </c>
      <c r="G612" s="49">
        <v>7660</v>
      </c>
      <c r="H612" s="73">
        <v>10</v>
      </c>
      <c r="I612" s="52">
        <v>10</v>
      </c>
      <c r="J612" s="51">
        <v>2587.1099999999997</v>
      </c>
      <c r="K612" s="52"/>
      <c r="L612" s="51"/>
      <c r="M612" s="52">
        <v>7</v>
      </c>
      <c r="N612" s="49">
        <v>5444.37</v>
      </c>
      <c r="O612" s="75">
        <v>7</v>
      </c>
      <c r="P612" s="54">
        <v>371.48</v>
      </c>
      <c r="Q612" s="54">
        <v>12.319999999999999</v>
      </c>
      <c r="R612" s="53">
        <f t="shared" si="29"/>
        <v>383</v>
      </c>
      <c r="S612" s="51">
        <v>2587.1099999999997</v>
      </c>
    </row>
    <row r="613" spans="1:19" ht="15" x14ac:dyDescent="0.25">
      <c r="A613" s="28"/>
      <c r="B613" s="45" t="str">
        <f t="shared" si="27"/>
        <v>Jul-2024</v>
      </c>
      <c r="C613" s="57">
        <v>45502</v>
      </c>
      <c r="D613" s="43">
        <f t="shared" si="28"/>
        <v>610</v>
      </c>
      <c r="E613" s="76">
        <v>5</v>
      </c>
      <c r="F613" s="50">
        <v>8</v>
      </c>
      <c r="G613" s="49">
        <v>4800</v>
      </c>
      <c r="H613" s="73">
        <v>8</v>
      </c>
      <c r="I613" s="52">
        <v>8</v>
      </c>
      <c r="J613" s="51">
        <v>2440.1999999999998</v>
      </c>
      <c r="K613" s="52"/>
      <c r="L613" s="51"/>
      <c r="M613" s="52">
        <v>3</v>
      </c>
      <c r="N613" s="49">
        <v>2714.59</v>
      </c>
      <c r="O613" s="75">
        <v>3</v>
      </c>
      <c r="P613" s="54">
        <v>354.78999999999996</v>
      </c>
      <c r="Q613" s="54">
        <v>14.59</v>
      </c>
      <c r="R613" s="53">
        <f t="shared" si="29"/>
        <v>240</v>
      </c>
      <c r="S613" s="51">
        <v>2440.1999999999998</v>
      </c>
    </row>
    <row r="614" spans="1:19" ht="15" x14ac:dyDescent="0.25">
      <c r="A614" s="28"/>
      <c r="B614" s="45" t="str">
        <f t="shared" si="27"/>
        <v>Jul-2024</v>
      </c>
      <c r="C614" s="57">
        <v>45503</v>
      </c>
      <c r="D614" s="43">
        <f t="shared" si="28"/>
        <v>609</v>
      </c>
      <c r="E614" s="76">
        <v>4</v>
      </c>
      <c r="F614" s="50">
        <v>6</v>
      </c>
      <c r="G614" s="49">
        <v>3680</v>
      </c>
      <c r="H614" s="73">
        <v>6</v>
      </c>
      <c r="I614" s="52">
        <v>6</v>
      </c>
      <c r="J614" s="51">
        <v>1279.05</v>
      </c>
      <c r="K614" s="52"/>
      <c r="L614" s="51"/>
      <c r="M614" s="52">
        <v>8</v>
      </c>
      <c r="N614" s="49">
        <v>2594.3000000000002</v>
      </c>
      <c r="O614" s="75">
        <v>4</v>
      </c>
      <c r="P614" s="54">
        <v>193.35</v>
      </c>
      <c r="Q614" s="54">
        <v>14.299999999999999</v>
      </c>
      <c r="R614" s="53">
        <f t="shared" si="29"/>
        <v>184</v>
      </c>
      <c r="S614" s="51">
        <v>1279.05</v>
      </c>
    </row>
    <row r="615" spans="1:19" ht="15" x14ac:dyDescent="0.25">
      <c r="A615" s="28"/>
      <c r="B615" s="45" t="str">
        <f t="shared" si="27"/>
        <v>Jul-2024</v>
      </c>
      <c r="C615" s="57">
        <v>45504</v>
      </c>
      <c r="D615" s="43">
        <f t="shared" si="28"/>
        <v>608</v>
      </c>
      <c r="E615" s="76">
        <v>4</v>
      </c>
      <c r="F615" s="50">
        <v>7</v>
      </c>
      <c r="G615" s="49">
        <v>5000</v>
      </c>
      <c r="H615" s="73">
        <v>7</v>
      </c>
      <c r="I615" s="52">
        <v>7</v>
      </c>
      <c r="J615" s="51">
        <v>4298.03</v>
      </c>
      <c r="K615" s="52"/>
      <c r="L615" s="51"/>
      <c r="M615" s="52">
        <v>2</v>
      </c>
      <c r="N615" s="49">
        <v>1307.02</v>
      </c>
      <c r="O615" s="75">
        <v>2</v>
      </c>
      <c r="P615" s="54">
        <v>605.05000000000007</v>
      </c>
      <c r="Q615" s="54">
        <v>7.02</v>
      </c>
      <c r="R615" s="53">
        <f t="shared" si="29"/>
        <v>250</v>
      </c>
      <c r="S615" s="51">
        <v>4298.03</v>
      </c>
    </row>
    <row r="616" spans="1:19" ht="15" x14ac:dyDescent="0.25">
      <c r="A616" s="28"/>
      <c r="B616" s="45" t="str">
        <f t="shared" si="27"/>
        <v>Aug-2024</v>
      </c>
      <c r="C616" s="57">
        <v>45505</v>
      </c>
      <c r="D616" s="43">
        <f t="shared" si="28"/>
        <v>607</v>
      </c>
      <c r="E616" s="76">
        <v>3</v>
      </c>
      <c r="F616" s="50">
        <v>6</v>
      </c>
      <c r="G616" s="49">
        <v>2000</v>
      </c>
      <c r="H616" s="73">
        <v>6</v>
      </c>
      <c r="I616" s="52">
        <v>6</v>
      </c>
      <c r="J616" s="51">
        <v>1542.62</v>
      </c>
      <c r="K616" s="52"/>
      <c r="L616" s="51"/>
      <c r="M616" s="52">
        <v>4</v>
      </c>
      <c r="N616" s="49">
        <v>675.66</v>
      </c>
      <c r="O616" s="75">
        <v>4</v>
      </c>
      <c r="P616" s="54">
        <v>218.28000000000003</v>
      </c>
      <c r="Q616" s="54">
        <v>3.0900000000000003</v>
      </c>
      <c r="R616" s="53">
        <f t="shared" si="29"/>
        <v>100</v>
      </c>
      <c r="S616" s="51">
        <v>1542.62</v>
      </c>
    </row>
    <row r="617" spans="1:19" ht="15" x14ac:dyDescent="0.25">
      <c r="A617" s="28"/>
      <c r="B617" s="45" t="str">
        <f t="shared" si="27"/>
        <v>Aug-2024</v>
      </c>
      <c r="C617" s="57">
        <v>45506</v>
      </c>
      <c r="D617" s="43">
        <f t="shared" si="28"/>
        <v>606</v>
      </c>
      <c r="E617" s="76">
        <v>6</v>
      </c>
      <c r="F617" s="50">
        <v>11</v>
      </c>
      <c r="G617" s="49">
        <v>11450</v>
      </c>
      <c r="H617" s="73">
        <v>11</v>
      </c>
      <c r="I617" s="52">
        <v>11</v>
      </c>
      <c r="J617" s="51">
        <v>3479.46</v>
      </c>
      <c r="K617" s="52">
        <v>1</v>
      </c>
      <c r="L617" s="51">
        <v>1700.37</v>
      </c>
      <c r="M617" s="52">
        <v>8</v>
      </c>
      <c r="N617" s="49">
        <v>8478.81</v>
      </c>
      <c r="O617" s="75">
        <v>8</v>
      </c>
      <c r="P617" s="54">
        <v>508.27000000000004</v>
      </c>
      <c r="Q617" s="54">
        <v>28.81</v>
      </c>
      <c r="R617" s="53">
        <f t="shared" si="29"/>
        <v>572.5</v>
      </c>
      <c r="S617" s="51">
        <v>3479.46</v>
      </c>
    </row>
    <row r="618" spans="1:19" ht="15" x14ac:dyDescent="0.25">
      <c r="A618" s="28"/>
      <c r="B618" s="45" t="str">
        <f t="shared" si="27"/>
        <v>Aug-2024</v>
      </c>
      <c r="C618" s="57">
        <v>45507</v>
      </c>
      <c r="D618" s="43">
        <f t="shared" si="28"/>
        <v>605</v>
      </c>
      <c r="E618" s="76">
        <v>3</v>
      </c>
      <c r="F618" s="50">
        <v>5</v>
      </c>
      <c r="G618" s="49">
        <v>3700</v>
      </c>
      <c r="H618" s="73">
        <v>5</v>
      </c>
      <c r="I618" s="52">
        <v>5</v>
      </c>
      <c r="J618" s="51">
        <v>579.78</v>
      </c>
      <c r="K618" s="52"/>
      <c r="L618" s="51"/>
      <c r="M618" s="52">
        <v>3</v>
      </c>
      <c r="N618" s="49">
        <v>3219.64</v>
      </c>
      <c r="O618" s="75">
        <v>3</v>
      </c>
      <c r="P618" s="54">
        <v>99.42</v>
      </c>
      <c r="Q618" s="54">
        <v>19.64</v>
      </c>
      <c r="R618" s="53">
        <f t="shared" si="29"/>
        <v>185</v>
      </c>
      <c r="S618" s="51">
        <v>579.78</v>
      </c>
    </row>
    <row r="619" spans="1:19" ht="15" x14ac:dyDescent="0.25">
      <c r="A619" s="28"/>
      <c r="B619" s="45" t="str">
        <f t="shared" si="27"/>
        <v>Aug-2024</v>
      </c>
      <c r="C619" s="57">
        <v>45508</v>
      </c>
      <c r="D619" s="43">
        <f t="shared" si="28"/>
        <v>604</v>
      </c>
      <c r="E619" s="76">
        <v>3</v>
      </c>
      <c r="F619" s="50">
        <v>5</v>
      </c>
      <c r="G619" s="49">
        <v>2690</v>
      </c>
      <c r="H619" s="73">
        <v>5</v>
      </c>
      <c r="I619" s="52">
        <v>5</v>
      </c>
      <c r="J619" s="51">
        <v>687.94999999999993</v>
      </c>
      <c r="K619" s="52"/>
      <c r="L619" s="51"/>
      <c r="M619" s="52">
        <v>3</v>
      </c>
      <c r="N619" s="49">
        <v>2115.08</v>
      </c>
      <c r="O619" s="75">
        <v>3</v>
      </c>
      <c r="P619" s="54">
        <v>113.03</v>
      </c>
      <c r="Q619" s="54">
        <v>15.08</v>
      </c>
      <c r="R619" s="53">
        <f t="shared" si="29"/>
        <v>134.5</v>
      </c>
      <c r="S619" s="51">
        <v>687.94999999999993</v>
      </c>
    </row>
    <row r="620" spans="1:19" ht="15" x14ac:dyDescent="0.25">
      <c r="A620" s="28"/>
      <c r="B620" s="45" t="str">
        <f t="shared" si="27"/>
        <v>Aug-2024</v>
      </c>
      <c r="C620" s="57">
        <v>45509</v>
      </c>
      <c r="D620" s="43">
        <f t="shared" si="28"/>
        <v>603</v>
      </c>
      <c r="E620" s="76">
        <v>3</v>
      </c>
      <c r="F620" s="50">
        <v>10</v>
      </c>
      <c r="G620" s="49">
        <v>7900</v>
      </c>
      <c r="H620" s="73">
        <v>10</v>
      </c>
      <c r="I620" s="52">
        <v>10</v>
      </c>
      <c r="J620" s="51">
        <v>2318.08</v>
      </c>
      <c r="K620" s="52"/>
      <c r="L620" s="51"/>
      <c r="M620" s="52">
        <v>7</v>
      </c>
      <c r="N620" s="49">
        <v>5913.07</v>
      </c>
      <c r="O620" s="75">
        <v>6</v>
      </c>
      <c r="P620" s="54">
        <v>331.15</v>
      </c>
      <c r="Q620" s="54">
        <v>13.069999999999999</v>
      </c>
      <c r="R620" s="53">
        <f t="shared" si="29"/>
        <v>395</v>
      </c>
      <c r="S620" s="51">
        <v>2318.08</v>
      </c>
    </row>
    <row r="621" spans="1:19" ht="15" x14ac:dyDescent="0.25">
      <c r="A621" s="28"/>
      <c r="B621" s="45" t="str">
        <f t="shared" si="27"/>
        <v>Aug-2024</v>
      </c>
      <c r="C621" s="57">
        <v>45510</v>
      </c>
      <c r="D621" s="43">
        <f t="shared" si="28"/>
        <v>602</v>
      </c>
      <c r="E621" s="76">
        <v>1</v>
      </c>
      <c r="F621" s="50">
        <v>10</v>
      </c>
      <c r="G621" s="49">
        <v>4400</v>
      </c>
      <c r="H621" s="73">
        <v>9</v>
      </c>
      <c r="I621" s="52">
        <v>10</v>
      </c>
      <c r="J621" s="51">
        <v>1164.1100000000001</v>
      </c>
      <c r="K621" s="52">
        <v>2</v>
      </c>
      <c r="L621" s="51">
        <v>200.01999999999998</v>
      </c>
      <c r="M621" s="52">
        <v>9</v>
      </c>
      <c r="N621" s="49">
        <v>3412.6</v>
      </c>
      <c r="O621" s="75">
        <v>9</v>
      </c>
      <c r="P621" s="54">
        <v>176.70999999999998</v>
      </c>
      <c r="Q621" s="54">
        <v>17.93</v>
      </c>
      <c r="R621" s="53">
        <f t="shared" si="29"/>
        <v>220</v>
      </c>
      <c r="S621" s="51">
        <v>1164.1100000000001</v>
      </c>
    </row>
    <row r="622" spans="1:19" ht="15" x14ac:dyDescent="0.25">
      <c r="A622" s="28"/>
      <c r="B622" s="45" t="str">
        <f t="shared" si="27"/>
        <v>Aug-2024</v>
      </c>
      <c r="C622" s="57">
        <v>45511</v>
      </c>
      <c r="D622" s="43">
        <f t="shared" si="28"/>
        <v>601</v>
      </c>
      <c r="E622" s="76">
        <v>4</v>
      </c>
      <c r="F622" s="50">
        <v>10</v>
      </c>
      <c r="G622" s="49">
        <v>7500</v>
      </c>
      <c r="H622" s="73">
        <v>10</v>
      </c>
      <c r="I622" s="52">
        <v>10</v>
      </c>
      <c r="J622" s="51">
        <v>2317.04</v>
      </c>
      <c r="K622" s="52"/>
      <c r="L622" s="51"/>
      <c r="M622" s="52">
        <v>7</v>
      </c>
      <c r="N622" s="49">
        <v>5566.54</v>
      </c>
      <c r="O622" s="75">
        <v>7</v>
      </c>
      <c r="P622" s="54">
        <v>383.58</v>
      </c>
      <c r="Q622" s="54">
        <v>66.539999999999992</v>
      </c>
      <c r="R622" s="53">
        <f t="shared" si="29"/>
        <v>375</v>
      </c>
      <c r="S622" s="51">
        <v>2317.04</v>
      </c>
    </row>
    <row r="623" spans="1:19" ht="15" x14ac:dyDescent="0.25">
      <c r="A623" s="28"/>
      <c r="B623" s="45" t="str">
        <f t="shared" si="27"/>
        <v>Aug-2024</v>
      </c>
      <c r="C623" s="57">
        <v>45512</v>
      </c>
      <c r="D623" s="43">
        <f t="shared" si="28"/>
        <v>600</v>
      </c>
      <c r="F623" s="50">
        <v>10</v>
      </c>
      <c r="G623" s="49">
        <v>5350</v>
      </c>
      <c r="H623" s="73">
        <v>10</v>
      </c>
      <c r="I623" s="52">
        <v>10</v>
      </c>
      <c r="J623" s="51">
        <v>1855.5700000000002</v>
      </c>
      <c r="K623" s="52">
        <v>1</v>
      </c>
      <c r="L623" s="51">
        <v>50</v>
      </c>
      <c r="M623" s="52">
        <v>16</v>
      </c>
      <c r="N623" s="49">
        <v>3781.67</v>
      </c>
      <c r="O623" s="75">
        <v>15</v>
      </c>
      <c r="P623" s="54">
        <v>287.24</v>
      </c>
      <c r="Q623" s="54">
        <v>31.67</v>
      </c>
      <c r="R623" s="53">
        <f t="shared" si="29"/>
        <v>267.5</v>
      </c>
      <c r="S623" s="51">
        <v>1855.5700000000002</v>
      </c>
    </row>
    <row r="624" spans="1:19" ht="15" x14ac:dyDescent="0.25">
      <c r="A624" s="28"/>
      <c r="B624" s="45" t="str">
        <f t="shared" si="27"/>
        <v>Aug-2024</v>
      </c>
      <c r="C624" s="57">
        <v>45513</v>
      </c>
      <c r="D624" s="43">
        <f t="shared" si="28"/>
        <v>599</v>
      </c>
      <c r="E624" s="76">
        <v>4</v>
      </c>
      <c r="F624" s="50">
        <v>11</v>
      </c>
      <c r="G624" s="49">
        <v>6950</v>
      </c>
      <c r="H624" s="73">
        <v>11</v>
      </c>
      <c r="I624" s="52">
        <v>11</v>
      </c>
      <c r="J624" s="51">
        <v>2838.9</v>
      </c>
      <c r="K624" s="52"/>
      <c r="L624" s="51"/>
      <c r="M624" s="52">
        <v>7</v>
      </c>
      <c r="N624" s="49">
        <v>4528.33</v>
      </c>
      <c r="O624" s="75">
        <v>6</v>
      </c>
      <c r="P624" s="54">
        <v>417.23</v>
      </c>
      <c r="Q624" s="54">
        <v>28.33</v>
      </c>
      <c r="R624" s="53">
        <f t="shared" si="29"/>
        <v>347.5</v>
      </c>
      <c r="S624" s="51">
        <v>2838.9</v>
      </c>
    </row>
    <row r="625" spans="1:19" ht="15" x14ac:dyDescent="0.25">
      <c r="A625" s="28"/>
      <c r="B625" s="45" t="str">
        <f t="shared" si="27"/>
        <v>Aug-2024</v>
      </c>
      <c r="C625" s="57">
        <v>45514</v>
      </c>
      <c r="D625" s="43">
        <f t="shared" si="28"/>
        <v>598</v>
      </c>
      <c r="E625" s="76">
        <v>4</v>
      </c>
      <c r="F625" s="50">
        <v>5</v>
      </c>
      <c r="G625" s="49">
        <v>4160</v>
      </c>
      <c r="H625" s="73">
        <v>5</v>
      </c>
      <c r="I625" s="52">
        <v>5</v>
      </c>
      <c r="J625" s="51">
        <v>1388.04</v>
      </c>
      <c r="K625" s="52"/>
      <c r="L625" s="51"/>
      <c r="M625" s="52">
        <v>3</v>
      </c>
      <c r="N625" s="49">
        <v>2979.96</v>
      </c>
      <c r="O625" s="75">
        <v>3</v>
      </c>
      <c r="P625" s="54">
        <v>208.00000000000003</v>
      </c>
      <c r="Q625" s="54">
        <v>19.96</v>
      </c>
      <c r="R625" s="53">
        <f t="shared" si="29"/>
        <v>208</v>
      </c>
      <c r="S625" s="51">
        <v>1388.04</v>
      </c>
    </row>
    <row r="626" spans="1:19" ht="15" x14ac:dyDescent="0.25">
      <c r="A626" s="28"/>
      <c r="B626" s="45" t="str">
        <f t="shared" si="27"/>
        <v>Aug-2024</v>
      </c>
      <c r="C626" s="57">
        <v>45515</v>
      </c>
      <c r="D626" s="43">
        <f t="shared" si="28"/>
        <v>597</v>
      </c>
      <c r="E626" s="76">
        <v>5</v>
      </c>
      <c r="F626" s="50">
        <v>9</v>
      </c>
      <c r="G626" s="49">
        <v>5580</v>
      </c>
      <c r="H626" s="73">
        <v>9</v>
      </c>
      <c r="I626" s="52">
        <v>9</v>
      </c>
      <c r="J626" s="51">
        <v>3474.05</v>
      </c>
      <c r="K626" s="52"/>
      <c r="L626" s="51"/>
      <c r="M626" s="52">
        <v>19</v>
      </c>
      <c r="N626" s="49">
        <v>2588.59</v>
      </c>
      <c r="O626" s="75">
        <v>11</v>
      </c>
      <c r="P626" s="54">
        <v>482.64000000000004</v>
      </c>
      <c r="Q626" s="54">
        <v>4.6899999999999995</v>
      </c>
      <c r="R626" s="53">
        <f t="shared" si="29"/>
        <v>279</v>
      </c>
      <c r="S626" s="51">
        <v>3474.05</v>
      </c>
    </row>
    <row r="627" spans="1:19" ht="15" x14ac:dyDescent="0.25">
      <c r="A627" s="28"/>
      <c r="B627" s="45" t="str">
        <f t="shared" si="27"/>
        <v>Aug-2024</v>
      </c>
      <c r="C627" s="57">
        <v>45516</v>
      </c>
      <c r="D627" s="43">
        <f t="shared" si="28"/>
        <v>596</v>
      </c>
      <c r="E627" s="76">
        <v>3</v>
      </c>
      <c r="F627" s="50">
        <v>8</v>
      </c>
      <c r="G627" s="49">
        <v>6900</v>
      </c>
      <c r="H627" s="73">
        <v>8</v>
      </c>
      <c r="I627" s="52">
        <v>8</v>
      </c>
      <c r="J627" s="51">
        <v>236.12</v>
      </c>
      <c r="K627" s="52"/>
      <c r="L627" s="51"/>
      <c r="M627" s="52">
        <v>7</v>
      </c>
      <c r="N627" s="49">
        <v>6731.31</v>
      </c>
      <c r="O627" s="75">
        <v>7</v>
      </c>
      <c r="P627" s="54">
        <v>67.430000000000007</v>
      </c>
      <c r="Q627" s="54">
        <v>31.310000000000002</v>
      </c>
      <c r="R627" s="53">
        <f t="shared" si="29"/>
        <v>345</v>
      </c>
      <c r="S627" s="51">
        <v>236.12</v>
      </c>
    </row>
    <row r="628" spans="1:19" ht="15" x14ac:dyDescent="0.25">
      <c r="A628" s="28"/>
      <c r="B628" s="45" t="str">
        <f t="shared" si="27"/>
        <v>Aug-2024</v>
      </c>
      <c r="C628" s="57">
        <v>45517</v>
      </c>
      <c r="D628" s="43">
        <f t="shared" si="28"/>
        <v>595</v>
      </c>
      <c r="E628" s="76">
        <v>2</v>
      </c>
      <c r="F628" s="50">
        <v>5</v>
      </c>
      <c r="G628" s="49">
        <v>1700</v>
      </c>
      <c r="H628" s="73">
        <v>5</v>
      </c>
      <c r="I628" s="52">
        <v>5</v>
      </c>
      <c r="J628" s="51">
        <v>1274.99</v>
      </c>
      <c r="K628" s="52"/>
      <c r="L628" s="51"/>
      <c r="M628" s="52">
        <v>3</v>
      </c>
      <c r="N628" s="49">
        <v>600.89</v>
      </c>
      <c r="O628" s="75">
        <v>3</v>
      </c>
      <c r="P628" s="54">
        <v>175.88000000000002</v>
      </c>
      <c r="Q628" s="54">
        <v>0.89</v>
      </c>
      <c r="R628" s="53">
        <f t="shared" si="29"/>
        <v>85</v>
      </c>
      <c r="S628" s="51">
        <v>1274.99</v>
      </c>
    </row>
    <row r="629" spans="1:19" ht="15" x14ac:dyDescent="0.25">
      <c r="A629" s="28"/>
      <c r="B629" s="45" t="str">
        <f t="shared" si="27"/>
        <v>Aug-2024</v>
      </c>
      <c r="C629" s="57">
        <v>45518</v>
      </c>
      <c r="D629" s="43">
        <f t="shared" si="28"/>
        <v>594</v>
      </c>
      <c r="E629" s="76">
        <v>1</v>
      </c>
      <c r="F629" s="50">
        <v>5</v>
      </c>
      <c r="G629" s="49">
        <v>4700</v>
      </c>
      <c r="H629" s="73">
        <v>5</v>
      </c>
      <c r="I629" s="52">
        <v>5</v>
      </c>
      <c r="J629" s="51">
        <v>0</v>
      </c>
      <c r="K629" s="52">
        <v>1</v>
      </c>
      <c r="L629" s="51">
        <v>700.15</v>
      </c>
      <c r="M629" s="52">
        <v>5</v>
      </c>
      <c r="N629" s="49">
        <v>4732.1000000000004</v>
      </c>
      <c r="O629" s="75">
        <v>5</v>
      </c>
      <c r="P629" s="54">
        <v>32.099999999999994</v>
      </c>
      <c r="Q629" s="54">
        <v>32.099999999999994</v>
      </c>
      <c r="R629" s="53">
        <f t="shared" si="29"/>
        <v>235</v>
      </c>
      <c r="S629" s="51"/>
    </row>
    <row r="630" spans="1:19" ht="15" x14ac:dyDescent="0.25">
      <c r="A630" s="28"/>
      <c r="B630" s="45" t="str">
        <f t="shared" si="27"/>
        <v>Aug-2024</v>
      </c>
      <c r="C630" s="57">
        <v>45519</v>
      </c>
      <c r="D630" s="43">
        <f t="shared" si="28"/>
        <v>593</v>
      </c>
      <c r="E630" s="76">
        <v>5</v>
      </c>
      <c r="F630" s="50">
        <v>11</v>
      </c>
      <c r="G630" s="49">
        <v>10420</v>
      </c>
      <c r="H630" s="73">
        <v>11</v>
      </c>
      <c r="I630" s="52">
        <v>11</v>
      </c>
      <c r="J630" s="51">
        <v>1934.56</v>
      </c>
      <c r="K630" s="52"/>
      <c r="L630" s="51"/>
      <c r="M630" s="52">
        <v>6</v>
      </c>
      <c r="N630" s="49">
        <v>8827.56</v>
      </c>
      <c r="O630" s="75">
        <v>6</v>
      </c>
      <c r="P630" s="54">
        <v>342.12</v>
      </c>
      <c r="Q630" s="54">
        <v>77.559999999999988</v>
      </c>
      <c r="R630" s="53">
        <f t="shared" si="29"/>
        <v>521</v>
      </c>
      <c r="S630" s="51">
        <v>1934.5600000000002</v>
      </c>
    </row>
    <row r="631" spans="1:19" ht="15" x14ac:dyDescent="0.25">
      <c r="A631" s="28"/>
      <c r="B631" s="45" t="str">
        <f t="shared" si="27"/>
        <v>Aug-2024</v>
      </c>
      <c r="C631" s="57">
        <v>45520</v>
      </c>
      <c r="D631" s="43">
        <f t="shared" si="28"/>
        <v>592</v>
      </c>
      <c r="E631" s="76">
        <v>4</v>
      </c>
      <c r="F631" s="50">
        <v>7</v>
      </c>
      <c r="G631" s="49">
        <v>3800</v>
      </c>
      <c r="H631" s="73">
        <v>7</v>
      </c>
      <c r="I631" s="52">
        <v>7</v>
      </c>
      <c r="J631" s="51">
        <v>696.03</v>
      </c>
      <c r="K631" s="52">
        <v>1</v>
      </c>
      <c r="L631" s="51">
        <v>700.15</v>
      </c>
      <c r="M631" s="52">
        <v>7</v>
      </c>
      <c r="N631" s="49">
        <v>3205.25</v>
      </c>
      <c r="O631" s="75">
        <v>7</v>
      </c>
      <c r="P631" s="54">
        <v>101.28</v>
      </c>
      <c r="Q631" s="54">
        <v>5.25</v>
      </c>
      <c r="R631" s="53">
        <f t="shared" si="29"/>
        <v>190</v>
      </c>
      <c r="S631" s="51">
        <v>696.03</v>
      </c>
    </row>
    <row r="632" spans="1:19" ht="15" x14ac:dyDescent="0.25">
      <c r="A632" s="28"/>
      <c r="B632" s="45" t="str">
        <f t="shared" si="27"/>
        <v>Aug-2024</v>
      </c>
      <c r="C632" s="57">
        <v>45521</v>
      </c>
      <c r="D632" s="43">
        <f t="shared" si="28"/>
        <v>591</v>
      </c>
      <c r="E632" s="76">
        <v>5</v>
      </c>
      <c r="F632" s="50">
        <v>5</v>
      </c>
      <c r="G632" s="49">
        <v>2400</v>
      </c>
      <c r="H632" s="73">
        <v>5</v>
      </c>
      <c r="I632" s="52">
        <v>5</v>
      </c>
      <c r="J632" s="51">
        <v>1743.44</v>
      </c>
      <c r="K632" s="52"/>
      <c r="L632" s="51"/>
      <c r="M632" s="52">
        <v>3</v>
      </c>
      <c r="N632" s="49">
        <v>897.52</v>
      </c>
      <c r="O632" s="75">
        <v>2</v>
      </c>
      <c r="P632" s="54">
        <v>240.96</v>
      </c>
      <c r="Q632" s="54">
        <v>7.08</v>
      </c>
      <c r="R632" s="53">
        <f t="shared" si="29"/>
        <v>120</v>
      </c>
      <c r="S632" s="51">
        <v>1743.44</v>
      </c>
    </row>
    <row r="633" spans="1:19" ht="15" x14ac:dyDescent="0.25">
      <c r="A633" s="28"/>
      <c r="B633" s="45" t="str">
        <f t="shared" si="27"/>
        <v>Aug-2024</v>
      </c>
      <c r="C633" s="57">
        <v>45522</v>
      </c>
      <c r="D633" s="43">
        <f t="shared" si="28"/>
        <v>590</v>
      </c>
      <c r="E633" s="76">
        <v>4</v>
      </c>
      <c r="F633" s="50">
        <v>8</v>
      </c>
      <c r="G633" s="49">
        <v>7420</v>
      </c>
      <c r="H633" s="73">
        <v>8</v>
      </c>
      <c r="I633" s="52">
        <v>8</v>
      </c>
      <c r="J633" s="51">
        <v>1155.6599999999999</v>
      </c>
      <c r="K633" s="52"/>
      <c r="L633" s="51"/>
      <c r="M633" s="52">
        <v>5</v>
      </c>
      <c r="N633" s="49">
        <v>6466.5</v>
      </c>
      <c r="O633" s="75">
        <v>5</v>
      </c>
      <c r="P633" s="54">
        <v>202.15999999999997</v>
      </c>
      <c r="Q633" s="54">
        <v>46.5</v>
      </c>
      <c r="R633" s="53">
        <f t="shared" si="29"/>
        <v>371</v>
      </c>
      <c r="S633" s="51">
        <v>1155.6600000000001</v>
      </c>
    </row>
    <row r="634" spans="1:19" ht="15" x14ac:dyDescent="0.25">
      <c r="A634" s="28"/>
      <c r="B634" s="45" t="str">
        <f t="shared" si="27"/>
        <v>Aug-2024</v>
      </c>
      <c r="C634" s="57">
        <v>45523</v>
      </c>
      <c r="D634" s="43">
        <f t="shared" si="28"/>
        <v>589</v>
      </c>
      <c r="E634" s="76">
        <v>3</v>
      </c>
      <c r="F634" s="50">
        <v>9</v>
      </c>
      <c r="G634" s="49">
        <v>5500</v>
      </c>
      <c r="H634" s="73">
        <v>9</v>
      </c>
      <c r="I634" s="52">
        <v>9</v>
      </c>
      <c r="J634" s="51">
        <v>1304.55</v>
      </c>
      <c r="K634" s="52"/>
      <c r="L634" s="51"/>
      <c r="M634" s="52">
        <v>6</v>
      </c>
      <c r="N634" s="49">
        <v>4428.9399999999996</v>
      </c>
      <c r="O634" s="75">
        <v>6</v>
      </c>
      <c r="P634" s="54">
        <v>233.49</v>
      </c>
      <c r="Q634" s="54">
        <v>54.269999999999996</v>
      </c>
      <c r="R634" s="53">
        <f t="shared" si="29"/>
        <v>275</v>
      </c>
      <c r="S634" s="51">
        <v>1304.5500000000002</v>
      </c>
    </row>
    <row r="635" spans="1:19" ht="15" x14ac:dyDescent="0.25">
      <c r="A635" s="28"/>
      <c r="B635" s="45" t="str">
        <f t="shared" si="27"/>
        <v>Aug-2024</v>
      </c>
      <c r="C635" s="57">
        <v>45524</v>
      </c>
      <c r="D635" s="43">
        <f t="shared" si="28"/>
        <v>588</v>
      </c>
      <c r="E635" s="76">
        <v>2</v>
      </c>
      <c r="F635" s="50">
        <v>5</v>
      </c>
      <c r="G635" s="49">
        <v>3200</v>
      </c>
      <c r="H635" s="73">
        <v>5</v>
      </c>
      <c r="I635" s="52">
        <v>5</v>
      </c>
      <c r="J635" s="51">
        <v>577.93000000000006</v>
      </c>
      <c r="K635" s="52"/>
      <c r="L635" s="51"/>
      <c r="M635" s="52">
        <v>5</v>
      </c>
      <c r="N635" s="49">
        <v>2721.19</v>
      </c>
      <c r="O635" s="75">
        <v>5</v>
      </c>
      <c r="P635" s="54">
        <v>99.11999999999999</v>
      </c>
      <c r="Q635" s="54">
        <v>21.549999999999997</v>
      </c>
      <c r="R635" s="53">
        <f t="shared" si="29"/>
        <v>160</v>
      </c>
      <c r="S635" s="51">
        <v>577.93000000000006</v>
      </c>
    </row>
    <row r="636" spans="1:19" ht="15" x14ac:dyDescent="0.25">
      <c r="A636" s="28"/>
      <c r="B636" s="45" t="str">
        <f t="shared" si="27"/>
        <v>Aug-2024</v>
      </c>
      <c r="C636" s="57">
        <v>45525</v>
      </c>
      <c r="D636" s="43">
        <f t="shared" si="28"/>
        <v>587</v>
      </c>
      <c r="E636" s="76">
        <v>3</v>
      </c>
      <c r="F636" s="50">
        <v>9</v>
      </c>
      <c r="G636" s="49">
        <v>8160</v>
      </c>
      <c r="H636" s="73">
        <v>9</v>
      </c>
      <c r="I636" s="52">
        <v>9</v>
      </c>
      <c r="J636" s="51">
        <v>0.32</v>
      </c>
      <c r="K636" s="52">
        <v>2</v>
      </c>
      <c r="L636" s="51">
        <v>3700.81</v>
      </c>
      <c r="M636" s="52">
        <v>9</v>
      </c>
      <c r="N636" s="49">
        <v>8319.15</v>
      </c>
      <c r="O636" s="75">
        <v>9</v>
      </c>
      <c r="P636" s="54">
        <v>159.47</v>
      </c>
      <c r="Q636" s="54">
        <v>159.47</v>
      </c>
      <c r="R636" s="53">
        <f t="shared" si="29"/>
        <v>408</v>
      </c>
      <c r="S636" s="51">
        <v>0.32</v>
      </c>
    </row>
    <row r="637" spans="1:19" ht="15" x14ac:dyDescent="0.25">
      <c r="A637" s="28"/>
      <c r="B637" s="45" t="str">
        <f t="shared" si="27"/>
        <v>Aug-2024</v>
      </c>
      <c r="C637" s="57">
        <v>45526</v>
      </c>
      <c r="D637" s="43">
        <f t="shared" si="28"/>
        <v>586</v>
      </c>
      <c r="F637" s="50">
        <v>8</v>
      </c>
      <c r="G637" s="49">
        <v>6350</v>
      </c>
      <c r="H637" s="73">
        <v>8</v>
      </c>
      <c r="I637" s="52">
        <v>8</v>
      </c>
      <c r="J637" s="51">
        <v>1154.6199999999999</v>
      </c>
      <c r="K637" s="52"/>
      <c r="L637" s="51"/>
      <c r="M637" s="52">
        <v>6</v>
      </c>
      <c r="N637" s="49">
        <v>5400</v>
      </c>
      <c r="O637" s="75">
        <v>6</v>
      </c>
      <c r="P637" s="54">
        <v>204.62</v>
      </c>
      <c r="Q637" s="54">
        <v>50</v>
      </c>
      <c r="R637" s="53">
        <f t="shared" si="29"/>
        <v>317.5</v>
      </c>
      <c r="S637" s="51">
        <v>1154.6199999999999</v>
      </c>
    </row>
    <row r="638" spans="1:19" ht="15" x14ac:dyDescent="0.25">
      <c r="A638" s="28"/>
      <c r="B638" s="45" t="str">
        <f t="shared" si="27"/>
        <v>Aug-2024</v>
      </c>
      <c r="C638" s="57">
        <v>45527</v>
      </c>
      <c r="D638" s="43">
        <f t="shared" si="28"/>
        <v>585</v>
      </c>
      <c r="E638" s="76">
        <v>3</v>
      </c>
      <c r="F638" s="50">
        <v>7</v>
      </c>
      <c r="G638" s="49">
        <v>4240</v>
      </c>
      <c r="H638" s="73">
        <v>7</v>
      </c>
      <c r="I638" s="52">
        <v>7</v>
      </c>
      <c r="J638" s="51">
        <v>1537.6999999999998</v>
      </c>
      <c r="K638" s="52"/>
      <c r="L638" s="51"/>
      <c r="M638" s="52">
        <v>12</v>
      </c>
      <c r="N638" s="49">
        <v>2919.78</v>
      </c>
      <c r="O638" s="75">
        <v>7</v>
      </c>
      <c r="P638" s="54">
        <v>217.48000000000002</v>
      </c>
      <c r="Q638" s="54">
        <v>10.549999999999999</v>
      </c>
      <c r="R638" s="53">
        <f t="shared" si="29"/>
        <v>212</v>
      </c>
      <c r="S638" s="51">
        <v>1537.6999999999998</v>
      </c>
    </row>
    <row r="639" spans="1:19" ht="15" x14ac:dyDescent="0.25">
      <c r="A639" s="28"/>
      <c r="B639" s="45" t="str">
        <f t="shared" si="27"/>
        <v>Aug-2024</v>
      </c>
      <c r="C639" s="57">
        <v>45528</v>
      </c>
      <c r="D639" s="43">
        <f t="shared" si="28"/>
        <v>584</v>
      </c>
      <c r="E639" s="76">
        <v>6</v>
      </c>
      <c r="F639" s="50">
        <v>4</v>
      </c>
      <c r="G639" s="49">
        <v>3600</v>
      </c>
      <c r="H639" s="73">
        <v>4</v>
      </c>
      <c r="I639" s="52">
        <v>4</v>
      </c>
      <c r="J639" s="51">
        <v>1154.0999999999999</v>
      </c>
      <c r="K639" s="52"/>
      <c r="L639" s="51"/>
      <c r="M639" s="52">
        <v>3</v>
      </c>
      <c r="N639" s="49">
        <v>2607.27</v>
      </c>
      <c r="O639" s="75">
        <v>3</v>
      </c>
      <c r="P639" s="54">
        <v>161.37</v>
      </c>
      <c r="Q639" s="54">
        <v>7.2700000000000005</v>
      </c>
      <c r="R639" s="53">
        <f t="shared" si="29"/>
        <v>180</v>
      </c>
      <c r="S639" s="51">
        <v>1154.0999999999999</v>
      </c>
    </row>
    <row r="640" spans="1:19" ht="15" x14ac:dyDescent="0.25">
      <c r="A640" s="28"/>
      <c r="B640" s="45" t="str">
        <f t="shared" si="27"/>
        <v>Aug-2024</v>
      </c>
      <c r="C640" s="57">
        <v>45529</v>
      </c>
      <c r="D640" s="43">
        <f t="shared" si="28"/>
        <v>583</v>
      </c>
      <c r="E640" s="76">
        <v>1</v>
      </c>
      <c r="F640" s="50">
        <v>5</v>
      </c>
      <c r="G640" s="49">
        <v>4316</v>
      </c>
      <c r="H640" s="73">
        <v>5</v>
      </c>
      <c r="I640" s="52">
        <v>5</v>
      </c>
      <c r="J640" s="51">
        <v>0</v>
      </c>
      <c r="K640" s="52"/>
      <c r="L640" s="51"/>
      <c r="M640" s="52">
        <v>5</v>
      </c>
      <c r="N640" s="49">
        <v>4341.21</v>
      </c>
      <c r="O640" s="75">
        <v>5</v>
      </c>
      <c r="P640" s="54">
        <v>25.21</v>
      </c>
      <c r="Q640" s="54">
        <v>25.21</v>
      </c>
      <c r="R640" s="53">
        <f t="shared" si="29"/>
        <v>215.8</v>
      </c>
      <c r="S640" s="51"/>
    </row>
    <row r="641" spans="1:19" ht="15" x14ac:dyDescent="0.25">
      <c r="A641" s="28"/>
      <c r="B641" s="45" t="str">
        <f t="shared" si="27"/>
        <v>Aug-2024</v>
      </c>
      <c r="C641" s="57">
        <v>45530</v>
      </c>
      <c r="D641" s="43">
        <f t="shared" si="28"/>
        <v>582</v>
      </c>
      <c r="E641" s="76">
        <v>5</v>
      </c>
      <c r="F641" s="50">
        <v>4</v>
      </c>
      <c r="G641" s="49">
        <v>1600</v>
      </c>
      <c r="H641" s="73">
        <v>4</v>
      </c>
      <c r="I641" s="52">
        <v>4</v>
      </c>
      <c r="J641" s="51">
        <v>1735.4299999999998</v>
      </c>
      <c r="K641" s="52"/>
      <c r="L641" s="51"/>
      <c r="M641" s="52">
        <v>1</v>
      </c>
      <c r="N641" s="49">
        <v>95</v>
      </c>
      <c r="O641" s="75">
        <v>1</v>
      </c>
      <c r="P641" s="54">
        <v>230.43</v>
      </c>
      <c r="Q641" s="54">
        <v>0.06</v>
      </c>
      <c r="R641" s="53">
        <f t="shared" si="29"/>
        <v>80</v>
      </c>
      <c r="S641" s="51">
        <v>1735.4299999999998</v>
      </c>
    </row>
    <row r="642" spans="1:19" ht="15" x14ac:dyDescent="0.25">
      <c r="A642" s="28"/>
      <c r="B642" s="45" t="str">
        <f t="shared" si="27"/>
        <v>Aug-2024</v>
      </c>
      <c r="C642" s="57">
        <v>45531</v>
      </c>
      <c r="D642" s="43">
        <f t="shared" si="28"/>
        <v>581</v>
      </c>
      <c r="E642" s="76">
        <v>5</v>
      </c>
      <c r="F642" s="50">
        <v>8</v>
      </c>
      <c r="G642" s="49">
        <v>5750</v>
      </c>
      <c r="H642" s="73">
        <v>8</v>
      </c>
      <c r="I642" s="52">
        <v>8</v>
      </c>
      <c r="J642" s="51">
        <v>3577.5699999999997</v>
      </c>
      <c r="K642" s="52"/>
      <c r="L642" s="51"/>
      <c r="M642" s="52">
        <v>4</v>
      </c>
      <c r="N642" s="49">
        <v>2653.4</v>
      </c>
      <c r="O642" s="75">
        <v>4</v>
      </c>
      <c r="P642" s="54">
        <v>480.96999999999997</v>
      </c>
      <c r="Q642" s="54">
        <v>3.4</v>
      </c>
      <c r="R642" s="53">
        <f t="shared" si="29"/>
        <v>287.5</v>
      </c>
      <c r="S642" s="51">
        <v>3577.5699999999997</v>
      </c>
    </row>
    <row r="643" spans="1:19" ht="15" x14ac:dyDescent="0.25">
      <c r="A643" s="28"/>
      <c r="B643" s="45" t="str">
        <f t="shared" si="27"/>
        <v>Aug-2024</v>
      </c>
      <c r="C643" s="57">
        <v>45532</v>
      </c>
      <c r="D643" s="43">
        <f t="shared" si="28"/>
        <v>580</v>
      </c>
      <c r="E643" s="76">
        <v>3</v>
      </c>
      <c r="F643" s="50">
        <v>7</v>
      </c>
      <c r="G643" s="49">
        <v>5300</v>
      </c>
      <c r="H643" s="73">
        <v>7</v>
      </c>
      <c r="I643" s="52">
        <v>7</v>
      </c>
      <c r="J643" s="51">
        <v>1097.33</v>
      </c>
      <c r="K643" s="52"/>
      <c r="L643" s="51"/>
      <c r="M643" s="52">
        <v>5</v>
      </c>
      <c r="N643" s="49">
        <v>4370.04</v>
      </c>
      <c r="O643" s="75">
        <v>5</v>
      </c>
      <c r="P643" s="54">
        <v>167.37</v>
      </c>
      <c r="Q643" s="54">
        <v>20.22</v>
      </c>
      <c r="R643" s="53">
        <f t="shared" si="29"/>
        <v>265</v>
      </c>
      <c r="S643" s="51">
        <v>1097.33</v>
      </c>
    </row>
    <row r="644" spans="1:19" ht="15" x14ac:dyDescent="0.25">
      <c r="A644" s="28"/>
      <c r="B644" s="45" t="str">
        <f t="shared" si="27"/>
        <v>Aug-2024</v>
      </c>
      <c r="C644" s="57">
        <v>45533</v>
      </c>
      <c r="D644" s="43">
        <f t="shared" si="28"/>
        <v>579</v>
      </c>
      <c r="E644" s="76">
        <v>5</v>
      </c>
      <c r="F644" s="50">
        <v>10</v>
      </c>
      <c r="G644" s="49">
        <v>10600</v>
      </c>
      <c r="H644" s="73">
        <v>10</v>
      </c>
      <c r="I644" s="52">
        <v>10</v>
      </c>
      <c r="J644" s="51">
        <v>1152.8</v>
      </c>
      <c r="K644" s="52">
        <v>1</v>
      </c>
      <c r="L644" s="51">
        <v>1000.22</v>
      </c>
      <c r="M644" s="52">
        <v>9</v>
      </c>
      <c r="N644" s="49">
        <v>9644.61</v>
      </c>
      <c r="O644" s="75">
        <v>9</v>
      </c>
      <c r="P644" s="54">
        <v>197.41000000000003</v>
      </c>
      <c r="Q644" s="54">
        <v>44.609999999999992</v>
      </c>
      <c r="R644" s="53">
        <f t="shared" si="29"/>
        <v>530</v>
      </c>
      <c r="S644" s="51">
        <v>1152.8</v>
      </c>
    </row>
    <row r="645" spans="1:19" ht="15" x14ac:dyDescent="0.25">
      <c r="A645" s="28"/>
      <c r="B645" s="45" t="str">
        <f t="shared" si="27"/>
        <v>Aug-2024</v>
      </c>
      <c r="C645" s="57">
        <v>45534</v>
      </c>
      <c r="D645" s="43">
        <f t="shared" si="28"/>
        <v>578</v>
      </c>
      <c r="E645" s="76">
        <v>1</v>
      </c>
      <c r="F645" s="50">
        <v>6</v>
      </c>
      <c r="G645" s="49">
        <v>5775</v>
      </c>
      <c r="H645" s="73">
        <v>6</v>
      </c>
      <c r="I645" s="52">
        <v>6</v>
      </c>
      <c r="J645" s="51">
        <v>1239.17</v>
      </c>
      <c r="K645" s="52"/>
      <c r="L645" s="51"/>
      <c r="M645" s="52">
        <v>9</v>
      </c>
      <c r="N645" s="49">
        <v>4737.6400000000003</v>
      </c>
      <c r="O645" s="75">
        <v>5</v>
      </c>
      <c r="P645" s="54">
        <v>201.81</v>
      </c>
      <c r="Q645" s="54">
        <v>37.64</v>
      </c>
      <c r="R645" s="53">
        <f t="shared" si="29"/>
        <v>288.75</v>
      </c>
      <c r="S645" s="51">
        <v>1239.17</v>
      </c>
    </row>
    <row r="646" spans="1:19" ht="15" x14ac:dyDescent="0.25">
      <c r="A646" s="28"/>
      <c r="B646" s="45" t="str">
        <f t="shared" si="27"/>
        <v>Aug-2024</v>
      </c>
      <c r="C646" s="57">
        <v>45535</v>
      </c>
      <c r="D646" s="43">
        <f t="shared" si="28"/>
        <v>577</v>
      </c>
      <c r="E646" s="76">
        <v>10</v>
      </c>
      <c r="F646" s="50">
        <v>6</v>
      </c>
      <c r="G646" s="49">
        <v>3100</v>
      </c>
      <c r="H646" s="73">
        <v>6</v>
      </c>
      <c r="I646" s="52">
        <v>6</v>
      </c>
      <c r="J646" s="51">
        <v>1728.42</v>
      </c>
      <c r="K646" s="52">
        <v>1</v>
      </c>
      <c r="L646" s="51">
        <v>450</v>
      </c>
      <c r="M646" s="52">
        <v>4</v>
      </c>
      <c r="N646" s="49">
        <v>1602.67</v>
      </c>
      <c r="O646" s="75">
        <v>4</v>
      </c>
      <c r="P646" s="54">
        <v>231.09</v>
      </c>
      <c r="Q646" s="54">
        <v>2.67</v>
      </c>
      <c r="R646" s="53">
        <f t="shared" si="29"/>
        <v>155</v>
      </c>
      <c r="S646" s="51">
        <v>1728.42</v>
      </c>
    </row>
    <row r="647" spans="1:19" ht="15" x14ac:dyDescent="0.25">
      <c r="A647" s="28"/>
      <c r="B647" s="45" t="str">
        <f t="shared" ref="B647:B710" si="30">TEXT(C647,"MMM-YYYY")</f>
        <v>Sep-2024</v>
      </c>
      <c r="C647" s="57">
        <v>45536</v>
      </c>
      <c r="D647" s="43">
        <f t="shared" ref="D647:D710" si="31">$A$1-C647</f>
        <v>576</v>
      </c>
      <c r="E647" s="76">
        <v>3</v>
      </c>
      <c r="F647" s="50">
        <v>8</v>
      </c>
      <c r="G647" s="49">
        <v>6100</v>
      </c>
      <c r="H647" s="73">
        <v>8</v>
      </c>
      <c r="I647" s="52">
        <v>8</v>
      </c>
      <c r="J647" s="51">
        <v>240</v>
      </c>
      <c r="K647" s="52"/>
      <c r="L647" s="51"/>
      <c r="M647" s="52">
        <v>8</v>
      </c>
      <c r="N647" s="49">
        <v>5944.48</v>
      </c>
      <c r="O647" s="75">
        <v>7</v>
      </c>
      <c r="P647" s="54">
        <v>84.48</v>
      </c>
      <c r="Q647" s="54">
        <v>49.56</v>
      </c>
      <c r="R647" s="53">
        <f t="shared" ref="R647:R710" si="32">G647*5%</f>
        <v>305</v>
      </c>
      <c r="S647" s="51">
        <v>240</v>
      </c>
    </row>
    <row r="648" spans="1:19" ht="15" x14ac:dyDescent="0.25">
      <c r="A648" s="28"/>
      <c r="B648" s="45" t="str">
        <f t="shared" si="30"/>
        <v>Sep-2024</v>
      </c>
      <c r="C648" s="57">
        <v>45537</v>
      </c>
      <c r="D648" s="43">
        <f t="shared" si="31"/>
        <v>575</v>
      </c>
      <c r="E648" s="76">
        <v>2</v>
      </c>
      <c r="F648" s="50">
        <v>6</v>
      </c>
      <c r="G648" s="49">
        <v>3900</v>
      </c>
      <c r="H648" s="73">
        <v>6</v>
      </c>
      <c r="I648" s="52">
        <v>6</v>
      </c>
      <c r="J648" s="51">
        <v>1151.76</v>
      </c>
      <c r="K648" s="52"/>
      <c r="L648" s="51"/>
      <c r="M648" s="52">
        <v>5</v>
      </c>
      <c r="N648" s="49">
        <v>2921.3</v>
      </c>
      <c r="O648" s="75">
        <v>4</v>
      </c>
      <c r="P648" s="54">
        <v>173.06000000000006</v>
      </c>
      <c r="Q648" s="54">
        <v>21.299999999999997</v>
      </c>
      <c r="R648" s="53">
        <f t="shared" si="32"/>
        <v>195</v>
      </c>
      <c r="S648" s="51">
        <v>1151.76</v>
      </c>
    </row>
    <row r="649" spans="1:19" ht="15" x14ac:dyDescent="0.25">
      <c r="A649" s="28"/>
      <c r="B649" s="45" t="str">
        <f t="shared" si="30"/>
        <v>Sep-2024</v>
      </c>
      <c r="C649" s="57">
        <v>45538</v>
      </c>
      <c r="D649" s="43">
        <f t="shared" si="31"/>
        <v>574</v>
      </c>
      <c r="E649" s="76">
        <v>2</v>
      </c>
      <c r="F649" s="50">
        <v>6</v>
      </c>
      <c r="G649" s="49">
        <v>5500</v>
      </c>
      <c r="H649" s="73">
        <v>6</v>
      </c>
      <c r="I649" s="52">
        <v>6</v>
      </c>
      <c r="J649" s="51">
        <v>499.39</v>
      </c>
      <c r="K649" s="52"/>
      <c r="L649" s="51"/>
      <c r="M649" s="52">
        <v>8</v>
      </c>
      <c r="N649" s="49">
        <v>5104.25</v>
      </c>
      <c r="O649" s="75">
        <v>7</v>
      </c>
      <c r="P649" s="54">
        <v>103.64</v>
      </c>
      <c r="Q649" s="54">
        <v>41.16</v>
      </c>
      <c r="R649" s="53">
        <f t="shared" si="32"/>
        <v>275</v>
      </c>
      <c r="S649" s="51">
        <v>499.39</v>
      </c>
    </row>
    <row r="650" spans="1:19" ht="15" x14ac:dyDescent="0.25">
      <c r="A650" s="28"/>
      <c r="B650" s="45" t="str">
        <f t="shared" si="30"/>
        <v>Sep-2024</v>
      </c>
      <c r="C650" s="57">
        <v>45539</v>
      </c>
      <c r="D650" s="43">
        <f t="shared" si="31"/>
        <v>573</v>
      </c>
      <c r="E650" s="76">
        <v>4</v>
      </c>
      <c r="F650" s="50">
        <v>11</v>
      </c>
      <c r="G650" s="49">
        <v>6850</v>
      </c>
      <c r="H650" s="73">
        <v>11</v>
      </c>
      <c r="I650" s="52">
        <v>11</v>
      </c>
      <c r="J650" s="51">
        <v>2302.54</v>
      </c>
      <c r="K650" s="52"/>
      <c r="L650" s="51"/>
      <c r="M650" s="52">
        <v>10</v>
      </c>
      <c r="N650" s="49">
        <v>4913.0600000000004</v>
      </c>
      <c r="O650" s="75">
        <v>9</v>
      </c>
      <c r="P650" s="54">
        <v>365.6</v>
      </c>
      <c r="Q650" s="54">
        <v>63.12</v>
      </c>
      <c r="R650" s="53">
        <f t="shared" si="32"/>
        <v>342.5</v>
      </c>
      <c r="S650" s="51">
        <v>2302.54</v>
      </c>
    </row>
    <row r="651" spans="1:19" ht="15" x14ac:dyDescent="0.25">
      <c r="A651" s="28"/>
      <c r="B651" s="45" t="str">
        <f t="shared" si="30"/>
        <v>Sep-2024</v>
      </c>
      <c r="C651" s="57">
        <v>45540</v>
      </c>
      <c r="D651" s="43">
        <f t="shared" si="31"/>
        <v>572</v>
      </c>
      <c r="E651" s="76">
        <v>4</v>
      </c>
      <c r="F651" s="50">
        <v>15</v>
      </c>
      <c r="G651" s="49">
        <v>8900</v>
      </c>
      <c r="H651" s="73">
        <v>14</v>
      </c>
      <c r="I651" s="52">
        <v>15</v>
      </c>
      <c r="J651" s="51">
        <v>2883.13</v>
      </c>
      <c r="K651" s="52">
        <v>3</v>
      </c>
      <c r="L651" s="51">
        <v>1700.3799999999999</v>
      </c>
      <c r="M651" s="52">
        <v>9</v>
      </c>
      <c r="N651" s="49">
        <v>6416.27</v>
      </c>
      <c r="O651" s="75">
        <v>9</v>
      </c>
      <c r="P651" s="54">
        <v>399.40000000000003</v>
      </c>
      <c r="Q651" s="54">
        <v>16.27</v>
      </c>
      <c r="R651" s="53">
        <f t="shared" si="32"/>
        <v>445</v>
      </c>
      <c r="S651" s="51">
        <v>2883.13</v>
      </c>
    </row>
    <row r="652" spans="1:19" ht="15" x14ac:dyDescent="0.25">
      <c r="A652" s="28"/>
      <c r="B652" s="45" t="str">
        <f t="shared" si="30"/>
        <v>Sep-2024</v>
      </c>
      <c r="C652" s="57">
        <v>45541</v>
      </c>
      <c r="D652" s="43">
        <f t="shared" si="31"/>
        <v>571</v>
      </c>
      <c r="E652" s="76">
        <v>2</v>
      </c>
      <c r="F652" s="50">
        <v>3</v>
      </c>
      <c r="G652" s="49">
        <v>4000</v>
      </c>
      <c r="H652" s="73">
        <v>3</v>
      </c>
      <c r="I652" s="52">
        <v>3</v>
      </c>
      <c r="J652" s="51">
        <v>0</v>
      </c>
      <c r="K652" s="52"/>
      <c r="L652" s="51"/>
      <c r="M652" s="52">
        <v>3</v>
      </c>
      <c r="N652" s="49">
        <v>4011.04</v>
      </c>
      <c r="O652" s="75">
        <v>3</v>
      </c>
      <c r="P652" s="54">
        <v>11.04</v>
      </c>
      <c r="Q652" s="54">
        <v>11.04</v>
      </c>
      <c r="R652" s="53">
        <f t="shared" si="32"/>
        <v>200</v>
      </c>
      <c r="S652" s="51"/>
    </row>
    <row r="653" spans="1:19" ht="15" x14ac:dyDescent="0.25">
      <c r="A653" s="28"/>
      <c r="B653" s="45" t="str">
        <f t="shared" si="30"/>
        <v>Sep-2024</v>
      </c>
      <c r="C653" s="57">
        <v>45543</v>
      </c>
      <c r="D653" s="43">
        <f t="shared" si="31"/>
        <v>569</v>
      </c>
      <c r="E653" s="76">
        <v>4</v>
      </c>
      <c r="F653" s="50">
        <v>2</v>
      </c>
      <c r="G653" s="49">
        <v>2460</v>
      </c>
      <c r="H653" s="73">
        <v>2</v>
      </c>
      <c r="I653" s="52">
        <v>2</v>
      </c>
      <c r="J653" s="51">
        <v>575.1</v>
      </c>
      <c r="K653" s="52"/>
      <c r="L653" s="51"/>
      <c r="M653" s="52">
        <v>1</v>
      </c>
      <c r="N653" s="49">
        <v>1963.01</v>
      </c>
      <c r="O653" s="75">
        <v>1</v>
      </c>
      <c r="P653" s="54">
        <v>78.110000000000014</v>
      </c>
      <c r="Q653" s="54">
        <v>3.01</v>
      </c>
      <c r="R653" s="53">
        <f t="shared" si="32"/>
        <v>123</v>
      </c>
      <c r="S653" s="51">
        <v>575.1</v>
      </c>
    </row>
    <row r="654" spans="1:19" ht="15" x14ac:dyDescent="0.25">
      <c r="A654" s="28"/>
      <c r="B654" s="45" t="str">
        <f t="shared" si="30"/>
        <v>Sep-2024</v>
      </c>
      <c r="C654" s="57">
        <v>45544</v>
      </c>
      <c r="D654" s="43">
        <f t="shared" si="31"/>
        <v>568</v>
      </c>
      <c r="E654" s="76">
        <v>4</v>
      </c>
      <c r="F654" s="50">
        <v>5</v>
      </c>
      <c r="G654" s="49">
        <v>1300</v>
      </c>
      <c r="H654" s="73">
        <v>5</v>
      </c>
      <c r="I654" s="52">
        <v>5</v>
      </c>
      <c r="J654" s="51">
        <v>1501.6000000000001</v>
      </c>
      <c r="K654" s="52"/>
      <c r="L654" s="51"/>
      <c r="M654" s="52"/>
      <c r="N654" s="49"/>
      <c r="O654" s="75"/>
      <c r="P654" s="54">
        <v>201.6</v>
      </c>
      <c r="Q654" s="54">
        <v>0</v>
      </c>
      <c r="R654" s="53">
        <f t="shared" si="32"/>
        <v>65</v>
      </c>
      <c r="S654" s="51">
        <v>1501.6000000000001</v>
      </c>
    </row>
    <row r="655" spans="1:19" ht="15" x14ac:dyDescent="0.25">
      <c r="A655" s="28"/>
      <c r="B655" s="45" t="str">
        <f t="shared" si="30"/>
        <v>Sep-2024</v>
      </c>
      <c r="C655" s="57">
        <v>45545</v>
      </c>
      <c r="D655" s="43">
        <f t="shared" si="31"/>
        <v>567</v>
      </c>
      <c r="E655" s="76">
        <v>6</v>
      </c>
      <c r="F655" s="50">
        <v>18</v>
      </c>
      <c r="G655" s="49">
        <v>15100</v>
      </c>
      <c r="H655" s="73">
        <v>18</v>
      </c>
      <c r="I655" s="52">
        <v>18</v>
      </c>
      <c r="J655" s="51">
        <v>4202.4800000000005</v>
      </c>
      <c r="K655" s="52">
        <v>2</v>
      </c>
      <c r="L655" s="51">
        <v>800.18</v>
      </c>
      <c r="M655" s="52">
        <v>12</v>
      </c>
      <c r="N655" s="49">
        <v>11495.1</v>
      </c>
      <c r="O655" s="75">
        <v>10</v>
      </c>
      <c r="P655" s="54">
        <v>597.57999999999993</v>
      </c>
      <c r="Q655" s="54">
        <v>45.100000000000009</v>
      </c>
      <c r="R655" s="53">
        <f t="shared" si="32"/>
        <v>755</v>
      </c>
      <c r="S655" s="51">
        <v>4202.4800000000005</v>
      </c>
    </row>
    <row r="656" spans="1:19" ht="15" x14ac:dyDescent="0.25">
      <c r="A656" s="28"/>
      <c r="B656" s="45" t="str">
        <f t="shared" si="30"/>
        <v>Sep-2024</v>
      </c>
      <c r="C656" s="57">
        <v>45546</v>
      </c>
      <c r="D656" s="43">
        <f t="shared" si="31"/>
        <v>566</v>
      </c>
      <c r="E656" s="76">
        <v>3</v>
      </c>
      <c r="F656" s="50">
        <v>15</v>
      </c>
      <c r="G656" s="49">
        <v>7500</v>
      </c>
      <c r="H656" s="73">
        <v>11</v>
      </c>
      <c r="I656" s="52">
        <v>15</v>
      </c>
      <c r="J656" s="51">
        <v>1042.4000000000001</v>
      </c>
      <c r="K656" s="52">
        <v>8</v>
      </c>
      <c r="L656" s="51">
        <v>2895.6200000000003</v>
      </c>
      <c r="M656" s="52">
        <v>23</v>
      </c>
      <c r="N656" s="49">
        <v>6603.28</v>
      </c>
      <c r="O656" s="75">
        <v>17</v>
      </c>
      <c r="P656" s="54">
        <v>145.68</v>
      </c>
      <c r="Q656" s="54">
        <v>13.42</v>
      </c>
      <c r="R656" s="53">
        <f t="shared" si="32"/>
        <v>375</v>
      </c>
      <c r="S656" s="51">
        <v>1042.4000000000001</v>
      </c>
    </row>
    <row r="657" spans="1:19" ht="15" x14ac:dyDescent="0.25">
      <c r="A657" s="28"/>
      <c r="B657" s="45" t="str">
        <f t="shared" si="30"/>
        <v>Sep-2024</v>
      </c>
      <c r="C657" s="57">
        <v>45547</v>
      </c>
      <c r="D657" s="43">
        <f t="shared" si="31"/>
        <v>565</v>
      </c>
      <c r="E657" s="76">
        <v>2</v>
      </c>
      <c r="F657" s="50">
        <v>10</v>
      </c>
      <c r="G657" s="49">
        <v>5100</v>
      </c>
      <c r="H657" s="73">
        <v>8</v>
      </c>
      <c r="I657" s="52">
        <v>10</v>
      </c>
      <c r="J657" s="51">
        <v>234.26</v>
      </c>
      <c r="K657" s="52">
        <v>4</v>
      </c>
      <c r="L657" s="51">
        <v>1300.2800000000002</v>
      </c>
      <c r="M657" s="52">
        <v>8</v>
      </c>
      <c r="N657" s="49">
        <v>4927.33</v>
      </c>
      <c r="O657" s="75">
        <v>8</v>
      </c>
      <c r="P657" s="54">
        <v>61.590000000000011</v>
      </c>
      <c r="Q657" s="54">
        <v>27.330000000000002</v>
      </c>
      <c r="R657" s="53">
        <f t="shared" si="32"/>
        <v>255</v>
      </c>
      <c r="S657" s="51">
        <v>234.26</v>
      </c>
    </row>
    <row r="658" spans="1:19" ht="15" x14ac:dyDescent="0.25">
      <c r="A658" s="28"/>
      <c r="B658" s="45" t="str">
        <f t="shared" si="30"/>
        <v>Sep-2024</v>
      </c>
      <c r="C658" s="57">
        <v>45548</v>
      </c>
      <c r="D658" s="43">
        <f t="shared" si="31"/>
        <v>564</v>
      </c>
      <c r="E658" s="76">
        <v>4</v>
      </c>
      <c r="F658" s="50">
        <v>7</v>
      </c>
      <c r="G658" s="49">
        <v>3000</v>
      </c>
      <c r="H658" s="73">
        <v>7</v>
      </c>
      <c r="I658" s="52">
        <v>7</v>
      </c>
      <c r="J658" s="51">
        <v>1148.9000000000001</v>
      </c>
      <c r="K658" s="52"/>
      <c r="L658" s="51"/>
      <c r="M658" s="52">
        <v>8</v>
      </c>
      <c r="N658" s="49">
        <v>2024.16</v>
      </c>
      <c r="O658" s="75">
        <v>6</v>
      </c>
      <c r="P658" s="54">
        <v>173.05999999999997</v>
      </c>
      <c r="Q658" s="54">
        <v>24.16</v>
      </c>
      <c r="R658" s="53">
        <f t="shared" si="32"/>
        <v>150</v>
      </c>
      <c r="S658" s="51">
        <v>1148.9000000000001</v>
      </c>
    </row>
    <row r="659" spans="1:19" ht="15" x14ac:dyDescent="0.25">
      <c r="A659" s="28"/>
      <c r="B659" s="45" t="str">
        <f t="shared" si="30"/>
        <v>Sep-2024</v>
      </c>
      <c r="C659" s="57">
        <v>45549</v>
      </c>
      <c r="D659" s="43">
        <f t="shared" si="31"/>
        <v>563</v>
      </c>
      <c r="F659" s="50">
        <v>4</v>
      </c>
      <c r="G659" s="49">
        <v>3460</v>
      </c>
      <c r="H659" s="73">
        <v>4</v>
      </c>
      <c r="I659" s="52">
        <v>4</v>
      </c>
      <c r="J659" s="51">
        <v>0</v>
      </c>
      <c r="K659" s="52"/>
      <c r="L659" s="51"/>
      <c r="M659" s="52">
        <v>10</v>
      </c>
      <c r="N659" s="49">
        <v>3473.83</v>
      </c>
      <c r="O659" s="75">
        <v>9</v>
      </c>
      <c r="P659" s="54">
        <v>13.829999999999998</v>
      </c>
      <c r="Q659" s="54">
        <v>13.829999999999998</v>
      </c>
      <c r="R659" s="53">
        <f t="shared" si="32"/>
        <v>173</v>
      </c>
      <c r="S659" s="51"/>
    </row>
    <row r="660" spans="1:19" ht="15" x14ac:dyDescent="0.25">
      <c r="A660" s="28"/>
      <c r="B660" s="45" t="str">
        <f t="shared" si="30"/>
        <v>Sep-2024</v>
      </c>
      <c r="C660" s="57">
        <v>45550</v>
      </c>
      <c r="D660" s="43">
        <f t="shared" si="31"/>
        <v>562</v>
      </c>
      <c r="E660" s="76">
        <v>1</v>
      </c>
      <c r="F660" s="50">
        <v>5</v>
      </c>
      <c r="G660" s="49">
        <v>2100</v>
      </c>
      <c r="H660" s="73">
        <v>5</v>
      </c>
      <c r="I660" s="52">
        <v>5</v>
      </c>
      <c r="J660" s="51">
        <v>0.51</v>
      </c>
      <c r="K660" s="52"/>
      <c r="L660" s="51"/>
      <c r="M660" s="52">
        <v>6</v>
      </c>
      <c r="N660" s="49">
        <v>2120.89</v>
      </c>
      <c r="O660" s="75">
        <v>6</v>
      </c>
      <c r="P660" s="54">
        <v>21.400000000000002</v>
      </c>
      <c r="Q660" s="54">
        <v>21.400000000000002</v>
      </c>
      <c r="R660" s="53">
        <f t="shared" si="32"/>
        <v>105</v>
      </c>
      <c r="S660" s="51">
        <v>0.51</v>
      </c>
    </row>
    <row r="661" spans="1:19" ht="15" x14ac:dyDescent="0.25">
      <c r="A661" s="28"/>
      <c r="B661" s="45" t="str">
        <f t="shared" si="30"/>
        <v>Sep-2024</v>
      </c>
      <c r="C661" s="57">
        <v>45551</v>
      </c>
      <c r="D661" s="43">
        <f t="shared" si="31"/>
        <v>561</v>
      </c>
      <c r="E661" s="76">
        <v>6</v>
      </c>
      <c r="F661" s="50">
        <v>13</v>
      </c>
      <c r="G661" s="49">
        <v>8850</v>
      </c>
      <c r="H661" s="73">
        <v>13</v>
      </c>
      <c r="I661" s="52">
        <v>13</v>
      </c>
      <c r="J661" s="51">
        <v>1839.1899999999998</v>
      </c>
      <c r="K661" s="52">
        <v>1</v>
      </c>
      <c r="L661" s="51">
        <v>50</v>
      </c>
      <c r="M661" s="52">
        <v>13</v>
      </c>
      <c r="N661" s="49">
        <v>7269.87</v>
      </c>
      <c r="O661" s="75">
        <v>13</v>
      </c>
      <c r="P661" s="54">
        <v>259.06000000000006</v>
      </c>
      <c r="Q661" s="54">
        <v>19.87</v>
      </c>
      <c r="R661" s="53">
        <f t="shared" si="32"/>
        <v>442.5</v>
      </c>
      <c r="S661" s="51">
        <v>1839.1899999999998</v>
      </c>
    </row>
    <row r="662" spans="1:19" ht="15" x14ac:dyDescent="0.25">
      <c r="A662" s="28"/>
      <c r="B662" s="45" t="str">
        <f t="shared" si="30"/>
        <v>Sep-2024</v>
      </c>
      <c r="C662" s="57">
        <v>45552</v>
      </c>
      <c r="D662" s="43">
        <f t="shared" si="31"/>
        <v>560</v>
      </c>
      <c r="E662" s="76">
        <v>2</v>
      </c>
      <c r="F662" s="50">
        <v>17</v>
      </c>
      <c r="G662" s="49">
        <v>13750</v>
      </c>
      <c r="H662" s="73">
        <v>16</v>
      </c>
      <c r="I662" s="52">
        <v>17</v>
      </c>
      <c r="J662" s="51">
        <v>1721.79</v>
      </c>
      <c r="K662" s="52">
        <v>3</v>
      </c>
      <c r="L662" s="51">
        <v>1100.25</v>
      </c>
      <c r="M662" s="52">
        <v>19</v>
      </c>
      <c r="N662" s="49">
        <v>12350.58</v>
      </c>
      <c r="O662" s="75">
        <v>16</v>
      </c>
      <c r="P662" s="54">
        <v>322.37</v>
      </c>
      <c r="Q662" s="54">
        <v>100.58000000000001</v>
      </c>
      <c r="R662" s="53">
        <f t="shared" si="32"/>
        <v>687.5</v>
      </c>
      <c r="S662" s="51">
        <v>1721.79</v>
      </c>
    </row>
    <row r="663" spans="1:19" ht="15" x14ac:dyDescent="0.25">
      <c r="A663" s="28"/>
      <c r="B663" s="45" t="str">
        <f t="shared" si="30"/>
        <v>Sep-2024</v>
      </c>
      <c r="C663" s="57">
        <v>45553</v>
      </c>
      <c r="D663" s="43">
        <f t="shared" si="31"/>
        <v>559</v>
      </c>
      <c r="E663" s="76">
        <v>3</v>
      </c>
      <c r="F663" s="50">
        <v>20</v>
      </c>
      <c r="G663" s="49">
        <v>14850</v>
      </c>
      <c r="H663" s="73">
        <v>20</v>
      </c>
      <c r="I663" s="52">
        <v>20</v>
      </c>
      <c r="J663" s="51">
        <v>6083.3</v>
      </c>
      <c r="K663" s="52"/>
      <c r="L663" s="51"/>
      <c r="M663" s="52">
        <v>11</v>
      </c>
      <c r="N663" s="49">
        <v>9683.25</v>
      </c>
      <c r="O663" s="75">
        <v>11</v>
      </c>
      <c r="P663" s="54">
        <v>916.55</v>
      </c>
      <c r="Q663" s="54">
        <v>133.25</v>
      </c>
      <c r="R663" s="53">
        <f t="shared" si="32"/>
        <v>742.5</v>
      </c>
      <c r="S663" s="51">
        <v>6083.3</v>
      </c>
    </row>
    <row r="664" spans="1:19" ht="15" x14ac:dyDescent="0.25">
      <c r="A664" s="28"/>
      <c r="B664" s="45" t="str">
        <f t="shared" si="30"/>
        <v>Sep-2024</v>
      </c>
      <c r="C664" s="57">
        <v>45554</v>
      </c>
      <c r="D664" s="43">
        <f t="shared" si="31"/>
        <v>558</v>
      </c>
      <c r="E664" s="76">
        <v>3</v>
      </c>
      <c r="F664" s="50">
        <v>17</v>
      </c>
      <c r="G664" s="49">
        <v>9900</v>
      </c>
      <c r="H664" s="73">
        <v>17</v>
      </c>
      <c r="I664" s="52">
        <v>17</v>
      </c>
      <c r="J664" s="51">
        <v>7470.08</v>
      </c>
      <c r="K664" s="52"/>
      <c r="L664" s="51"/>
      <c r="M664" s="52">
        <v>22</v>
      </c>
      <c r="N664" s="49">
        <v>3463.8</v>
      </c>
      <c r="O664" s="75">
        <v>15</v>
      </c>
      <c r="P664" s="54">
        <v>1033.8800000000001</v>
      </c>
      <c r="Q664" s="54">
        <v>214.1</v>
      </c>
      <c r="R664" s="53">
        <f t="shared" si="32"/>
        <v>495</v>
      </c>
      <c r="S664" s="51">
        <v>7470.0800000000008</v>
      </c>
    </row>
    <row r="665" spans="1:19" ht="15" x14ac:dyDescent="0.25">
      <c r="A665" s="28"/>
      <c r="B665" s="45" t="str">
        <f t="shared" si="30"/>
        <v>Sep-2024</v>
      </c>
      <c r="C665" s="57">
        <v>45555</v>
      </c>
      <c r="D665" s="43">
        <f t="shared" si="31"/>
        <v>557</v>
      </c>
      <c r="E665" s="76">
        <v>5</v>
      </c>
      <c r="F665" s="50">
        <v>14</v>
      </c>
      <c r="G665" s="49">
        <v>13750</v>
      </c>
      <c r="H665" s="73">
        <v>14</v>
      </c>
      <c r="I665" s="52">
        <v>14</v>
      </c>
      <c r="J665" s="51">
        <v>7539.75</v>
      </c>
      <c r="K665" s="52">
        <v>3</v>
      </c>
      <c r="L665" s="51">
        <v>550.11</v>
      </c>
      <c r="M665" s="52">
        <v>12</v>
      </c>
      <c r="N665" s="49">
        <v>7213.35</v>
      </c>
      <c r="O665" s="75">
        <v>8</v>
      </c>
      <c r="P665" s="54">
        <v>1003.1</v>
      </c>
      <c r="Q665" s="54">
        <v>64.19</v>
      </c>
      <c r="R665" s="53">
        <f t="shared" si="32"/>
        <v>687.5</v>
      </c>
      <c r="S665" s="51">
        <v>7539.75</v>
      </c>
    </row>
    <row r="666" spans="1:19" ht="15" x14ac:dyDescent="0.25">
      <c r="A666" s="28"/>
      <c r="B666" s="45" t="str">
        <f t="shared" si="30"/>
        <v>Sep-2024</v>
      </c>
      <c r="C666" s="57">
        <v>45556</v>
      </c>
      <c r="D666" s="43">
        <f t="shared" si="31"/>
        <v>556</v>
      </c>
      <c r="E666" s="76">
        <v>8</v>
      </c>
      <c r="F666" s="50">
        <v>18</v>
      </c>
      <c r="G666" s="49">
        <v>10200</v>
      </c>
      <c r="H666" s="73">
        <v>18</v>
      </c>
      <c r="I666" s="52">
        <v>18</v>
      </c>
      <c r="J666" s="51">
        <v>5967.8199999999988</v>
      </c>
      <c r="K666" s="52">
        <v>2</v>
      </c>
      <c r="L666" s="51">
        <v>189.04</v>
      </c>
      <c r="M666" s="52">
        <v>8</v>
      </c>
      <c r="N666" s="49">
        <v>5020.7</v>
      </c>
      <c r="O666" s="75">
        <v>7</v>
      </c>
      <c r="P666" s="54">
        <v>788.5200000000001</v>
      </c>
      <c r="Q666" s="54">
        <v>20.7</v>
      </c>
      <c r="R666" s="53">
        <f t="shared" si="32"/>
        <v>510</v>
      </c>
      <c r="S666" s="51">
        <v>5967.8199999999988</v>
      </c>
    </row>
    <row r="667" spans="1:19" ht="15" x14ac:dyDescent="0.25">
      <c r="A667" s="28"/>
      <c r="B667" s="45" t="str">
        <f t="shared" si="30"/>
        <v>Sep-2024</v>
      </c>
      <c r="C667" s="57">
        <v>45557</v>
      </c>
      <c r="D667" s="43">
        <f t="shared" si="31"/>
        <v>555</v>
      </c>
      <c r="E667" s="76">
        <v>5</v>
      </c>
      <c r="F667" s="50">
        <v>16</v>
      </c>
      <c r="G667" s="49">
        <v>14160</v>
      </c>
      <c r="H667" s="73">
        <v>16</v>
      </c>
      <c r="I667" s="52">
        <v>16</v>
      </c>
      <c r="J667" s="51">
        <v>2126.0499999999997</v>
      </c>
      <c r="K667" s="52"/>
      <c r="L667" s="51"/>
      <c r="M667" s="52">
        <v>20</v>
      </c>
      <c r="N667" s="49">
        <v>12410.37</v>
      </c>
      <c r="O667" s="75">
        <v>17</v>
      </c>
      <c r="P667" s="54">
        <v>376.42</v>
      </c>
      <c r="Q667" s="54">
        <v>100.42999999999999</v>
      </c>
      <c r="R667" s="53">
        <f t="shared" si="32"/>
        <v>708</v>
      </c>
      <c r="S667" s="51">
        <v>2126.0500000000002</v>
      </c>
    </row>
    <row r="668" spans="1:19" ht="15" x14ac:dyDescent="0.25">
      <c r="A668" s="28"/>
      <c r="B668" s="45" t="str">
        <f t="shared" si="30"/>
        <v>Sep-2024</v>
      </c>
      <c r="C668" s="57">
        <v>45558</v>
      </c>
      <c r="D668" s="43">
        <f t="shared" si="31"/>
        <v>554</v>
      </c>
      <c r="E668" s="76">
        <v>4</v>
      </c>
      <c r="F668" s="50">
        <v>13</v>
      </c>
      <c r="G668" s="49">
        <v>9050</v>
      </c>
      <c r="H668" s="73">
        <v>13</v>
      </c>
      <c r="I668" s="52">
        <v>13</v>
      </c>
      <c r="J668" s="51">
        <v>3438.9</v>
      </c>
      <c r="K668" s="52"/>
      <c r="L668" s="51"/>
      <c r="M668" s="52">
        <v>7</v>
      </c>
      <c r="N668" s="49">
        <v>6073.97</v>
      </c>
      <c r="O668" s="75">
        <v>7</v>
      </c>
      <c r="P668" s="54">
        <v>462.87</v>
      </c>
      <c r="Q668" s="54">
        <v>23.97</v>
      </c>
      <c r="R668" s="53">
        <f t="shared" si="32"/>
        <v>452.5</v>
      </c>
      <c r="S668" s="51">
        <v>3438.9</v>
      </c>
    </row>
    <row r="669" spans="1:19" ht="15" x14ac:dyDescent="0.25">
      <c r="A669" s="28"/>
      <c r="B669" s="45" t="str">
        <f t="shared" si="30"/>
        <v>Sep-2024</v>
      </c>
      <c r="C669" s="57">
        <v>45559</v>
      </c>
      <c r="D669" s="43">
        <f t="shared" si="31"/>
        <v>553</v>
      </c>
      <c r="E669" s="76">
        <v>5</v>
      </c>
      <c r="F669" s="50">
        <v>17</v>
      </c>
      <c r="G669" s="49">
        <v>9820</v>
      </c>
      <c r="H669" s="73">
        <v>17</v>
      </c>
      <c r="I669" s="52">
        <v>17</v>
      </c>
      <c r="J669" s="51">
        <v>3408.7599999999998</v>
      </c>
      <c r="K669" s="52">
        <v>2</v>
      </c>
      <c r="L669" s="51">
        <v>230.05</v>
      </c>
      <c r="M669" s="52">
        <v>21</v>
      </c>
      <c r="N669" s="49">
        <v>6875.97</v>
      </c>
      <c r="O669" s="75">
        <v>20</v>
      </c>
      <c r="P669" s="54">
        <v>464.73000000000008</v>
      </c>
      <c r="Q669" s="54">
        <v>39.46</v>
      </c>
      <c r="R669" s="53">
        <f t="shared" si="32"/>
        <v>491</v>
      </c>
      <c r="S669" s="51">
        <v>3408.7599999999998</v>
      </c>
    </row>
    <row r="670" spans="1:19" ht="15" x14ac:dyDescent="0.25">
      <c r="A670" s="28"/>
      <c r="B670" s="45" t="str">
        <f t="shared" si="30"/>
        <v>Sep-2024</v>
      </c>
      <c r="C670" s="57">
        <v>45560</v>
      </c>
      <c r="D670" s="43">
        <f t="shared" si="31"/>
        <v>552</v>
      </c>
      <c r="E670" s="76">
        <v>3</v>
      </c>
      <c r="F670" s="50">
        <v>22</v>
      </c>
      <c r="G670" s="49">
        <v>14550</v>
      </c>
      <c r="H670" s="73">
        <v>19</v>
      </c>
      <c r="I670" s="52">
        <v>22</v>
      </c>
      <c r="J670" s="51">
        <v>2804.5099999999998</v>
      </c>
      <c r="K670" s="52">
        <v>4</v>
      </c>
      <c r="L670" s="51">
        <v>950.21</v>
      </c>
      <c r="M670" s="52">
        <v>22</v>
      </c>
      <c r="N670" s="49">
        <v>12247.87</v>
      </c>
      <c r="O670" s="75">
        <v>20</v>
      </c>
      <c r="P670" s="54">
        <v>502.38</v>
      </c>
      <c r="Q670" s="54">
        <v>206.13</v>
      </c>
      <c r="R670" s="53">
        <f t="shared" si="32"/>
        <v>727.5</v>
      </c>
      <c r="S670" s="51">
        <v>2804.5099999999998</v>
      </c>
    </row>
    <row r="671" spans="1:19" ht="15" x14ac:dyDescent="0.25">
      <c r="A671" s="28"/>
      <c r="B671" s="45" t="str">
        <f t="shared" si="30"/>
        <v>Sep-2024</v>
      </c>
      <c r="C671" s="57">
        <v>45561</v>
      </c>
      <c r="D671" s="43">
        <f t="shared" si="31"/>
        <v>551</v>
      </c>
      <c r="E671" s="76">
        <v>1</v>
      </c>
      <c r="F671" s="50">
        <v>11</v>
      </c>
      <c r="G671" s="49">
        <v>8900</v>
      </c>
      <c r="H671" s="73">
        <v>11</v>
      </c>
      <c r="I671" s="52">
        <v>11</v>
      </c>
      <c r="J671" s="51">
        <v>2407.88</v>
      </c>
      <c r="K671" s="52"/>
      <c r="L671" s="51"/>
      <c r="M671" s="52">
        <v>8</v>
      </c>
      <c r="N671" s="49">
        <v>6832.03</v>
      </c>
      <c r="O671" s="75">
        <v>8</v>
      </c>
      <c r="P671" s="54">
        <v>339.90999999999997</v>
      </c>
      <c r="Q671" s="54">
        <v>32.159999999999997</v>
      </c>
      <c r="R671" s="53">
        <f t="shared" si="32"/>
        <v>445</v>
      </c>
      <c r="S671" s="51">
        <v>2407.88</v>
      </c>
    </row>
    <row r="672" spans="1:19" ht="15" x14ac:dyDescent="0.25">
      <c r="A672" s="28"/>
      <c r="B672" s="45" t="str">
        <f t="shared" si="30"/>
        <v>Sep-2024</v>
      </c>
      <c r="C672" s="57">
        <v>45562</v>
      </c>
      <c r="D672" s="43">
        <f t="shared" si="31"/>
        <v>550</v>
      </c>
      <c r="E672" s="76">
        <v>5</v>
      </c>
      <c r="F672" s="50">
        <v>20</v>
      </c>
      <c r="G672" s="49">
        <v>13420</v>
      </c>
      <c r="H672" s="73">
        <v>20</v>
      </c>
      <c r="I672" s="52">
        <v>20</v>
      </c>
      <c r="J672" s="51">
        <v>4774.05</v>
      </c>
      <c r="K672" s="52"/>
      <c r="L672" s="51"/>
      <c r="M672" s="52">
        <v>17</v>
      </c>
      <c r="N672" s="49">
        <v>9451.18</v>
      </c>
      <c r="O672" s="75">
        <v>16</v>
      </c>
      <c r="P672" s="54">
        <v>805.22999999999979</v>
      </c>
      <c r="Q672" s="54">
        <v>201.9</v>
      </c>
      <c r="R672" s="53">
        <f t="shared" si="32"/>
        <v>671</v>
      </c>
      <c r="S672" s="51">
        <v>4774.05</v>
      </c>
    </row>
    <row r="673" spans="1:19" ht="15" x14ac:dyDescent="0.25">
      <c r="A673" s="28"/>
      <c r="B673" s="45" t="str">
        <f t="shared" si="30"/>
        <v>Sep-2024</v>
      </c>
      <c r="C673" s="57">
        <v>45563</v>
      </c>
      <c r="D673" s="43">
        <f t="shared" si="31"/>
        <v>549</v>
      </c>
      <c r="E673" s="76">
        <v>2</v>
      </c>
      <c r="F673" s="50">
        <v>14</v>
      </c>
      <c r="G673" s="49">
        <v>8400</v>
      </c>
      <c r="H673" s="73">
        <v>14</v>
      </c>
      <c r="I673" s="52">
        <v>14</v>
      </c>
      <c r="J673" s="51">
        <v>3883.9199999999996</v>
      </c>
      <c r="K673" s="52"/>
      <c r="L673" s="51"/>
      <c r="M673" s="52">
        <v>17</v>
      </c>
      <c r="N673" s="49">
        <v>5023.75</v>
      </c>
      <c r="O673" s="75">
        <v>9</v>
      </c>
      <c r="P673" s="54">
        <v>507.67</v>
      </c>
      <c r="Q673" s="54">
        <v>23.899999999999995</v>
      </c>
      <c r="R673" s="53">
        <f t="shared" si="32"/>
        <v>420</v>
      </c>
      <c r="S673" s="51">
        <v>3883.9199999999996</v>
      </c>
    </row>
    <row r="674" spans="1:19" ht="15" x14ac:dyDescent="0.25">
      <c r="A674" s="28"/>
      <c r="B674" s="45" t="str">
        <f t="shared" si="30"/>
        <v>Sep-2024</v>
      </c>
      <c r="C674" s="57">
        <v>45564</v>
      </c>
      <c r="D674" s="43">
        <f t="shared" si="31"/>
        <v>548</v>
      </c>
      <c r="E674" s="76">
        <v>4</v>
      </c>
      <c r="F674" s="50">
        <v>11</v>
      </c>
      <c r="G674" s="49">
        <v>6560</v>
      </c>
      <c r="H674" s="73">
        <v>11</v>
      </c>
      <c r="I674" s="52">
        <v>11</v>
      </c>
      <c r="J674" s="51">
        <v>2857.9599999999996</v>
      </c>
      <c r="K674" s="52"/>
      <c r="L674" s="51"/>
      <c r="M674" s="52">
        <v>9</v>
      </c>
      <c r="N674" s="49">
        <v>4146.5</v>
      </c>
      <c r="O674" s="75">
        <v>8</v>
      </c>
      <c r="P674" s="54">
        <v>444.46</v>
      </c>
      <c r="Q674" s="54">
        <v>86.61</v>
      </c>
      <c r="R674" s="53">
        <f t="shared" si="32"/>
        <v>328</v>
      </c>
      <c r="S674" s="51">
        <v>2857.9599999999996</v>
      </c>
    </row>
    <row r="675" spans="1:19" ht="15" x14ac:dyDescent="0.25">
      <c r="A675" s="28"/>
      <c r="B675" s="45" t="str">
        <f t="shared" si="30"/>
        <v>Sep-2024</v>
      </c>
      <c r="C675" s="57">
        <v>45565</v>
      </c>
      <c r="D675" s="43">
        <f t="shared" si="31"/>
        <v>547</v>
      </c>
      <c r="E675" s="76">
        <v>2</v>
      </c>
      <c r="F675" s="50">
        <v>18</v>
      </c>
      <c r="G675" s="49">
        <v>10800</v>
      </c>
      <c r="H675" s="73">
        <v>18</v>
      </c>
      <c r="I675" s="52">
        <v>18</v>
      </c>
      <c r="J675" s="51">
        <v>3661.1899999999996</v>
      </c>
      <c r="K675" s="52"/>
      <c r="L675" s="51"/>
      <c r="M675" s="52">
        <v>16</v>
      </c>
      <c r="N675" s="49">
        <v>7679.78</v>
      </c>
      <c r="O675" s="75">
        <v>15</v>
      </c>
      <c r="P675" s="54">
        <v>540.97</v>
      </c>
      <c r="Q675" s="54">
        <v>79.78</v>
      </c>
      <c r="R675" s="53">
        <f t="shared" si="32"/>
        <v>540</v>
      </c>
      <c r="S675" s="51">
        <v>3661.1899999999996</v>
      </c>
    </row>
    <row r="676" spans="1:19" ht="15" x14ac:dyDescent="0.25">
      <c r="A676" s="28"/>
      <c r="B676" s="45" t="str">
        <f t="shared" si="30"/>
        <v>Oct-2024</v>
      </c>
      <c r="C676" s="57">
        <v>45566</v>
      </c>
      <c r="D676" s="43">
        <f t="shared" si="31"/>
        <v>546</v>
      </c>
      <c r="E676" s="76">
        <v>3</v>
      </c>
      <c r="F676" s="50">
        <v>19</v>
      </c>
      <c r="G676" s="49">
        <v>10000</v>
      </c>
      <c r="H676" s="73">
        <v>19</v>
      </c>
      <c r="I676" s="52">
        <v>19</v>
      </c>
      <c r="J676" s="51">
        <v>6554.8899999999994</v>
      </c>
      <c r="K676" s="52"/>
      <c r="L676" s="51"/>
      <c r="M676" s="52">
        <v>17</v>
      </c>
      <c r="N676" s="49">
        <v>4331.87</v>
      </c>
      <c r="O676" s="75">
        <v>17</v>
      </c>
      <c r="P676" s="54">
        <v>886.75999999999988</v>
      </c>
      <c r="Q676" s="54">
        <v>55.459999999999994</v>
      </c>
      <c r="R676" s="53">
        <f t="shared" si="32"/>
        <v>500</v>
      </c>
      <c r="S676" s="51">
        <v>6554.8899999999994</v>
      </c>
    </row>
    <row r="677" spans="1:19" ht="15" x14ac:dyDescent="0.25">
      <c r="A677" s="28"/>
      <c r="B677" s="45" t="str">
        <f t="shared" si="30"/>
        <v>Oct-2024</v>
      </c>
      <c r="C677" s="57">
        <v>45567</v>
      </c>
      <c r="D677" s="43">
        <f t="shared" si="31"/>
        <v>545</v>
      </c>
      <c r="E677" s="76">
        <v>6</v>
      </c>
      <c r="F677" s="50">
        <v>17</v>
      </c>
      <c r="G677" s="49">
        <v>15600</v>
      </c>
      <c r="H677" s="73">
        <v>17</v>
      </c>
      <c r="I677" s="52">
        <v>17</v>
      </c>
      <c r="J677" s="51">
        <v>1953.39</v>
      </c>
      <c r="K677" s="52">
        <v>1</v>
      </c>
      <c r="L677" s="51">
        <v>100.02</v>
      </c>
      <c r="M677" s="52">
        <v>18</v>
      </c>
      <c r="N677" s="49">
        <v>13997.25</v>
      </c>
      <c r="O677" s="75">
        <v>17</v>
      </c>
      <c r="P677" s="54">
        <v>350.64</v>
      </c>
      <c r="Q677" s="54">
        <v>114.08</v>
      </c>
      <c r="R677" s="53">
        <f t="shared" si="32"/>
        <v>780</v>
      </c>
      <c r="S677" s="51">
        <v>1953.39</v>
      </c>
    </row>
    <row r="678" spans="1:19" ht="15" x14ac:dyDescent="0.25">
      <c r="A678" s="28"/>
      <c r="B678" s="45" t="str">
        <f t="shared" si="30"/>
        <v>Oct-2024</v>
      </c>
      <c r="C678" s="57">
        <v>45568</v>
      </c>
      <c r="D678" s="43">
        <f t="shared" si="31"/>
        <v>544</v>
      </c>
      <c r="E678" s="76">
        <v>2</v>
      </c>
      <c r="F678" s="50">
        <v>9</v>
      </c>
      <c r="G678" s="49">
        <v>6900</v>
      </c>
      <c r="H678" s="73">
        <v>9</v>
      </c>
      <c r="I678" s="52">
        <v>9</v>
      </c>
      <c r="J678" s="51">
        <v>5.33</v>
      </c>
      <c r="K678" s="52">
        <v>1</v>
      </c>
      <c r="L678" s="51">
        <v>800.18</v>
      </c>
      <c r="M678" s="52">
        <v>11</v>
      </c>
      <c r="N678" s="49">
        <v>6943.34</v>
      </c>
      <c r="O678" s="75">
        <v>9</v>
      </c>
      <c r="P678" s="54">
        <v>48.669999999999995</v>
      </c>
      <c r="Q678" s="54">
        <v>48.669999999999995</v>
      </c>
      <c r="R678" s="53">
        <f t="shared" si="32"/>
        <v>345</v>
      </c>
      <c r="S678" s="51">
        <v>5.33</v>
      </c>
    </row>
    <row r="679" spans="1:19" ht="15" x14ac:dyDescent="0.25">
      <c r="A679" s="28"/>
      <c r="B679" s="45" t="str">
        <f t="shared" si="30"/>
        <v>Oct-2024</v>
      </c>
      <c r="C679" s="57">
        <v>45569</v>
      </c>
      <c r="D679" s="43">
        <f t="shared" si="31"/>
        <v>543</v>
      </c>
      <c r="E679" s="76">
        <v>2</v>
      </c>
      <c r="F679" s="50">
        <v>16</v>
      </c>
      <c r="G679" s="49">
        <v>14166</v>
      </c>
      <c r="H679" s="73">
        <v>16</v>
      </c>
      <c r="I679" s="52">
        <v>16</v>
      </c>
      <c r="J679" s="51">
        <v>8274.94</v>
      </c>
      <c r="K679" s="52">
        <v>2</v>
      </c>
      <c r="L679" s="51">
        <v>1000.22</v>
      </c>
      <c r="M679" s="52">
        <v>14</v>
      </c>
      <c r="N679" s="49">
        <v>6992.49</v>
      </c>
      <c r="O679" s="75">
        <v>12</v>
      </c>
      <c r="P679" s="54">
        <v>1101.4299999999998</v>
      </c>
      <c r="Q679" s="54">
        <v>112.12</v>
      </c>
      <c r="R679" s="53">
        <f t="shared" si="32"/>
        <v>708.30000000000007</v>
      </c>
      <c r="S679" s="51">
        <v>8274.94</v>
      </c>
    </row>
    <row r="680" spans="1:19" ht="15" x14ac:dyDescent="0.25">
      <c r="A680" s="28"/>
      <c r="B680" s="45" t="str">
        <f t="shared" si="30"/>
        <v>Oct-2024</v>
      </c>
      <c r="C680" s="57">
        <v>45570</v>
      </c>
      <c r="D680" s="43">
        <f t="shared" si="31"/>
        <v>542</v>
      </c>
      <c r="E680" s="76">
        <v>4</v>
      </c>
      <c r="F680" s="50">
        <v>8</v>
      </c>
      <c r="G680" s="49">
        <v>6250</v>
      </c>
      <c r="H680" s="73">
        <v>8</v>
      </c>
      <c r="I680" s="52">
        <v>8</v>
      </c>
      <c r="J680" s="51">
        <v>5776.6599999999989</v>
      </c>
      <c r="K680" s="52"/>
      <c r="L680" s="51"/>
      <c r="M680" s="52">
        <v>2</v>
      </c>
      <c r="N680" s="49">
        <v>1208.8599999999999</v>
      </c>
      <c r="O680" s="75">
        <v>2</v>
      </c>
      <c r="P680" s="54">
        <v>735.52</v>
      </c>
      <c r="Q680" s="54">
        <v>8.86</v>
      </c>
      <c r="R680" s="53">
        <f t="shared" si="32"/>
        <v>312.5</v>
      </c>
      <c r="S680" s="51">
        <v>5776.66</v>
      </c>
    </row>
    <row r="681" spans="1:19" ht="15" x14ac:dyDescent="0.25">
      <c r="A681" s="28"/>
      <c r="B681" s="45" t="str">
        <f t="shared" si="30"/>
        <v>Oct-2024</v>
      </c>
      <c r="C681" s="57">
        <v>45571</v>
      </c>
      <c r="D681" s="43">
        <f t="shared" si="31"/>
        <v>541</v>
      </c>
      <c r="E681" s="76">
        <v>4</v>
      </c>
      <c r="F681" s="50">
        <v>9</v>
      </c>
      <c r="G681" s="49">
        <v>4600</v>
      </c>
      <c r="H681" s="73">
        <v>9</v>
      </c>
      <c r="I681" s="52">
        <v>9</v>
      </c>
      <c r="J681" s="51">
        <v>3772.62</v>
      </c>
      <c r="K681" s="52"/>
      <c r="L681" s="51"/>
      <c r="M681" s="52">
        <v>3</v>
      </c>
      <c r="N681" s="49">
        <v>1300.58</v>
      </c>
      <c r="O681" s="75">
        <v>2</v>
      </c>
      <c r="P681" s="54">
        <v>473.20000000000005</v>
      </c>
      <c r="Q681" s="54">
        <v>0.57999999999999996</v>
      </c>
      <c r="R681" s="53">
        <f t="shared" si="32"/>
        <v>230</v>
      </c>
      <c r="S681" s="51">
        <v>3772.62</v>
      </c>
    </row>
    <row r="682" spans="1:19" ht="15" x14ac:dyDescent="0.25">
      <c r="A682" s="28"/>
      <c r="B682" s="45" t="str">
        <f t="shared" si="30"/>
        <v>Oct-2024</v>
      </c>
      <c r="C682" s="57">
        <v>45572</v>
      </c>
      <c r="D682" s="43">
        <f t="shared" si="31"/>
        <v>540</v>
      </c>
      <c r="F682" s="50">
        <v>15</v>
      </c>
      <c r="G682" s="49">
        <v>13900</v>
      </c>
      <c r="H682" s="73">
        <v>14</v>
      </c>
      <c r="I682" s="52">
        <v>15</v>
      </c>
      <c r="J682" s="51">
        <v>1486.66</v>
      </c>
      <c r="K682" s="52">
        <v>2</v>
      </c>
      <c r="L682" s="51">
        <v>500.11</v>
      </c>
      <c r="M682" s="52">
        <v>22</v>
      </c>
      <c r="N682" s="49">
        <v>12702.97</v>
      </c>
      <c r="O682" s="75">
        <v>14</v>
      </c>
      <c r="P682" s="54">
        <v>289.62999999999994</v>
      </c>
      <c r="Q682" s="54">
        <v>103.03999999999999</v>
      </c>
      <c r="R682" s="53">
        <f t="shared" si="32"/>
        <v>695</v>
      </c>
      <c r="S682" s="51">
        <v>1486.66</v>
      </c>
    </row>
    <row r="683" spans="1:19" ht="15" x14ac:dyDescent="0.25">
      <c r="A683" s="28"/>
      <c r="B683" s="45" t="str">
        <f t="shared" si="30"/>
        <v>Oct-2024</v>
      </c>
      <c r="C683" s="57">
        <v>45573</v>
      </c>
      <c r="D683" s="43">
        <f t="shared" si="31"/>
        <v>539</v>
      </c>
      <c r="E683" s="76">
        <v>2</v>
      </c>
      <c r="F683" s="50">
        <v>10</v>
      </c>
      <c r="G683" s="49">
        <v>5050</v>
      </c>
      <c r="H683" s="73">
        <v>10</v>
      </c>
      <c r="I683" s="52">
        <v>10</v>
      </c>
      <c r="J683" s="51">
        <v>4109.91</v>
      </c>
      <c r="K683" s="52"/>
      <c r="L683" s="51"/>
      <c r="M683" s="52">
        <v>10</v>
      </c>
      <c r="N683" s="49">
        <v>1463.18</v>
      </c>
      <c r="O683" s="75">
        <v>8</v>
      </c>
      <c r="P683" s="54">
        <v>523.09</v>
      </c>
      <c r="Q683" s="54">
        <v>13.84</v>
      </c>
      <c r="R683" s="53">
        <f t="shared" si="32"/>
        <v>252.5</v>
      </c>
      <c r="S683" s="51">
        <v>4109.91</v>
      </c>
    </row>
    <row r="684" spans="1:19" ht="15" x14ac:dyDescent="0.25">
      <c r="A684" s="28"/>
      <c r="B684" s="45" t="str">
        <f t="shared" si="30"/>
        <v>Oct-2024</v>
      </c>
      <c r="C684" s="57">
        <v>45574</v>
      </c>
      <c r="D684" s="43">
        <f t="shared" si="31"/>
        <v>538</v>
      </c>
      <c r="E684" s="76">
        <v>7</v>
      </c>
      <c r="F684" s="50">
        <v>10</v>
      </c>
      <c r="G684" s="49">
        <v>5900</v>
      </c>
      <c r="H684" s="73">
        <v>10</v>
      </c>
      <c r="I684" s="52">
        <v>10</v>
      </c>
      <c r="J684" s="51">
        <v>4113.66</v>
      </c>
      <c r="K684" s="52"/>
      <c r="L684" s="51"/>
      <c r="M684" s="52">
        <v>5</v>
      </c>
      <c r="N684" s="49">
        <v>2310.98</v>
      </c>
      <c r="O684" s="75">
        <v>5</v>
      </c>
      <c r="P684" s="54">
        <v>524.64</v>
      </c>
      <c r="Q684" s="54">
        <v>10.979999999999999</v>
      </c>
      <c r="R684" s="53">
        <f t="shared" si="32"/>
        <v>295</v>
      </c>
      <c r="S684" s="51">
        <v>4113.66</v>
      </c>
    </row>
    <row r="685" spans="1:19" ht="15" x14ac:dyDescent="0.25">
      <c r="A685" s="28"/>
      <c r="B685" s="45" t="str">
        <f t="shared" si="30"/>
        <v>Oct-2024</v>
      </c>
      <c r="C685" s="57">
        <v>45575</v>
      </c>
      <c r="D685" s="43">
        <f t="shared" si="31"/>
        <v>537</v>
      </c>
      <c r="E685" s="76">
        <v>13</v>
      </c>
      <c r="F685" s="50">
        <v>11</v>
      </c>
      <c r="G685" s="49">
        <v>6200</v>
      </c>
      <c r="H685" s="73">
        <v>11</v>
      </c>
      <c r="I685" s="52">
        <v>11</v>
      </c>
      <c r="J685" s="51">
        <v>4798.9499999999989</v>
      </c>
      <c r="K685" s="52"/>
      <c r="L685" s="51"/>
      <c r="M685" s="52">
        <v>5</v>
      </c>
      <c r="N685" s="49">
        <v>2013.86</v>
      </c>
      <c r="O685" s="75">
        <v>5</v>
      </c>
      <c r="P685" s="54">
        <v>612.80999999999995</v>
      </c>
      <c r="Q685" s="54">
        <v>13.61</v>
      </c>
      <c r="R685" s="53">
        <f t="shared" si="32"/>
        <v>310</v>
      </c>
      <c r="S685" s="51">
        <v>4798.9500000000007</v>
      </c>
    </row>
    <row r="686" spans="1:19" ht="15" x14ac:dyDescent="0.25">
      <c r="A686" s="28"/>
      <c r="B686" s="45" t="str">
        <f t="shared" si="30"/>
        <v>Oct-2024</v>
      </c>
      <c r="C686" s="57">
        <v>45576</v>
      </c>
      <c r="D686" s="43">
        <f t="shared" si="31"/>
        <v>536</v>
      </c>
      <c r="E686" s="76">
        <v>3</v>
      </c>
      <c r="F686" s="50">
        <v>6</v>
      </c>
      <c r="G686" s="49">
        <v>3100</v>
      </c>
      <c r="H686" s="73">
        <v>6</v>
      </c>
      <c r="I686" s="52">
        <v>6</v>
      </c>
      <c r="J686" s="51">
        <v>2283.2399999999998</v>
      </c>
      <c r="K686" s="52"/>
      <c r="L686" s="51"/>
      <c r="M686" s="52">
        <v>4</v>
      </c>
      <c r="N686" s="49">
        <v>1104.48</v>
      </c>
      <c r="O686" s="75">
        <v>3</v>
      </c>
      <c r="P686" s="54">
        <v>287.71999999999997</v>
      </c>
      <c r="Q686" s="54">
        <v>4.4800000000000004</v>
      </c>
      <c r="R686" s="53">
        <f t="shared" si="32"/>
        <v>155</v>
      </c>
      <c r="S686" s="51">
        <v>2283.2399999999998</v>
      </c>
    </row>
    <row r="687" spans="1:19" ht="15" x14ac:dyDescent="0.25">
      <c r="A687" s="28"/>
      <c r="B687" s="45" t="str">
        <f t="shared" si="30"/>
        <v>Oct-2024</v>
      </c>
      <c r="C687" s="57">
        <v>45577</v>
      </c>
      <c r="D687" s="43">
        <f t="shared" si="31"/>
        <v>535</v>
      </c>
      <c r="E687" s="76">
        <v>7</v>
      </c>
      <c r="F687" s="50">
        <v>10</v>
      </c>
      <c r="G687" s="49">
        <v>5260</v>
      </c>
      <c r="H687" s="73">
        <v>10</v>
      </c>
      <c r="I687" s="52">
        <v>10</v>
      </c>
      <c r="J687" s="51">
        <v>2287.88</v>
      </c>
      <c r="K687" s="52"/>
      <c r="L687" s="51"/>
      <c r="M687" s="52">
        <v>12</v>
      </c>
      <c r="N687" s="49">
        <v>3288.15</v>
      </c>
      <c r="O687" s="75">
        <v>11</v>
      </c>
      <c r="P687" s="54">
        <v>316.02999999999997</v>
      </c>
      <c r="Q687" s="54">
        <v>28.15</v>
      </c>
      <c r="R687" s="53">
        <f t="shared" si="32"/>
        <v>263</v>
      </c>
      <c r="S687" s="51">
        <v>2287.88</v>
      </c>
    </row>
    <row r="688" spans="1:19" ht="15" x14ac:dyDescent="0.25">
      <c r="A688" s="28"/>
      <c r="B688" s="45" t="str">
        <f t="shared" si="30"/>
        <v>Oct-2024</v>
      </c>
      <c r="C688" s="57">
        <v>45578</v>
      </c>
      <c r="D688" s="43">
        <f t="shared" si="31"/>
        <v>534</v>
      </c>
      <c r="E688" s="76">
        <v>3</v>
      </c>
      <c r="F688" s="50">
        <v>5</v>
      </c>
      <c r="G688" s="49">
        <v>1800</v>
      </c>
      <c r="H688" s="73">
        <v>5</v>
      </c>
      <c r="I688" s="52">
        <v>5</v>
      </c>
      <c r="J688" s="51">
        <v>1141.0999999999999</v>
      </c>
      <c r="K688" s="52"/>
      <c r="L688" s="51"/>
      <c r="M688" s="52">
        <v>4</v>
      </c>
      <c r="N688" s="49">
        <v>805.84</v>
      </c>
      <c r="O688" s="75">
        <v>4</v>
      </c>
      <c r="P688" s="54">
        <v>146.94</v>
      </c>
      <c r="Q688" s="54">
        <v>5.84</v>
      </c>
      <c r="R688" s="53">
        <f t="shared" si="32"/>
        <v>90</v>
      </c>
      <c r="S688" s="51">
        <v>1141.0999999999999</v>
      </c>
    </row>
    <row r="689" spans="1:19" ht="15" x14ac:dyDescent="0.25">
      <c r="A689" s="28"/>
      <c r="B689" s="45" t="str">
        <f t="shared" si="30"/>
        <v>Oct-2024</v>
      </c>
      <c r="C689" s="57">
        <v>45579</v>
      </c>
      <c r="D689" s="43">
        <f t="shared" si="31"/>
        <v>533</v>
      </c>
      <c r="F689" s="50">
        <v>21</v>
      </c>
      <c r="G689" s="49">
        <v>24110</v>
      </c>
      <c r="H689" s="73">
        <v>21</v>
      </c>
      <c r="I689" s="52">
        <v>21</v>
      </c>
      <c r="J689" s="51">
        <v>1983.85</v>
      </c>
      <c r="K689" s="52"/>
      <c r="L689" s="51"/>
      <c r="M689" s="52">
        <v>27</v>
      </c>
      <c r="N689" s="49">
        <v>22555.96</v>
      </c>
      <c r="O689" s="75">
        <v>27</v>
      </c>
      <c r="P689" s="54">
        <v>429.80999999999983</v>
      </c>
      <c r="Q689" s="54">
        <v>187.36</v>
      </c>
      <c r="R689" s="53">
        <f t="shared" si="32"/>
        <v>1205.5</v>
      </c>
      <c r="S689" s="51">
        <v>1983.85</v>
      </c>
    </row>
    <row r="690" spans="1:19" ht="15" x14ac:dyDescent="0.25">
      <c r="A690" s="28"/>
      <c r="B690" s="45" t="str">
        <f t="shared" si="30"/>
        <v>Oct-2024</v>
      </c>
      <c r="C690" s="57">
        <v>45580</v>
      </c>
      <c r="D690" s="43">
        <f t="shared" si="31"/>
        <v>532</v>
      </c>
      <c r="E690" s="76">
        <v>2</v>
      </c>
      <c r="F690" s="50">
        <v>13</v>
      </c>
      <c r="G690" s="49">
        <v>7680</v>
      </c>
      <c r="H690" s="73">
        <v>13</v>
      </c>
      <c r="I690" s="52">
        <v>13</v>
      </c>
      <c r="J690" s="51">
        <v>2397.2999999999997</v>
      </c>
      <c r="K690" s="52"/>
      <c r="L690" s="51"/>
      <c r="M690" s="52">
        <v>10</v>
      </c>
      <c r="N690" s="49">
        <v>5615.02</v>
      </c>
      <c r="O690" s="75">
        <v>9</v>
      </c>
      <c r="P690" s="54">
        <v>332.32</v>
      </c>
      <c r="Q690" s="54">
        <v>35.020000000000003</v>
      </c>
      <c r="R690" s="53">
        <f t="shared" si="32"/>
        <v>384</v>
      </c>
      <c r="S690" s="51">
        <v>2397.2999999999997</v>
      </c>
    </row>
    <row r="691" spans="1:19" ht="15" x14ac:dyDescent="0.25">
      <c r="A691" s="28"/>
      <c r="B691" s="45" t="str">
        <f t="shared" si="30"/>
        <v>Oct-2024</v>
      </c>
      <c r="C691" s="57">
        <v>45581</v>
      </c>
      <c r="D691" s="43">
        <f t="shared" si="31"/>
        <v>531</v>
      </c>
      <c r="E691" s="76">
        <v>4</v>
      </c>
      <c r="F691" s="50">
        <v>20</v>
      </c>
      <c r="G691" s="49">
        <v>12320</v>
      </c>
      <c r="H691" s="73">
        <v>20</v>
      </c>
      <c r="I691" s="52">
        <v>20</v>
      </c>
      <c r="J691" s="51">
        <v>4162.6499999999996</v>
      </c>
      <c r="K691" s="52">
        <v>1</v>
      </c>
      <c r="L691" s="51">
        <v>1000.22</v>
      </c>
      <c r="M691" s="52">
        <v>16</v>
      </c>
      <c r="N691" s="49">
        <v>8745.15</v>
      </c>
      <c r="O691" s="75">
        <v>15</v>
      </c>
      <c r="P691" s="54">
        <v>587.79999999999995</v>
      </c>
      <c r="Q691" s="54">
        <v>75.150000000000006</v>
      </c>
      <c r="R691" s="53">
        <f t="shared" si="32"/>
        <v>616</v>
      </c>
      <c r="S691" s="51">
        <v>4162.6499999999996</v>
      </c>
    </row>
    <row r="692" spans="1:19" ht="15" x14ac:dyDescent="0.25">
      <c r="A692" s="28"/>
      <c r="B692" s="45" t="str">
        <f t="shared" si="30"/>
        <v>Oct-2024</v>
      </c>
      <c r="C692" s="57">
        <v>45582</v>
      </c>
      <c r="D692" s="43">
        <f t="shared" si="31"/>
        <v>530</v>
      </c>
      <c r="E692" s="76">
        <v>10</v>
      </c>
      <c r="F692" s="50">
        <v>15</v>
      </c>
      <c r="G692" s="49">
        <v>7100</v>
      </c>
      <c r="H692" s="73">
        <v>15</v>
      </c>
      <c r="I692" s="52">
        <v>15</v>
      </c>
      <c r="J692" s="51">
        <v>4449.2699999999995</v>
      </c>
      <c r="K692" s="52">
        <v>1</v>
      </c>
      <c r="L692" s="51">
        <v>1000.22</v>
      </c>
      <c r="M692" s="52">
        <v>6</v>
      </c>
      <c r="N692" s="49">
        <v>3217.46</v>
      </c>
      <c r="O692" s="75">
        <v>6</v>
      </c>
      <c r="P692" s="54">
        <v>566.73</v>
      </c>
      <c r="Q692" s="54">
        <v>17.46</v>
      </c>
      <c r="R692" s="53">
        <f t="shared" si="32"/>
        <v>355</v>
      </c>
      <c r="S692" s="51">
        <v>4449.2699999999995</v>
      </c>
    </row>
    <row r="693" spans="1:19" ht="15" x14ac:dyDescent="0.25">
      <c r="A693" s="28"/>
      <c r="B693" s="45" t="str">
        <f t="shared" si="30"/>
        <v>Oct-2024</v>
      </c>
      <c r="C693" s="57">
        <v>45583</v>
      </c>
      <c r="D693" s="43">
        <f t="shared" si="31"/>
        <v>529</v>
      </c>
      <c r="F693" s="50">
        <v>7</v>
      </c>
      <c r="G693" s="49">
        <v>5300</v>
      </c>
      <c r="H693" s="73">
        <v>7</v>
      </c>
      <c r="I693" s="52">
        <v>7</v>
      </c>
      <c r="J693" s="51">
        <v>1139.8</v>
      </c>
      <c r="K693" s="52"/>
      <c r="L693" s="51"/>
      <c r="M693" s="52">
        <v>5</v>
      </c>
      <c r="N693" s="49">
        <v>4399.71</v>
      </c>
      <c r="O693" s="75">
        <v>5</v>
      </c>
      <c r="P693" s="54">
        <v>239.51000000000002</v>
      </c>
      <c r="Q693" s="54">
        <v>99.710000000000008</v>
      </c>
      <c r="R693" s="53">
        <f t="shared" si="32"/>
        <v>265</v>
      </c>
      <c r="S693" s="51">
        <v>1139.8</v>
      </c>
    </row>
    <row r="694" spans="1:19" ht="15" x14ac:dyDescent="0.25">
      <c r="A694" s="28"/>
      <c r="B694" s="45" t="str">
        <f t="shared" si="30"/>
        <v>Oct-2024</v>
      </c>
      <c r="C694" s="57">
        <v>45584</v>
      </c>
      <c r="D694" s="43">
        <f t="shared" si="31"/>
        <v>528</v>
      </c>
      <c r="E694" s="76">
        <v>6</v>
      </c>
      <c r="F694" s="50">
        <v>4</v>
      </c>
      <c r="G694" s="49">
        <v>1950</v>
      </c>
      <c r="H694" s="73">
        <v>4</v>
      </c>
      <c r="I694" s="52">
        <v>4</v>
      </c>
      <c r="J694" s="51">
        <v>1139.8399999999999</v>
      </c>
      <c r="K694" s="52">
        <v>1</v>
      </c>
      <c r="L694" s="51">
        <v>807</v>
      </c>
      <c r="M694" s="52">
        <v>4</v>
      </c>
      <c r="N694" s="49">
        <v>950.84</v>
      </c>
      <c r="O694" s="75">
        <v>3</v>
      </c>
      <c r="P694" s="54">
        <v>140.68</v>
      </c>
      <c r="Q694" s="54">
        <v>1.1400000000000001</v>
      </c>
      <c r="R694" s="53">
        <f t="shared" si="32"/>
        <v>97.5</v>
      </c>
      <c r="S694" s="51">
        <v>1139.8399999999999</v>
      </c>
    </row>
    <row r="695" spans="1:19" ht="15" x14ac:dyDescent="0.25">
      <c r="A695" s="28"/>
      <c r="B695" s="45" t="str">
        <f t="shared" si="30"/>
        <v>Oct-2024</v>
      </c>
      <c r="C695" s="57">
        <v>45585</v>
      </c>
      <c r="D695" s="43">
        <f t="shared" si="31"/>
        <v>527</v>
      </c>
      <c r="E695" s="76">
        <v>6</v>
      </c>
      <c r="F695" s="50">
        <v>5</v>
      </c>
      <c r="G695" s="49">
        <v>1650</v>
      </c>
      <c r="H695" s="73">
        <v>5</v>
      </c>
      <c r="I695" s="52">
        <v>5</v>
      </c>
      <c r="J695" s="51">
        <v>1764.3000000000002</v>
      </c>
      <c r="K695" s="52"/>
      <c r="L695" s="51"/>
      <c r="M695" s="52">
        <v>4</v>
      </c>
      <c r="N695" s="49">
        <v>104.55</v>
      </c>
      <c r="O695" s="75">
        <v>3</v>
      </c>
      <c r="P695" s="54">
        <v>218.85</v>
      </c>
      <c r="Q695" s="54">
        <v>4.5500000000000007</v>
      </c>
      <c r="R695" s="53">
        <f t="shared" si="32"/>
        <v>82.5</v>
      </c>
      <c r="S695" s="51">
        <v>1764.3000000000002</v>
      </c>
    </row>
    <row r="696" spans="1:19" ht="15" x14ac:dyDescent="0.25">
      <c r="A696" s="28"/>
      <c r="B696" s="45" t="str">
        <f t="shared" si="30"/>
        <v>Oct-2024</v>
      </c>
      <c r="C696" s="57">
        <v>45586</v>
      </c>
      <c r="D696" s="43">
        <f t="shared" si="31"/>
        <v>526</v>
      </c>
      <c r="E696" s="76">
        <v>5</v>
      </c>
      <c r="F696" s="50">
        <v>4</v>
      </c>
      <c r="G696" s="49">
        <v>2000</v>
      </c>
      <c r="H696" s="73">
        <v>4</v>
      </c>
      <c r="I696" s="52">
        <v>4</v>
      </c>
      <c r="J696" s="51">
        <v>1935.4399999999998</v>
      </c>
      <c r="K696" s="52"/>
      <c r="L696" s="51"/>
      <c r="M696" s="52">
        <v>1</v>
      </c>
      <c r="N696" s="49">
        <v>300</v>
      </c>
      <c r="O696" s="75">
        <v>1</v>
      </c>
      <c r="P696" s="54">
        <v>235.44000000000003</v>
      </c>
      <c r="Q696" s="54">
        <v>0.33</v>
      </c>
      <c r="R696" s="53">
        <f t="shared" si="32"/>
        <v>100</v>
      </c>
      <c r="S696" s="51">
        <v>1935.44</v>
      </c>
    </row>
    <row r="697" spans="1:19" ht="15" x14ac:dyDescent="0.25">
      <c r="A697" s="28"/>
      <c r="B697" s="45" t="str">
        <f t="shared" si="30"/>
        <v>Oct-2024</v>
      </c>
      <c r="C697" s="57">
        <v>45587</v>
      </c>
      <c r="D697" s="43">
        <f t="shared" si="31"/>
        <v>525</v>
      </c>
      <c r="E697" s="76">
        <v>3</v>
      </c>
      <c r="F697" s="50">
        <v>4</v>
      </c>
      <c r="G697" s="49">
        <v>1600</v>
      </c>
      <c r="H697" s="73">
        <v>4</v>
      </c>
      <c r="I697" s="52">
        <v>4</v>
      </c>
      <c r="J697" s="51">
        <v>1824.0700000000002</v>
      </c>
      <c r="K697" s="52"/>
      <c r="L697" s="51"/>
      <c r="M697" s="52"/>
      <c r="N697" s="49"/>
      <c r="O697" s="75"/>
      <c r="P697" s="54">
        <v>224.07</v>
      </c>
      <c r="Q697" s="54">
        <v>0</v>
      </c>
      <c r="R697" s="53">
        <f t="shared" si="32"/>
        <v>80</v>
      </c>
      <c r="S697" s="51">
        <v>1824.07</v>
      </c>
    </row>
    <row r="698" spans="1:19" ht="15" x14ac:dyDescent="0.25">
      <c r="A698" s="28"/>
      <c r="B698" s="45" t="str">
        <f t="shared" si="30"/>
        <v>Oct-2024</v>
      </c>
      <c r="C698" s="57">
        <v>45588</v>
      </c>
      <c r="D698" s="43">
        <f t="shared" si="31"/>
        <v>524</v>
      </c>
      <c r="E698" s="76">
        <v>22</v>
      </c>
      <c r="F698" s="50">
        <v>26</v>
      </c>
      <c r="G698" s="49">
        <v>13650</v>
      </c>
      <c r="H698" s="73">
        <v>25</v>
      </c>
      <c r="I698" s="52">
        <v>26</v>
      </c>
      <c r="J698" s="51">
        <v>6050.4500000000007</v>
      </c>
      <c r="K698" s="52">
        <v>1</v>
      </c>
      <c r="L698" s="51">
        <v>100.02</v>
      </c>
      <c r="M698" s="52">
        <v>11</v>
      </c>
      <c r="N698" s="49">
        <v>8401.7800000000007</v>
      </c>
      <c r="O698" s="75">
        <v>10</v>
      </c>
      <c r="P698" s="54">
        <v>802.22999999999979</v>
      </c>
      <c r="Q698" s="54">
        <v>51.78</v>
      </c>
      <c r="R698" s="53">
        <f t="shared" si="32"/>
        <v>682.5</v>
      </c>
      <c r="S698" s="51">
        <v>6050.4499999999989</v>
      </c>
    </row>
    <row r="699" spans="1:19" ht="15" x14ac:dyDescent="0.25">
      <c r="A699" s="28"/>
      <c r="B699" s="45" t="str">
        <f t="shared" si="30"/>
        <v>Oct-2024</v>
      </c>
      <c r="C699" s="57">
        <v>45589</v>
      </c>
      <c r="D699" s="43">
        <f t="shared" si="31"/>
        <v>523</v>
      </c>
      <c r="E699" s="76">
        <v>51</v>
      </c>
      <c r="F699" s="50">
        <v>48</v>
      </c>
      <c r="G699" s="49">
        <v>25780</v>
      </c>
      <c r="H699" s="73">
        <v>48</v>
      </c>
      <c r="I699" s="52">
        <v>48</v>
      </c>
      <c r="J699" s="51">
        <v>13795.210000000012</v>
      </c>
      <c r="K699" s="52"/>
      <c r="L699" s="51"/>
      <c r="M699" s="52">
        <v>18</v>
      </c>
      <c r="N699" s="49">
        <v>13810.24</v>
      </c>
      <c r="O699" s="75">
        <v>18</v>
      </c>
      <c r="P699" s="54">
        <v>1825.4499999999982</v>
      </c>
      <c r="Q699" s="54">
        <v>130.24</v>
      </c>
      <c r="R699" s="53">
        <f t="shared" si="32"/>
        <v>1289</v>
      </c>
      <c r="S699" s="51">
        <v>13795.21000000001</v>
      </c>
    </row>
    <row r="700" spans="1:19" ht="15" x14ac:dyDescent="0.25">
      <c r="A700" s="28"/>
      <c r="B700" s="45" t="str">
        <f t="shared" si="30"/>
        <v>Oct-2024</v>
      </c>
      <c r="C700" s="57">
        <v>45590</v>
      </c>
      <c r="D700" s="43">
        <f t="shared" si="31"/>
        <v>522</v>
      </c>
      <c r="E700" s="76">
        <v>19</v>
      </c>
      <c r="F700" s="50">
        <v>17</v>
      </c>
      <c r="G700" s="49">
        <v>6000</v>
      </c>
      <c r="H700" s="73">
        <v>17</v>
      </c>
      <c r="I700" s="52">
        <v>17</v>
      </c>
      <c r="J700" s="51">
        <v>5931.79</v>
      </c>
      <c r="K700" s="52"/>
      <c r="L700" s="51"/>
      <c r="M700" s="52">
        <v>1</v>
      </c>
      <c r="N700" s="49">
        <v>802.34</v>
      </c>
      <c r="O700" s="75">
        <v>1</v>
      </c>
      <c r="P700" s="54">
        <v>734.13000000000022</v>
      </c>
      <c r="Q700" s="54">
        <v>2.34</v>
      </c>
      <c r="R700" s="53">
        <f t="shared" si="32"/>
        <v>300</v>
      </c>
      <c r="S700" s="51">
        <v>5931.7899999999991</v>
      </c>
    </row>
    <row r="701" spans="1:19" ht="15" x14ac:dyDescent="0.25">
      <c r="A701" s="28"/>
      <c r="B701" s="45" t="str">
        <f t="shared" si="30"/>
        <v>Oct-2024</v>
      </c>
      <c r="C701" s="57">
        <v>45591</v>
      </c>
      <c r="D701" s="43">
        <f t="shared" si="31"/>
        <v>521</v>
      </c>
      <c r="E701" s="76">
        <v>3</v>
      </c>
      <c r="F701" s="50">
        <v>6</v>
      </c>
      <c r="G701" s="49">
        <v>3700</v>
      </c>
      <c r="H701" s="73">
        <v>6</v>
      </c>
      <c r="I701" s="52">
        <v>6</v>
      </c>
      <c r="J701" s="51">
        <v>1706.58</v>
      </c>
      <c r="K701" s="52"/>
      <c r="L701" s="51"/>
      <c r="M701" s="52">
        <v>3</v>
      </c>
      <c r="N701" s="49">
        <v>2229.1799999999998</v>
      </c>
      <c r="O701" s="75">
        <v>3</v>
      </c>
      <c r="P701" s="54">
        <v>235.76</v>
      </c>
      <c r="Q701" s="54">
        <v>29.18</v>
      </c>
      <c r="R701" s="53">
        <f t="shared" si="32"/>
        <v>185</v>
      </c>
      <c r="S701" s="51">
        <v>1706.58</v>
      </c>
    </row>
    <row r="702" spans="1:19" ht="15" x14ac:dyDescent="0.25">
      <c r="A702" s="28"/>
      <c r="B702" s="45" t="str">
        <f t="shared" si="30"/>
        <v>Oct-2024</v>
      </c>
      <c r="C702" s="57">
        <v>45592</v>
      </c>
      <c r="D702" s="43">
        <f t="shared" si="31"/>
        <v>520</v>
      </c>
      <c r="E702" s="76">
        <v>1</v>
      </c>
      <c r="F702" s="50">
        <v>2</v>
      </c>
      <c r="G702" s="49">
        <v>1750</v>
      </c>
      <c r="H702" s="73">
        <v>2</v>
      </c>
      <c r="I702" s="52">
        <v>2</v>
      </c>
      <c r="J702" s="51">
        <v>568.73</v>
      </c>
      <c r="K702" s="52"/>
      <c r="L702" s="51"/>
      <c r="M702" s="52">
        <v>1</v>
      </c>
      <c r="N702" s="49">
        <v>1252.7</v>
      </c>
      <c r="O702" s="75">
        <v>1</v>
      </c>
      <c r="P702" s="54">
        <v>71.430000000000007</v>
      </c>
      <c r="Q702" s="54">
        <v>2.7</v>
      </c>
      <c r="R702" s="53">
        <f t="shared" si="32"/>
        <v>87.5</v>
      </c>
      <c r="S702" s="51">
        <v>568.73</v>
      </c>
    </row>
    <row r="703" spans="1:19" ht="15" x14ac:dyDescent="0.25">
      <c r="A703" s="28"/>
      <c r="B703" s="45" t="str">
        <f t="shared" si="30"/>
        <v>Oct-2024</v>
      </c>
      <c r="C703" s="57">
        <v>45593</v>
      </c>
      <c r="D703" s="43">
        <f t="shared" si="31"/>
        <v>519</v>
      </c>
      <c r="E703" s="76">
        <v>7</v>
      </c>
      <c r="F703" s="50">
        <v>8</v>
      </c>
      <c r="G703" s="49">
        <v>3600</v>
      </c>
      <c r="H703" s="73">
        <v>8</v>
      </c>
      <c r="I703" s="52">
        <v>8</v>
      </c>
      <c r="J703" s="51">
        <v>3411.8199999999997</v>
      </c>
      <c r="K703" s="52"/>
      <c r="L703" s="51"/>
      <c r="M703" s="52">
        <v>3</v>
      </c>
      <c r="N703" s="49">
        <v>601.42999999999995</v>
      </c>
      <c r="O703" s="75">
        <v>2</v>
      </c>
      <c r="P703" s="54">
        <v>413.25000000000006</v>
      </c>
      <c r="Q703" s="54">
        <v>1.65</v>
      </c>
      <c r="R703" s="53">
        <f t="shared" si="32"/>
        <v>180</v>
      </c>
      <c r="S703" s="51">
        <v>3411.82</v>
      </c>
    </row>
    <row r="704" spans="1:19" ht="15" x14ac:dyDescent="0.25">
      <c r="A704" s="28"/>
      <c r="B704" s="45" t="str">
        <f t="shared" si="30"/>
        <v>Oct-2024</v>
      </c>
      <c r="C704" s="57">
        <v>45594</v>
      </c>
      <c r="D704" s="43">
        <f t="shared" si="31"/>
        <v>518</v>
      </c>
      <c r="E704" s="76">
        <v>4</v>
      </c>
      <c r="F704" s="50">
        <v>18</v>
      </c>
      <c r="G704" s="49">
        <v>14610</v>
      </c>
      <c r="H704" s="73">
        <v>18</v>
      </c>
      <c r="I704" s="52">
        <v>18</v>
      </c>
      <c r="J704" s="51">
        <v>915.63</v>
      </c>
      <c r="K704" s="52"/>
      <c r="L704" s="51"/>
      <c r="M704" s="52">
        <v>14</v>
      </c>
      <c r="N704" s="49">
        <v>13881.85</v>
      </c>
      <c r="O704" s="75">
        <v>14</v>
      </c>
      <c r="P704" s="54">
        <v>187.48</v>
      </c>
      <c r="Q704" s="54">
        <v>71.850000000000009</v>
      </c>
      <c r="R704" s="53">
        <f t="shared" si="32"/>
        <v>730.5</v>
      </c>
      <c r="S704" s="51">
        <v>915.63000000000011</v>
      </c>
    </row>
    <row r="705" spans="1:19" ht="15" x14ac:dyDescent="0.25">
      <c r="A705" s="28"/>
      <c r="B705" s="45" t="str">
        <f t="shared" si="30"/>
        <v>Oct-2024</v>
      </c>
      <c r="C705" s="57">
        <v>45595</v>
      </c>
      <c r="D705" s="43">
        <f t="shared" si="31"/>
        <v>517</v>
      </c>
      <c r="E705" s="76">
        <v>7</v>
      </c>
      <c r="F705" s="50">
        <v>100</v>
      </c>
      <c r="G705" s="49">
        <v>60520</v>
      </c>
      <c r="H705" s="73">
        <v>100</v>
      </c>
      <c r="I705" s="52">
        <v>100</v>
      </c>
      <c r="J705" s="51">
        <v>34500.15</v>
      </c>
      <c r="K705" s="52">
        <v>2</v>
      </c>
      <c r="L705" s="51">
        <v>500.11</v>
      </c>
      <c r="M705" s="52">
        <v>57</v>
      </c>
      <c r="N705" s="49">
        <v>30512.69</v>
      </c>
      <c r="O705" s="75">
        <v>54</v>
      </c>
      <c r="P705" s="54">
        <v>4492.84</v>
      </c>
      <c r="Q705" s="54">
        <v>348.48000000000008</v>
      </c>
      <c r="R705" s="53">
        <f t="shared" si="32"/>
        <v>3026</v>
      </c>
      <c r="S705" s="51">
        <v>34500.149999999994</v>
      </c>
    </row>
    <row r="706" spans="1:19" ht="15" x14ac:dyDescent="0.25">
      <c r="A706" s="28"/>
      <c r="B706" s="45" t="str">
        <f t="shared" si="30"/>
        <v>Oct-2024</v>
      </c>
      <c r="C706" s="57">
        <v>45596</v>
      </c>
      <c r="D706" s="43">
        <f t="shared" si="31"/>
        <v>516</v>
      </c>
      <c r="E706" s="76">
        <v>5</v>
      </c>
      <c r="F706" s="50">
        <v>29</v>
      </c>
      <c r="G706" s="49">
        <v>17900</v>
      </c>
      <c r="H706" s="73">
        <v>29</v>
      </c>
      <c r="I706" s="52">
        <v>29</v>
      </c>
      <c r="J706" s="51">
        <v>6481.48</v>
      </c>
      <c r="K706" s="52">
        <v>1</v>
      </c>
      <c r="L706" s="51">
        <v>1000.22</v>
      </c>
      <c r="M706" s="52">
        <v>36</v>
      </c>
      <c r="N706" s="49">
        <v>12292.71</v>
      </c>
      <c r="O706" s="75">
        <v>32</v>
      </c>
      <c r="P706" s="54">
        <v>874.18999999999994</v>
      </c>
      <c r="Q706" s="54">
        <v>92.710000000000008</v>
      </c>
      <c r="R706" s="53">
        <f t="shared" si="32"/>
        <v>895</v>
      </c>
      <c r="S706" s="51">
        <v>6481.48</v>
      </c>
    </row>
    <row r="707" spans="1:19" ht="15" x14ac:dyDescent="0.25">
      <c r="A707" s="28"/>
      <c r="B707" s="45" t="str">
        <f t="shared" si="30"/>
        <v>Nov-2024</v>
      </c>
      <c r="C707" s="57">
        <v>45597</v>
      </c>
      <c r="D707" s="43">
        <f t="shared" si="31"/>
        <v>515</v>
      </c>
      <c r="E707" s="76">
        <v>7</v>
      </c>
      <c r="F707" s="50">
        <v>21</v>
      </c>
      <c r="G707" s="49">
        <v>14100</v>
      </c>
      <c r="H707" s="73">
        <v>20</v>
      </c>
      <c r="I707" s="52">
        <v>21</v>
      </c>
      <c r="J707" s="51">
        <v>4665.38</v>
      </c>
      <c r="K707" s="52">
        <v>1</v>
      </c>
      <c r="L707" s="51">
        <v>2000.44</v>
      </c>
      <c r="M707" s="52">
        <v>16</v>
      </c>
      <c r="N707" s="49">
        <v>10059.61</v>
      </c>
      <c r="O707" s="75">
        <v>15</v>
      </c>
      <c r="P707" s="54">
        <v>624.99000000000012</v>
      </c>
      <c r="Q707" s="54">
        <v>59.61</v>
      </c>
      <c r="R707" s="53">
        <f t="shared" si="32"/>
        <v>705</v>
      </c>
      <c r="S707" s="51">
        <v>4665.38</v>
      </c>
    </row>
    <row r="708" spans="1:19" ht="15" x14ac:dyDescent="0.25">
      <c r="A708" s="28"/>
      <c r="B708" s="45" t="str">
        <f t="shared" si="30"/>
        <v>Nov-2024</v>
      </c>
      <c r="C708" s="57">
        <v>45598</v>
      </c>
      <c r="D708" s="43">
        <f t="shared" si="31"/>
        <v>514</v>
      </c>
      <c r="E708" s="76">
        <v>14</v>
      </c>
      <c r="F708" s="50">
        <v>16</v>
      </c>
      <c r="G708" s="49">
        <v>11250</v>
      </c>
      <c r="H708" s="73">
        <v>16</v>
      </c>
      <c r="I708" s="52">
        <v>16</v>
      </c>
      <c r="J708" s="51">
        <v>5916.66</v>
      </c>
      <c r="K708" s="52"/>
      <c r="L708" s="51"/>
      <c r="M708" s="52">
        <v>4</v>
      </c>
      <c r="N708" s="49">
        <v>6073.64</v>
      </c>
      <c r="O708" s="75">
        <v>4</v>
      </c>
      <c r="P708" s="54">
        <v>740.30000000000018</v>
      </c>
      <c r="Q708" s="54">
        <v>28.93</v>
      </c>
      <c r="R708" s="53">
        <f t="shared" si="32"/>
        <v>562.5</v>
      </c>
      <c r="S708" s="51">
        <v>5916.6600000000008</v>
      </c>
    </row>
    <row r="709" spans="1:19" ht="15" x14ac:dyDescent="0.25">
      <c r="A709" s="28"/>
      <c r="B709" s="45" t="str">
        <f t="shared" si="30"/>
        <v>Nov-2024</v>
      </c>
      <c r="C709" s="57">
        <v>45599</v>
      </c>
      <c r="D709" s="43">
        <f t="shared" si="31"/>
        <v>513</v>
      </c>
      <c r="E709" s="76">
        <v>9</v>
      </c>
      <c r="F709" s="50">
        <v>13</v>
      </c>
      <c r="G709" s="49">
        <v>6960</v>
      </c>
      <c r="H709" s="73">
        <v>13</v>
      </c>
      <c r="I709" s="52">
        <v>13</v>
      </c>
      <c r="J709" s="51">
        <v>2391.94</v>
      </c>
      <c r="K709" s="52"/>
      <c r="L709" s="51"/>
      <c r="M709" s="52">
        <v>7</v>
      </c>
      <c r="N709" s="49">
        <v>4874.83</v>
      </c>
      <c r="O709" s="75">
        <v>7</v>
      </c>
      <c r="P709" s="54">
        <v>306.77000000000004</v>
      </c>
      <c r="Q709" s="54">
        <v>14.830000000000002</v>
      </c>
      <c r="R709" s="53">
        <f t="shared" si="32"/>
        <v>348</v>
      </c>
      <c r="S709" s="51">
        <v>2391.94</v>
      </c>
    </row>
    <row r="710" spans="1:19" ht="15" x14ac:dyDescent="0.25">
      <c r="A710" s="28"/>
      <c r="B710" s="45" t="str">
        <f t="shared" si="30"/>
        <v>Nov-2024</v>
      </c>
      <c r="C710" s="57">
        <v>45600</v>
      </c>
      <c r="D710" s="43">
        <f t="shared" si="31"/>
        <v>512</v>
      </c>
      <c r="E710" s="76">
        <v>5</v>
      </c>
      <c r="F710" s="50">
        <v>12</v>
      </c>
      <c r="G710" s="49">
        <v>7200</v>
      </c>
      <c r="H710" s="73">
        <v>12</v>
      </c>
      <c r="I710" s="52">
        <v>12</v>
      </c>
      <c r="J710" s="51">
        <v>4486.3200000000006</v>
      </c>
      <c r="K710" s="52"/>
      <c r="L710" s="51"/>
      <c r="M710" s="52">
        <v>5</v>
      </c>
      <c r="N710" s="49">
        <v>3267.47</v>
      </c>
      <c r="O710" s="75">
        <v>5</v>
      </c>
      <c r="P710" s="54">
        <v>553.78999999999985</v>
      </c>
      <c r="Q710" s="54">
        <v>17.799999999999997</v>
      </c>
      <c r="R710" s="53">
        <f t="shared" si="32"/>
        <v>360</v>
      </c>
      <c r="S710" s="51">
        <v>4486.32</v>
      </c>
    </row>
    <row r="711" spans="1:19" ht="15" x14ac:dyDescent="0.25">
      <c r="A711" s="28"/>
      <c r="B711" s="45" t="str">
        <f t="shared" ref="B711:B774" si="33">TEXT(C711,"MMM-YYYY")</f>
        <v>Nov-2024</v>
      </c>
      <c r="C711" s="57">
        <v>45601</v>
      </c>
      <c r="D711" s="43">
        <f t="shared" ref="D711:D774" si="34">$A$1-C711</f>
        <v>511</v>
      </c>
      <c r="E711" s="76">
        <v>6</v>
      </c>
      <c r="F711" s="50">
        <v>7</v>
      </c>
      <c r="G711" s="49">
        <v>3500</v>
      </c>
      <c r="H711" s="73">
        <v>7</v>
      </c>
      <c r="I711" s="52">
        <v>7</v>
      </c>
      <c r="J711" s="51">
        <v>462.04</v>
      </c>
      <c r="K711" s="52"/>
      <c r="L711" s="51"/>
      <c r="M711" s="52">
        <v>3</v>
      </c>
      <c r="N711" s="49">
        <v>3115.36</v>
      </c>
      <c r="O711" s="75">
        <v>3</v>
      </c>
      <c r="P711" s="54">
        <v>77.400000000000006</v>
      </c>
      <c r="Q711" s="54">
        <v>15.36</v>
      </c>
      <c r="R711" s="53">
        <f t="shared" ref="R711:R774" si="35">G711*5%</f>
        <v>175</v>
      </c>
      <c r="S711" s="51">
        <v>462.04</v>
      </c>
    </row>
    <row r="712" spans="1:19" ht="15" x14ac:dyDescent="0.25">
      <c r="A712" s="28"/>
      <c r="B712" s="45" t="str">
        <f t="shared" si="33"/>
        <v>Nov-2024</v>
      </c>
      <c r="C712" s="57">
        <v>45602</v>
      </c>
      <c r="D712" s="43">
        <f t="shared" si="34"/>
        <v>510</v>
      </c>
      <c r="E712" s="76">
        <v>6</v>
      </c>
      <c r="F712" s="50">
        <v>7</v>
      </c>
      <c r="G712" s="49">
        <v>2500</v>
      </c>
      <c r="H712" s="73">
        <v>7</v>
      </c>
      <c r="I712" s="52">
        <v>7</v>
      </c>
      <c r="J712" s="51">
        <v>2048.73</v>
      </c>
      <c r="K712" s="52"/>
      <c r="L712" s="51"/>
      <c r="M712" s="52">
        <v>1</v>
      </c>
      <c r="N712" s="49">
        <v>704.41</v>
      </c>
      <c r="O712" s="75">
        <v>1</v>
      </c>
      <c r="P712" s="54">
        <v>253.14</v>
      </c>
      <c r="Q712" s="54">
        <v>4.41</v>
      </c>
      <c r="R712" s="53">
        <f t="shared" si="35"/>
        <v>125</v>
      </c>
      <c r="S712" s="51">
        <v>2048.73</v>
      </c>
    </row>
    <row r="713" spans="1:19" ht="15" x14ac:dyDescent="0.25">
      <c r="A713" s="28"/>
      <c r="B713" s="45" t="str">
        <f t="shared" si="33"/>
        <v>Nov-2024</v>
      </c>
      <c r="C713" s="57">
        <v>45603</v>
      </c>
      <c r="D713" s="43">
        <f t="shared" si="34"/>
        <v>509</v>
      </c>
      <c r="E713" s="76">
        <v>16</v>
      </c>
      <c r="F713" s="50">
        <v>12</v>
      </c>
      <c r="G713" s="49">
        <v>3600</v>
      </c>
      <c r="H713" s="73">
        <v>12</v>
      </c>
      <c r="I713" s="52">
        <v>12</v>
      </c>
      <c r="J713" s="51">
        <v>4096.5</v>
      </c>
      <c r="K713" s="52"/>
      <c r="L713" s="51"/>
      <c r="M713" s="52"/>
      <c r="N713" s="49"/>
      <c r="O713" s="75"/>
      <c r="P713" s="54">
        <v>496.49999999999994</v>
      </c>
      <c r="Q713" s="54">
        <v>0</v>
      </c>
      <c r="R713" s="53">
        <f t="shared" si="35"/>
        <v>180</v>
      </c>
      <c r="S713" s="51">
        <v>4096.5</v>
      </c>
    </row>
    <row r="714" spans="1:19" ht="15" x14ac:dyDescent="0.25">
      <c r="A714" s="28"/>
      <c r="B714" s="45" t="str">
        <f t="shared" si="33"/>
        <v>Nov-2024</v>
      </c>
      <c r="C714" s="57">
        <v>45604</v>
      </c>
      <c r="D714" s="43">
        <f t="shared" si="34"/>
        <v>508</v>
      </c>
      <c r="E714" s="76">
        <v>16</v>
      </c>
      <c r="F714" s="50">
        <v>13</v>
      </c>
      <c r="G714" s="49">
        <v>4400</v>
      </c>
      <c r="H714" s="73">
        <v>13</v>
      </c>
      <c r="I714" s="52">
        <v>13</v>
      </c>
      <c r="J714" s="51">
        <v>2845.78</v>
      </c>
      <c r="K714" s="52"/>
      <c r="L714" s="51"/>
      <c r="M714" s="52">
        <v>5</v>
      </c>
      <c r="N714" s="49">
        <v>1908.46</v>
      </c>
      <c r="O714" s="75">
        <v>5</v>
      </c>
      <c r="P714" s="54">
        <v>354.24000000000012</v>
      </c>
      <c r="Q714" s="54">
        <v>8.4600000000000009</v>
      </c>
      <c r="R714" s="53">
        <f t="shared" si="35"/>
        <v>220</v>
      </c>
      <c r="S714" s="51">
        <v>2845.78</v>
      </c>
    </row>
    <row r="715" spans="1:19" ht="15" x14ac:dyDescent="0.25">
      <c r="A715" s="28"/>
      <c r="B715" s="45" t="str">
        <f t="shared" si="33"/>
        <v>Nov-2024</v>
      </c>
      <c r="C715" s="57">
        <v>45605</v>
      </c>
      <c r="D715" s="43">
        <f t="shared" si="34"/>
        <v>507</v>
      </c>
      <c r="E715" s="76">
        <v>10</v>
      </c>
      <c r="F715" s="50">
        <v>8</v>
      </c>
      <c r="G715" s="49">
        <v>3400</v>
      </c>
      <c r="H715" s="73">
        <v>8</v>
      </c>
      <c r="I715" s="52">
        <v>8</v>
      </c>
      <c r="J715" s="51">
        <v>3065.9799999999996</v>
      </c>
      <c r="K715" s="52"/>
      <c r="L715" s="51"/>
      <c r="M715" s="52">
        <v>1</v>
      </c>
      <c r="N715" s="49">
        <v>700.75</v>
      </c>
      <c r="O715" s="75">
        <v>1</v>
      </c>
      <c r="P715" s="54">
        <v>366.73</v>
      </c>
      <c r="Q715" s="54">
        <v>0.75</v>
      </c>
      <c r="R715" s="53">
        <f t="shared" si="35"/>
        <v>170</v>
      </c>
      <c r="S715" s="51">
        <v>3065.9799999999996</v>
      </c>
    </row>
    <row r="716" spans="1:19" ht="15" x14ac:dyDescent="0.25">
      <c r="A716" s="28"/>
      <c r="B716" s="45" t="str">
        <f t="shared" si="33"/>
        <v>Nov-2024</v>
      </c>
      <c r="C716" s="57">
        <v>45606</v>
      </c>
      <c r="D716" s="43">
        <f t="shared" si="34"/>
        <v>506</v>
      </c>
      <c r="E716" s="76">
        <v>26</v>
      </c>
      <c r="F716" s="50">
        <v>26</v>
      </c>
      <c r="G716" s="49">
        <v>8900</v>
      </c>
      <c r="H716" s="73">
        <v>26</v>
      </c>
      <c r="I716" s="52">
        <v>26</v>
      </c>
      <c r="J716" s="51">
        <v>7841.1599999999989</v>
      </c>
      <c r="K716" s="52"/>
      <c r="L716" s="51"/>
      <c r="M716" s="52">
        <v>6</v>
      </c>
      <c r="N716" s="49">
        <v>2006.07</v>
      </c>
      <c r="O716" s="75">
        <v>6</v>
      </c>
      <c r="P716" s="54">
        <v>947.2299999999999</v>
      </c>
      <c r="Q716" s="54">
        <v>6.07</v>
      </c>
      <c r="R716" s="53">
        <f t="shared" si="35"/>
        <v>445</v>
      </c>
      <c r="S716" s="51">
        <v>7841.159999999998</v>
      </c>
    </row>
    <row r="717" spans="1:19" ht="15" x14ac:dyDescent="0.25">
      <c r="A717" s="28"/>
      <c r="B717" s="45" t="str">
        <f t="shared" si="33"/>
        <v>Nov-2024</v>
      </c>
      <c r="C717" s="57">
        <v>45607</v>
      </c>
      <c r="D717" s="43">
        <f t="shared" si="34"/>
        <v>505</v>
      </c>
      <c r="E717" s="76">
        <v>20</v>
      </c>
      <c r="F717" s="50">
        <v>13</v>
      </c>
      <c r="G717" s="49">
        <v>4100</v>
      </c>
      <c r="H717" s="73">
        <v>13</v>
      </c>
      <c r="I717" s="52">
        <v>13</v>
      </c>
      <c r="J717" s="51">
        <v>4092.6599999999989</v>
      </c>
      <c r="K717" s="52"/>
      <c r="L717" s="51"/>
      <c r="M717" s="52">
        <v>1</v>
      </c>
      <c r="N717" s="49">
        <v>500.55</v>
      </c>
      <c r="O717" s="75">
        <v>1</v>
      </c>
      <c r="P717" s="54">
        <v>493.20999999999987</v>
      </c>
      <c r="Q717" s="54">
        <v>0.55000000000000004</v>
      </c>
      <c r="R717" s="53">
        <f t="shared" si="35"/>
        <v>205</v>
      </c>
      <c r="S717" s="51">
        <v>4092.6599999999989</v>
      </c>
    </row>
    <row r="718" spans="1:19" ht="15" x14ac:dyDescent="0.25">
      <c r="A718" s="28"/>
      <c r="B718" s="45" t="str">
        <f t="shared" si="33"/>
        <v>Nov-2024</v>
      </c>
      <c r="C718" s="57">
        <v>45608</v>
      </c>
      <c r="D718" s="43">
        <f t="shared" si="34"/>
        <v>504</v>
      </c>
      <c r="E718" s="76">
        <v>17</v>
      </c>
      <c r="F718" s="50">
        <v>15</v>
      </c>
      <c r="G718" s="49">
        <v>6800</v>
      </c>
      <c r="H718" s="73">
        <v>15</v>
      </c>
      <c r="I718" s="52">
        <v>15</v>
      </c>
      <c r="J718" s="51">
        <v>6012.4</v>
      </c>
      <c r="K718" s="52"/>
      <c r="L718" s="51"/>
      <c r="M718" s="52">
        <v>2</v>
      </c>
      <c r="N718" s="49">
        <v>1502.97</v>
      </c>
      <c r="O718" s="75">
        <v>2</v>
      </c>
      <c r="P718" s="54">
        <v>715.36999999999978</v>
      </c>
      <c r="Q718" s="54">
        <v>2.97</v>
      </c>
      <c r="R718" s="53">
        <f t="shared" si="35"/>
        <v>340</v>
      </c>
      <c r="S718" s="51">
        <v>6012.4</v>
      </c>
    </row>
    <row r="719" spans="1:19" ht="15" x14ac:dyDescent="0.25">
      <c r="A719" s="28"/>
      <c r="B719" s="45" t="str">
        <f t="shared" si="33"/>
        <v>Nov-2024</v>
      </c>
      <c r="C719" s="57">
        <v>45609</v>
      </c>
      <c r="D719" s="43">
        <f t="shared" si="34"/>
        <v>503</v>
      </c>
      <c r="E719" s="76">
        <v>23</v>
      </c>
      <c r="F719" s="50">
        <v>22</v>
      </c>
      <c r="G719" s="49">
        <v>7000</v>
      </c>
      <c r="H719" s="73">
        <v>22</v>
      </c>
      <c r="I719" s="52">
        <v>22</v>
      </c>
      <c r="J719" s="51">
        <v>6923.3400000000038</v>
      </c>
      <c r="K719" s="52"/>
      <c r="L719" s="51"/>
      <c r="M719" s="52">
        <v>6</v>
      </c>
      <c r="N719" s="49">
        <v>903.22</v>
      </c>
      <c r="O719" s="75">
        <v>6</v>
      </c>
      <c r="P719" s="54">
        <v>826.55999999999983</v>
      </c>
      <c r="Q719" s="54">
        <v>3.2199999999999998</v>
      </c>
      <c r="R719" s="53">
        <f t="shared" si="35"/>
        <v>350</v>
      </c>
      <c r="S719" s="51">
        <v>6923.3400000000038</v>
      </c>
    </row>
    <row r="720" spans="1:19" ht="15" x14ac:dyDescent="0.25">
      <c r="A720" s="28"/>
      <c r="B720" s="45" t="str">
        <f t="shared" si="33"/>
        <v>Nov-2024</v>
      </c>
      <c r="C720" s="57">
        <v>45610</v>
      </c>
      <c r="D720" s="43">
        <f t="shared" si="34"/>
        <v>502</v>
      </c>
      <c r="E720" s="76">
        <v>8</v>
      </c>
      <c r="F720" s="50">
        <v>13</v>
      </c>
      <c r="G720" s="49">
        <v>5700</v>
      </c>
      <c r="H720" s="73">
        <v>13</v>
      </c>
      <c r="I720" s="52">
        <v>13</v>
      </c>
      <c r="J720" s="51">
        <v>3974.5399999999986</v>
      </c>
      <c r="K720" s="52"/>
      <c r="L720" s="51"/>
      <c r="M720" s="52">
        <v>3</v>
      </c>
      <c r="N720" s="49">
        <v>2204.9</v>
      </c>
      <c r="O720" s="75">
        <v>3</v>
      </c>
      <c r="P720" s="54">
        <v>479.44000000000005</v>
      </c>
      <c r="Q720" s="54">
        <v>4.9000000000000004</v>
      </c>
      <c r="R720" s="53">
        <f t="shared" si="35"/>
        <v>285</v>
      </c>
      <c r="S720" s="51">
        <v>3974.5399999999991</v>
      </c>
    </row>
    <row r="721" spans="1:19" ht="15" x14ac:dyDescent="0.25">
      <c r="A721" s="28"/>
      <c r="B721" s="45" t="str">
        <f t="shared" si="33"/>
        <v>Nov-2024</v>
      </c>
      <c r="C721" s="57">
        <v>45611</v>
      </c>
      <c r="D721" s="43">
        <f t="shared" si="34"/>
        <v>501</v>
      </c>
      <c r="E721" s="76">
        <v>12</v>
      </c>
      <c r="F721" s="50">
        <v>17</v>
      </c>
      <c r="G721" s="49">
        <v>7675</v>
      </c>
      <c r="H721" s="73">
        <v>17</v>
      </c>
      <c r="I721" s="52">
        <v>17</v>
      </c>
      <c r="J721" s="51">
        <v>2810.9700000000003</v>
      </c>
      <c r="K721" s="52"/>
      <c r="L721" s="51"/>
      <c r="M721" s="52">
        <v>9</v>
      </c>
      <c r="N721" s="49">
        <v>5337.85</v>
      </c>
      <c r="O721" s="75">
        <v>9</v>
      </c>
      <c r="P721" s="54">
        <v>473.82000000000011</v>
      </c>
      <c r="Q721" s="54">
        <v>137.85</v>
      </c>
      <c r="R721" s="53">
        <f t="shared" si="35"/>
        <v>383.75</v>
      </c>
      <c r="S721" s="51">
        <v>2810.9700000000003</v>
      </c>
    </row>
    <row r="722" spans="1:19" ht="15" x14ac:dyDescent="0.25">
      <c r="A722" s="28"/>
      <c r="B722" s="45" t="str">
        <f t="shared" si="33"/>
        <v>Nov-2024</v>
      </c>
      <c r="C722" s="57">
        <v>45612</v>
      </c>
      <c r="D722" s="43">
        <f t="shared" si="34"/>
        <v>500</v>
      </c>
      <c r="E722" s="76">
        <v>15</v>
      </c>
      <c r="F722" s="50">
        <v>15</v>
      </c>
      <c r="G722" s="49">
        <v>5000</v>
      </c>
      <c r="H722" s="73">
        <v>15</v>
      </c>
      <c r="I722" s="52">
        <v>15</v>
      </c>
      <c r="J722" s="51">
        <v>3972.6799999999994</v>
      </c>
      <c r="K722" s="52"/>
      <c r="L722" s="51"/>
      <c r="M722" s="52">
        <v>4</v>
      </c>
      <c r="N722" s="49">
        <v>1511.84</v>
      </c>
      <c r="O722" s="75">
        <v>4</v>
      </c>
      <c r="P722" s="54">
        <v>484.52</v>
      </c>
      <c r="Q722" s="54">
        <v>11.84</v>
      </c>
      <c r="R722" s="53">
        <f t="shared" si="35"/>
        <v>250</v>
      </c>
      <c r="S722" s="51">
        <v>3972.6800000000003</v>
      </c>
    </row>
    <row r="723" spans="1:19" ht="15" x14ac:dyDescent="0.25">
      <c r="A723" s="28"/>
      <c r="B723" s="45" t="str">
        <f t="shared" si="33"/>
        <v>Nov-2024</v>
      </c>
      <c r="C723" s="57">
        <v>45613</v>
      </c>
      <c r="D723" s="43">
        <f t="shared" si="34"/>
        <v>499</v>
      </c>
      <c r="E723" s="76">
        <v>11</v>
      </c>
      <c r="F723" s="50">
        <v>9</v>
      </c>
      <c r="G723" s="49">
        <v>3500</v>
      </c>
      <c r="H723" s="73">
        <v>9</v>
      </c>
      <c r="I723" s="52">
        <v>9</v>
      </c>
      <c r="J723" s="51">
        <v>3792.27</v>
      </c>
      <c r="K723" s="52"/>
      <c r="L723" s="51"/>
      <c r="M723" s="52">
        <v>2</v>
      </c>
      <c r="N723" s="49">
        <v>150.08000000000001</v>
      </c>
      <c r="O723" s="75">
        <v>2</v>
      </c>
      <c r="P723" s="54">
        <v>442.34999999999997</v>
      </c>
      <c r="Q723" s="54">
        <v>1.1600000000000001</v>
      </c>
      <c r="R723" s="53">
        <f t="shared" si="35"/>
        <v>175</v>
      </c>
      <c r="S723" s="51">
        <v>3792.27</v>
      </c>
    </row>
    <row r="724" spans="1:19" ht="15" x14ac:dyDescent="0.25">
      <c r="A724" s="28"/>
      <c r="B724" s="45" t="str">
        <f t="shared" si="33"/>
        <v>Nov-2024</v>
      </c>
      <c r="C724" s="57">
        <v>45614</v>
      </c>
      <c r="D724" s="43">
        <f t="shared" si="34"/>
        <v>498</v>
      </c>
      <c r="E724" s="76">
        <v>10</v>
      </c>
      <c r="F724" s="50">
        <v>9</v>
      </c>
      <c r="G724" s="49">
        <v>8750</v>
      </c>
      <c r="H724" s="73">
        <v>9</v>
      </c>
      <c r="I724" s="52">
        <v>9</v>
      </c>
      <c r="J724" s="51">
        <v>3961.0899999999997</v>
      </c>
      <c r="K724" s="52"/>
      <c r="L724" s="51"/>
      <c r="M724" s="52">
        <v>2</v>
      </c>
      <c r="N724" s="49">
        <v>5288.97</v>
      </c>
      <c r="O724" s="75">
        <v>2</v>
      </c>
      <c r="P724" s="54">
        <v>500.06</v>
      </c>
      <c r="Q724" s="54">
        <v>38.97</v>
      </c>
      <c r="R724" s="53">
        <f t="shared" si="35"/>
        <v>437.5</v>
      </c>
      <c r="S724" s="51">
        <v>3961.0899999999997</v>
      </c>
    </row>
    <row r="725" spans="1:19" ht="15" x14ac:dyDescent="0.25">
      <c r="A725" s="28"/>
      <c r="B725" s="45" t="str">
        <f t="shared" si="33"/>
        <v>Nov-2024</v>
      </c>
      <c r="C725" s="57">
        <v>45615</v>
      </c>
      <c r="D725" s="43">
        <f t="shared" si="34"/>
        <v>497</v>
      </c>
      <c r="E725" s="76">
        <v>13</v>
      </c>
      <c r="F725" s="50">
        <v>36</v>
      </c>
      <c r="G725" s="49">
        <v>27910</v>
      </c>
      <c r="H725" s="73">
        <v>36</v>
      </c>
      <c r="I725" s="52">
        <v>36</v>
      </c>
      <c r="J725" s="51">
        <v>11324.509999999998</v>
      </c>
      <c r="K725" s="52"/>
      <c r="L725" s="51"/>
      <c r="M725" s="52">
        <v>24</v>
      </c>
      <c r="N725" s="49">
        <v>18028.68</v>
      </c>
      <c r="O725" s="75">
        <v>23</v>
      </c>
      <c r="P725" s="54">
        <v>1443.1899999999998</v>
      </c>
      <c r="Q725" s="54">
        <v>118.68</v>
      </c>
      <c r="R725" s="53">
        <f t="shared" si="35"/>
        <v>1395.5</v>
      </c>
      <c r="S725" s="51">
        <v>11324.509999999998</v>
      </c>
    </row>
    <row r="726" spans="1:19" ht="15" x14ac:dyDescent="0.25">
      <c r="A726" s="28"/>
      <c r="B726" s="45" t="str">
        <f t="shared" si="33"/>
        <v>Nov-2024</v>
      </c>
      <c r="C726" s="57">
        <v>45616</v>
      </c>
      <c r="D726" s="43">
        <f t="shared" si="34"/>
        <v>496</v>
      </c>
      <c r="E726" s="76">
        <v>10</v>
      </c>
      <c r="F726" s="50">
        <v>13</v>
      </c>
      <c r="G726" s="49">
        <v>7500</v>
      </c>
      <c r="H726" s="73">
        <v>13</v>
      </c>
      <c r="I726" s="52">
        <v>13</v>
      </c>
      <c r="J726" s="51">
        <v>1476.4</v>
      </c>
      <c r="K726" s="52"/>
      <c r="L726" s="51"/>
      <c r="M726" s="52">
        <v>8</v>
      </c>
      <c r="N726" s="49">
        <v>6317.03</v>
      </c>
      <c r="O726" s="75">
        <v>8</v>
      </c>
      <c r="P726" s="54">
        <v>293.43</v>
      </c>
      <c r="Q726" s="54">
        <v>117.03</v>
      </c>
      <c r="R726" s="53">
        <f t="shared" si="35"/>
        <v>375</v>
      </c>
      <c r="S726" s="51">
        <v>1476.4</v>
      </c>
    </row>
    <row r="727" spans="1:19" ht="15" x14ac:dyDescent="0.25">
      <c r="A727" s="28"/>
      <c r="B727" s="45" t="str">
        <f t="shared" si="33"/>
        <v>Nov-2024</v>
      </c>
      <c r="C727" s="57">
        <v>45617</v>
      </c>
      <c r="D727" s="43">
        <f t="shared" si="34"/>
        <v>495</v>
      </c>
      <c r="E727" s="76">
        <v>22</v>
      </c>
      <c r="F727" s="50">
        <v>21</v>
      </c>
      <c r="G727" s="49">
        <v>8600</v>
      </c>
      <c r="H727" s="73">
        <v>21</v>
      </c>
      <c r="I727" s="52">
        <v>21</v>
      </c>
      <c r="J727" s="51">
        <v>6009.56</v>
      </c>
      <c r="K727" s="52"/>
      <c r="L727" s="51"/>
      <c r="M727" s="52">
        <v>5</v>
      </c>
      <c r="N727" s="49">
        <v>3349.62</v>
      </c>
      <c r="O727" s="75">
        <v>5</v>
      </c>
      <c r="P727" s="54">
        <v>759.17999999999984</v>
      </c>
      <c r="Q727" s="54">
        <v>49.62</v>
      </c>
      <c r="R727" s="53">
        <f t="shared" si="35"/>
        <v>430</v>
      </c>
      <c r="S727" s="51">
        <v>6009.5600000000013</v>
      </c>
    </row>
    <row r="728" spans="1:19" ht="15" x14ac:dyDescent="0.25">
      <c r="A728" s="28"/>
      <c r="B728" s="45" t="str">
        <f t="shared" si="33"/>
        <v>Nov-2024</v>
      </c>
      <c r="C728" s="57">
        <v>45618</v>
      </c>
      <c r="D728" s="43">
        <f t="shared" si="34"/>
        <v>494</v>
      </c>
      <c r="E728" s="76">
        <v>14</v>
      </c>
      <c r="F728" s="50">
        <v>19</v>
      </c>
      <c r="G728" s="49">
        <v>10200</v>
      </c>
      <c r="H728" s="73">
        <v>12</v>
      </c>
      <c r="I728" s="52">
        <v>19</v>
      </c>
      <c r="J728" s="51">
        <v>3847.35</v>
      </c>
      <c r="K728" s="52">
        <v>7</v>
      </c>
      <c r="L728" s="51">
        <v>3300.7300000000005</v>
      </c>
      <c r="M728" s="52">
        <v>13</v>
      </c>
      <c r="N728" s="49">
        <v>6817.75</v>
      </c>
      <c r="O728" s="75">
        <v>13</v>
      </c>
      <c r="P728" s="54">
        <v>465.1</v>
      </c>
      <c r="Q728" s="54">
        <v>17.749999999999996</v>
      </c>
      <c r="R728" s="53">
        <f t="shared" si="35"/>
        <v>510</v>
      </c>
      <c r="S728" s="51">
        <v>3847.35</v>
      </c>
    </row>
    <row r="729" spans="1:19" ht="15" x14ac:dyDescent="0.25">
      <c r="A729" s="28"/>
      <c r="B729" s="45" t="str">
        <f t="shared" si="33"/>
        <v>Nov-2024</v>
      </c>
      <c r="C729" s="57">
        <v>45619</v>
      </c>
      <c r="D729" s="43">
        <f t="shared" si="34"/>
        <v>493</v>
      </c>
      <c r="E729" s="76">
        <v>10</v>
      </c>
      <c r="F729" s="50">
        <v>10</v>
      </c>
      <c r="G729" s="49">
        <v>5760</v>
      </c>
      <c r="H729" s="73">
        <v>10</v>
      </c>
      <c r="I729" s="52">
        <v>10</v>
      </c>
      <c r="J729" s="51">
        <v>2945.96</v>
      </c>
      <c r="K729" s="52"/>
      <c r="L729" s="51"/>
      <c r="M729" s="52">
        <v>6</v>
      </c>
      <c r="N729" s="49">
        <v>3165.95</v>
      </c>
      <c r="O729" s="75">
        <v>5</v>
      </c>
      <c r="P729" s="54">
        <v>351.90999999999997</v>
      </c>
      <c r="Q729" s="54">
        <v>5.9499999999999993</v>
      </c>
      <c r="R729" s="53">
        <f t="shared" si="35"/>
        <v>288</v>
      </c>
      <c r="S729" s="51">
        <v>2945.96</v>
      </c>
    </row>
    <row r="730" spans="1:19" ht="15" x14ac:dyDescent="0.25">
      <c r="A730" s="28"/>
      <c r="B730" s="45" t="str">
        <f t="shared" si="33"/>
        <v>Nov-2024</v>
      </c>
      <c r="C730" s="57">
        <v>45620</v>
      </c>
      <c r="D730" s="43">
        <f t="shared" si="34"/>
        <v>492</v>
      </c>
      <c r="E730" s="76">
        <v>5</v>
      </c>
      <c r="F730" s="50">
        <v>9</v>
      </c>
      <c r="G730" s="49">
        <v>5100</v>
      </c>
      <c r="H730" s="73">
        <v>9</v>
      </c>
      <c r="I730" s="52">
        <v>9</v>
      </c>
      <c r="J730" s="51">
        <v>1245.1200000000001</v>
      </c>
      <c r="K730" s="52">
        <v>1</v>
      </c>
      <c r="L730" s="51">
        <v>50</v>
      </c>
      <c r="M730" s="52">
        <v>9</v>
      </c>
      <c r="N730" s="49">
        <v>4064.99</v>
      </c>
      <c r="O730" s="75">
        <v>7</v>
      </c>
      <c r="P730" s="54">
        <v>210.11</v>
      </c>
      <c r="Q730" s="54">
        <v>64.990000000000009</v>
      </c>
      <c r="R730" s="53">
        <f t="shared" si="35"/>
        <v>255</v>
      </c>
      <c r="S730" s="51">
        <v>1245.1199999999999</v>
      </c>
    </row>
    <row r="731" spans="1:19" ht="15" x14ac:dyDescent="0.25">
      <c r="A731" s="28"/>
      <c r="B731" s="45" t="str">
        <f t="shared" si="33"/>
        <v>Nov-2024</v>
      </c>
      <c r="C731" s="57">
        <v>45621</v>
      </c>
      <c r="D731" s="43">
        <f t="shared" si="34"/>
        <v>491</v>
      </c>
      <c r="E731" s="76">
        <v>34</v>
      </c>
      <c r="F731" s="50">
        <v>28</v>
      </c>
      <c r="G731" s="49">
        <v>11000</v>
      </c>
      <c r="H731" s="73">
        <v>28</v>
      </c>
      <c r="I731" s="52">
        <v>28</v>
      </c>
      <c r="J731" s="51">
        <v>9398.5499999999993</v>
      </c>
      <c r="K731" s="52"/>
      <c r="L731" s="51"/>
      <c r="M731" s="52">
        <v>12</v>
      </c>
      <c r="N731" s="49">
        <v>2714.05</v>
      </c>
      <c r="O731" s="75">
        <v>10</v>
      </c>
      <c r="P731" s="54">
        <v>1112.5999999999997</v>
      </c>
      <c r="Q731" s="54">
        <v>14.05</v>
      </c>
      <c r="R731" s="53">
        <f t="shared" si="35"/>
        <v>550</v>
      </c>
      <c r="S731" s="51">
        <v>9398.5499999999993</v>
      </c>
    </row>
    <row r="732" spans="1:19" ht="15" x14ac:dyDescent="0.25">
      <c r="A732" s="28"/>
      <c r="B732" s="45" t="str">
        <f t="shared" si="33"/>
        <v>Nov-2024</v>
      </c>
      <c r="C732" s="57">
        <v>45622</v>
      </c>
      <c r="D732" s="43">
        <f t="shared" si="34"/>
        <v>490</v>
      </c>
      <c r="E732" s="76">
        <v>16</v>
      </c>
      <c r="F732" s="50">
        <v>14</v>
      </c>
      <c r="G732" s="49">
        <v>6200</v>
      </c>
      <c r="H732" s="73">
        <v>14</v>
      </c>
      <c r="I732" s="52">
        <v>14</v>
      </c>
      <c r="J732" s="51">
        <v>4748.3999999999996</v>
      </c>
      <c r="K732" s="52"/>
      <c r="L732" s="51"/>
      <c r="M732" s="52">
        <v>13</v>
      </c>
      <c r="N732" s="49">
        <v>2015.97</v>
      </c>
      <c r="O732" s="75">
        <v>11</v>
      </c>
      <c r="P732" s="54">
        <v>564.36999999999989</v>
      </c>
      <c r="Q732" s="54">
        <v>15.97</v>
      </c>
      <c r="R732" s="53">
        <f t="shared" si="35"/>
        <v>310</v>
      </c>
      <c r="S732" s="51">
        <v>4748.3999999999996</v>
      </c>
    </row>
    <row r="733" spans="1:19" ht="15" x14ac:dyDescent="0.25">
      <c r="A733" s="28"/>
      <c r="B733" s="45" t="str">
        <f t="shared" si="33"/>
        <v>Nov-2024</v>
      </c>
      <c r="C733" s="57">
        <v>45623</v>
      </c>
      <c r="D733" s="43">
        <f t="shared" si="34"/>
        <v>489</v>
      </c>
      <c r="E733" s="76">
        <v>14</v>
      </c>
      <c r="F733" s="50">
        <v>19</v>
      </c>
      <c r="G733" s="49">
        <v>6600</v>
      </c>
      <c r="H733" s="73">
        <v>19</v>
      </c>
      <c r="I733" s="52">
        <v>19</v>
      </c>
      <c r="J733" s="51">
        <v>4639</v>
      </c>
      <c r="K733" s="52"/>
      <c r="L733" s="51"/>
      <c r="M733" s="52">
        <v>16</v>
      </c>
      <c r="N733" s="49">
        <v>2509.54</v>
      </c>
      <c r="O733" s="75">
        <v>12</v>
      </c>
      <c r="P733" s="54">
        <v>548.54000000000008</v>
      </c>
      <c r="Q733" s="54">
        <v>6.6000000000000014</v>
      </c>
      <c r="R733" s="53">
        <f t="shared" si="35"/>
        <v>330</v>
      </c>
      <c r="S733" s="51">
        <v>4639</v>
      </c>
    </row>
    <row r="734" spans="1:19" ht="15" x14ac:dyDescent="0.25">
      <c r="A734" s="28"/>
      <c r="B734" s="45" t="str">
        <f t="shared" si="33"/>
        <v>Nov-2024</v>
      </c>
      <c r="C734" s="57">
        <v>45624</v>
      </c>
      <c r="D734" s="43">
        <f t="shared" si="34"/>
        <v>488</v>
      </c>
      <c r="E734" s="76">
        <v>12</v>
      </c>
      <c r="F734" s="50">
        <v>17</v>
      </c>
      <c r="G734" s="49">
        <v>6050</v>
      </c>
      <c r="H734" s="73">
        <v>14</v>
      </c>
      <c r="I734" s="52">
        <v>17</v>
      </c>
      <c r="J734" s="51">
        <v>3906.5300000000011</v>
      </c>
      <c r="K734" s="52">
        <v>3</v>
      </c>
      <c r="L734" s="51">
        <v>1500.33</v>
      </c>
      <c r="M734" s="52">
        <v>6</v>
      </c>
      <c r="N734" s="49">
        <v>2606.08</v>
      </c>
      <c r="O734" s="75">
        <v>6</v>
      </c>
      <c r="P734" s="54">
        <v>462.61</v>
      </c>
      <c r="Q734" s="54">
        <v>6.08</v>
      </c>
      <c r="R734" s="53">
        <f t="shared" si="35"/>
        <v>302.5</v>
      </c>
      <c r="S734" s="51">
        <v>3906.5300000000007</v>
      </c>
    </row>
    <row r="735" spans="1:19" ht="15" x14ac:dyDescent="0.25">
      <c r="A735" s="28"/>
      <c r="B735" s="45" t="str">
        <f t="shared" si="33"/>
        <v>Nov-2024</v>
      </c>
      <c r="C735" s="57">
        <v>45625</v>
      </c>
      <c r="D735" s="43">
        <f t="shared" si="34"/>
        <v>487</v>
      </c>
      <c r="E735" s="76">
        <v>34</v>
      </c>
      <c r="F735" s="50">
        <v>32</v>
      </c>
      <c r="G735" s="49">
        <v>11200</v>
      </c>
      <c r="H735" s="73">
        <v>32</v>
      </c>
      <c r="I735" s="52">
        <v>32</v>
      </c>
      <c r="J735" s="51">
        <v>10183.620000000006</v>
      </c>
      <c r="K735" s="52"/>
      <c r="L735" s="51"/>
      <c r="M735" s="52">
        <v>5</v>
      </c>
      <c r="N735" s="49">
        <v>2203</v>
      </c>
      <c r="O735" s="75">
        <v>4</v>
      </c>
      <c r="P735" s="54">
        <v>1186.6199999999997</v>
      </c>
      <c r="Q735" s="54">
        <v>3.0000000000000004</v>
      </c>
      <c r="R735" s="53">
        <f t="shared" si="35"/>
        <v>560</v>
      </c>
      <c r="S735" s="51">
        <v>10183.620000000004</v>
      </c>
    </row>
    <row r="736" spans="1:19" ht="15" x14ac:dyDescent="0.25">
      <c r="A736" s="28"/>
      <c r="B736" s="45" t="str">
        <f t="shared" si="33"/>
        <v>Nov-2024</v>
      </c>
      <c r="C736" s="57">
        <v>45626</v>
      </c>
      <c r="D736" s="43">
        <f t="shared" si="34"/>
        <v>486</v>
      </c>
      <c r="E736" s="76">
        <v>20</v>
      </c>
      <c r="F736" s="50">
        <v>24</v>
      </c>
      <c r="G736" s="49">
        <v>7855</v>
      </c>
      <c r="H736" s="73">
        <v>24</v>
      </c>
      <c r="I736" s="52">
        <v>24</v>
      </c>
      <c r="J736" s="51">
        <v>6900.6399999999994</v>
      </c>
      <c r="K736" s="52"/>
      <c r="L736" s="51"/>
      <c r="M736" s="52">
        <v>8</v>
      </c>
      <c r="N736" s="49">
        <v>1764.42</v>
      </c>
      <c r="O736" s="75">
        <v>7</v>
      </c>
      <c r="P736" s="54">
        <v>810.05999999999983</v>
      </c>
      <c r="Q736" s="54">
        <v>9.42</v>
      </c>
      <c r="R736" s="53">
        <f t="shared" si="35"/>
        <v>392.75</v>
      </c>
      <c r="S736" s="51">
        <v>6900.6399999999985</v>
      </c>
    </row>
    <row r="737" spans="1:19" ht="15" x14ac:dyDescent="0.25">
      <c r="A737" s="28"/>
      <c r="B737" s="45" t="str">
        <f t="shared" si="33"/>
        <v>Dec-2024</v>
      </c>
      <c r="C737" s="57">
        <v>45627</v>
      </c>
      <c r="D737" s="43">
        <f t="shared" si="34"/>
        <v>485</v>
      </c>
      <c r="E737" s="76">
        <v>7</v>
      </c>
      <c r="F737" s="50">
        <v>8</v>
      </c>
      <c r="G737" s="49">
        <v>4260</v>
      </c>
      <c r="H737" s="73">
        <v>7</v>
      </c>
      <c r="I737" s="52">
        <v>8</v>
      </c>
      <c r="J737" s="51">
        <v>1807.27</v>
      </c>
      <c r="K737" s="52">
        <v>1</v>
      </c>
      <c r="L737" s="51">
        <v>100.02</v>
      </c>
      <c r="M737" s="52">
        <v>4</v>
      </c>
      <c r="N737" s="49">
        <v>2674.37</v>
      </c>
      <c r="O737" s="75">
        <v>4</v>
      </c>
      <c r="P737" s="54">
        <v>221.64000000000001</v>
      </c>
      <c r="Q737" s="54">
        <v>14.37</v>
      </c>
      <c r="R737" s="53">
        <f t="shared" si="35"/>
        <v>213</v>
      </c>
      <c r="S737" s="51">
        <v>1807.27</v>
      </c>
    </row>
    <row r="738" spans="1:19" ht="15" x14ac:dyDescent="0.25">
      <c r="A738" s="28"/>
      <c r="B738" s="45" t="str">
        <f t="shared" si="33"/>
        <v>Dec-2024</v>
      </c>
      <c r="C738" s="57">
        <v>45628</v>
      </c>
      <c r="D738" s="43">
        <f t="shared" si="34"/>
        <v>484</v>
      </c>
      <c r="E738" s="76">
        <v>19</v>
      </c>
      <c r="F738" s="50">
        <v>34</v>
      </c>
      <c r="G738" s="49">
        <v>22440</v>
      </c>
      <c r="H738" s="73">
        <v>34</v>
      </c>
      <c r="I738" s="52">
        <v>34</v>
      </c>
      <c r="J738" s="51">
        <v>8693.8000000000011</v>
      </c>
      <c r="K738" s="52"/>
      <c r="L738" s="51"/>
      <c r="M738" s="52">
        <v>18</v>
      </c>
      <c r="N738" s="49">
        <v>14882.74</v>
      </c>
      <c r="O738" s="75">
        <v>18</v>
      </c>
      <c r="P738" s="54">
        <v>1136.5400000000002</v>
      </c>
      <c r="Q738" s="54">
        <v>142.33999999999997</v>
      </c>
      <c r="R738" s="53">
        <f t="shared" si="35"/>
        <v>1122</v>
      </c>
      <c r="S738" s="51">
        <v>8693.7999999999993</v>
      </c>
    </row>
    <row r="739" spans="1:19" ht="15" x14ac:dyDescent="0.25">
      <c r="A739" s="28"/>
      <c r="B739" s="45" t="str">
        <f t="shared" si="33"/>
        <v>Dec-2024</v>
      </c>
      <c r="C739" s="57">
        <v>45629</v>
      </c>
      <c r="D739" s="43">
        <f t="shared" si="34"/>
        <v>483</v>
      </c>
      <c r="E739" s="76">
        <v>12</v>
      </c>
      <c r="F739" s="50">
        <v>30</v>
      </c>
      <c r="G739" s="49">
        <v>18910</v>
      </c>
      <c r="H739" s="73">
        <v>30</v>
      </c>
      <c r="I739" s="52">
        <v>30</v>
      </c>
      <c r="J739" s="51">
        <v>7560.1500000000005</v>
      </c>
      <c r="K739" s="52">
        <v>1</v>
      </c>
      <c r="L739" s="51">
        <v>50</v>
      </c>
      <c r="M739" s="52">
        <v>22</v>
      </c>
      <c r="N739" s="49">
        <v>12305.98</v>
      </c>
      <c r="O739" s="75">
        <v>20</v>
      </c>
      <c r="P739" s="54">
        <v>956.12999999999977</v>
      </c>
      <c r="Q739" s="54">
        <v>95.97999999999999</v>
      </c>
      <c r="R739" s="53">
        <f t="shared" si="35"/>
        <v>945.5</v>
      </c>
      <c r="S739" s="51">
        <v>7560.1500000000005</v>
      </c>
    </row>
    <row r="740" spans="1:19" ht="15" x14ac:dyDescent="0.25">
      <c r="A740" s="28"/>
      <c r="B740" s="45" t="str">
        <f t="shared" si="33"/>
        <v>Dec-2024</v>
      </c>
      <c r="C740" s="57">
        <v>45630</v>
      </c>
      <c r="D740" s="43">
        <f t="shared" si="34"/>
        <v>482</v>
      </c>
      <c r="E740" s="76">
        <v>15</v>
      </c>
      <c r="F740" s="50">
        <v>32</v>
      </c>
      <c r="G740" s="49">
        <v>17350</v>
      </c>
      <c r="H740" s="73">
        <v>32</v>
      </c>
      <c r="I740" s="52">
        <v>32</v>
      </c>
      <c r="J740" s="51">
        <v>8580.9000000000015</v>
      </c>
      <c r="K740" s="52"/>
      <c r="L740" s="51"/>
      <c r="M740" s="52">
        <v>19</v>
      </c>
      <c r="N740" s="49">
        <v>9825.85</v>
      </c>
      <c r="O740" s="75">
        <v>15</v>
      </c>
      <c r="P740" s="54">
        <v>1056.7499999999998</v>
      </c>
      <c r="Q740" s="54">
        <v>75.849999999999994</v>
      </c>
      <c r="R740" s="53">
        <f t="shared" si="35"/>
        <v>867.5</v>
      </c>
      <c r="S740" s="51">
        <v>8580.9000000000015</v>
      </c>
    </row>
    <row r="741" spans="1:19" ht="15" x14ac:dyDescent="0.25">
      <c r="A741" s="28"/>
      <c r="B741" s="45" t="str">
        <f t="shared" si="33"/>
        <v>Dec-2024</v>
      </c>
      <c r="C741" s="57">
        <v>45631</v>
      </c>
      <c r="D741" s="43">
        <f t="shared" si="34"/>
        <v>481</v>
      </c>
      <c r="E741" s="76">
        <v>11</v>
      </c>
      <c r="F741" s="50">
        <v>26</v>
      </c>
      <c r="G741" s="49">
        <v>13415</v>
      </c>
      <c r="H741" s="73">
        <v>26</v>
      </c>
      <c r="I741" s="52">
        <v>26</v>
      </c>
      <c r="J741" s="51">
        <v>5968.6599999999989</v>
      </c>
      <c r="K741" s="52"/>
      <c r="L741" s="51"/>
      <c r="M741" s="52">
        <v>18</v>
      </c>
      <c r="N741" s="49">
        <v>8164.18</v>
      </c>
      <c r="O741" s="75">
        <v>18</v>
      </c>
      <c r="P741" s="54">
        <v>717.84</v>
      </c>
      <c r="Q741" s="54">
        <v>43.61</v>
      </c>
      <c r="R741" s="53">
        <f t="shared" si="35"/>
        <v>670.75</v>
      </c>
      <c r="S741" s="51">
        <v>5968.6599999999989</v>
      </c>
    </row>
    <row r="742" spans="1:19" ht="15" x14ac:dyDescent="0.25">
      <c r="A742" s="28"/>
      <c r="B742" s="45" t="str">
        <f t="shared" si="33"/>
        <v>Dec-2024</v>
      </c>
      <c r="C742" s="57">
        <v>45632</v>
      </c>
      <c r="D742" s="43">
        <f t="shared" si="34"/>
        <v>480</v>
      </c>
      <c r="E742" s="76">
        <v>10</v>
      </c>
      <c r="F742" s="50">
        <v>21</v>
      </c>
      <c r="G742" s="49">
        <v>13260</v>
      </c>
      <c r="H742" s="73">
        <v>20</v>
      </c>
      <c r="I742" s="52">
        <v>21</v>
      </c>
      <c r="J742" s="51">
        <v>3161.3899999999994</v>
      </c>
      <c r="K742" s="52">
        <v>1</v>
      </c>
      <c r="L742" s="51">
        <v>500.11</v>
      </c>
      <c r="M742" s="52">
        <v>13</v>
      </c>
      <c r="N742" s="49">
        <v>10487.49</v>
      </c>
      <c r="O742" s="75">
        <v>13</v>
      </c>
      <c r="P742" s="54">
        <v>388.87999999999988</v>
      </c>
      <c r="Q742" s="54">
        <v>27.49</v>
      </c>
      <c r="R742" s="53">
        <f t="shared" si="35"/>
        <v>663</v>
      </c>
      <c r="S742" s="51">
        <v>3161.3899999999994</v>
      </c>
    </row>
    <row r="743" spans="1:19" ht="15" x14ac:dyDescent="0.25">
      <c r="A743" s="28"/>
      <c r="B743" s="45" t="str">
        <f t="shared" si="33"/>
        <v>Dec-2024</v>
      </c>
      <c r="C743" s="57">
        <v>45633</v>
      </c>
      <c r="D743" s="43">
        <f t="shared" si="34"/>
        <v>479</v>
      </c>
      <c r="E743" s="76">
        <v>22</v>
      </c>
      <c r="F743" s="50">
        <v>37</v>
      </c>
      <c r="G743" s="49">
        <v>19500</v>
      </c>
      <c r="H743" s="73">
        <v>37</v>
      </c>
      <c r="I743" s="52">
        <v>37</v>
      </c>
      <c r="J743" s="51">
        <v>8170.44</v>
      </c>
      <c r="K743" s="52">
        <v>1</v>
      </c>
      <c r="L743" s="51">
        <v>95</v>
      </c>
      <c r="M743" s="52">
        <v>21</v>
      </c>
      <c r="N743" s="49">
        <v>12392.04</v>
      </c>
      <c r="O743" s="75">
        <v>20</v>
      </c>
      <c r="P743" s="54">
        <v>1062.4799999999993</v>
      </c>
      <c r="Q743" s="54">
        <v>132.08999999999997</v>
      </c>
      <c r="R743" s="53">
        <f t="shared" si="35"/>
        <v>975</v>
      </c>
      <c r="S743" s="51">
        <v>8170.4400000000005</v>
      </c>
    </row>
    <row r="744" spans="1:19" ht="15" x14ac:dyDescent="0.25">
      <c r="A744" s="28"/>
      <c r="B744" s="45" t="str">
        <f t="shared" si="33"/>
        <v>Dec-2024</v>
      </c>
      <c r="C744" s="57">
        <v>45634</v>
      </c>
      <c r="D744" s="43">
        <f t="shared" si="34"/>
        <v>478</v>
      </c>
      <c r="E744" s="76">
        <v>8</v>
      </c>
      <c r="F744" s="50">
        <v>15</v>
      </c>
      <c r="G744" s="49">
        <v>5160</v>
      </c>
      <c r="H744" s="73">
        <v>15</v>
      </c>
      <c r="I744" s="52">
        <v>15</v>
      </c>
      <c r="J744" s="51">
        <v>1818.6799999999998</v>
      </c>
      <c r="K744" s="52">
        <v>1</v>
      </c>
      <c r="L744" s="51">
        <v>95</v>
      </c>
      <c r="M744" s="52">
        <v>8</v>
      </c>
      <c r="N744" s="49">
        <v>3589.9</v>
      </c>
      <c r="O744" s="75">
        <v>7</v>
      </c>
      <c r="P744" s="54">
        <v>248.58000000000007</v>
      </c>
      <c r="Q744" s="54">
        <v>34.92</v>
      </c>
      <c r="R744" s="53">
        <f t="shared" si="35"/>
        <v>258</v>
      </c>
      <c r="S744" s="51">
        <v>1818.6799999999998</v>
      </c>
    </row>
    <row r="745" spans="1:19" ht="15" x14ac:dyDescent="0.25">
      <c r="A745" s="28"/>
      <c r="B745" s="45" t="str">
        <f t="shared" si="33"/>
        <v>Dec-2024</v>
      </c>
      <c r="C745" s="57">
        <v>45635</v>
      </c>
      <c r="D745" s="43">
        <f t="shared" si="34"/>
        <v>477</v>
      </c>
      <c r="E745" s="76">
        <v>6</v>
      </c>
      <c r="F745" s="50">
        <v>20</v>
      </c>
      <c r="G745" s="49">
        <v>17790</v>
      </c>
      <c r="H745" s="73">
        <v>20</v>
      </c>
      <c r="I745" s="52">
        <v>20</v>
      </c>
      <c r="J745" s="51">
        <v>3503.33</v>
      </c>
      <c r="K745" s="52"/>
      <c r="L745" s="51"/>
      <c r="M745" s="52">
        <v>15</v>
      </c>
      <c r="N745" s="49">
        <v>14808.36</v>
      </c>
      <c r="O745" s="75">
        <v>14</v>
      </c>
      <c r="P745" s="54">
        <v>521.69000000000005</v>
      </c>
      <c r="Q745" s="54">
        <v>128.35999999999999</v>
      </c>
      <c r="R745" s="53">
        <f t="shared" si="35"/>
        <v>889.5</v>
      </c>
      <c r="S745" s="51">
        <v>3503.33</v>
      </c>
    </row>
    <row r="746" spans="1:19" ht="15" x14ac:dyDescent="0.25">
      <c r="A746" s="28"/>
      <c r="B746" s="45" t="str">
        <f t="shared" si="33"/>
        <v>Dec-2024</v>
      </c>
      <c r="C746" s="57">
        <v>45636</v>
      </c>
      <c r="D746" s="43">
        <f t="shared" si="34"/>
        <v>476</v>
      </c>
      <c r="E746" s="76">
        <v>14</v>
      </c>
      <c r="F746" s="50">
        <v>29</v>
      </c>
      <c r="G746" s="49">
        <v>16200</v>
      </c>
      <c r="H746" s="73">
        <v>29</v>
      </c>
      <c r="I746" s="52">
        <v>29</v>
      </c>
      <c r="J746" s="51">
        <v>5918.6100000000015</v>
      </c>
      <c r="K746" s="52"/>
      <c r="L746" s="51"/>
      <c r="M746" s="52">
        <v>19</v>
      </c>
      <c r="N746" s="49">
        <v>10999.04</v>
      </c>
      <c r="O746" s="75">
        <v>18</v>
      </c>
      <c r="P746" s="54">
        <v>717.64999999999986</v>
      </c>
      <c r="Q746" s="54">
        <v>49.04</v>
      </c>
      <c r="R746" s="53">
        <f t="shared" si="35"/>
        <v>810</v>
      </c>
      <c r="S746" s="51">
        <v>5918.6100000000015</v>
      </c>
    </row>
    <row r="747" spans="1:19" ht="15" x14ac:dyDescent="0.25">
      <c r="A747" s="28"/>
      <c r="B747" s="45" t="str">
        <f t="shared" si="33"/>
        <v>Dec-2024</v>
      </c>
      <c r="C747" s="57">
        <v>45637</v>
      </c>
      <c r="D747" s="43">
        <f t="shared" si="34"/>
        <v>475</v>
      </c>
      <c r="E747" s="76">
        <v>14</v>
      </c>
      <c r="F747" s="50">
        <v>23</v>
      </c>
      <c r="G747" s="49">
        <v>10500</v>
      </c>
      <c r="H747" s="73">
        <v>23</v>
      </c>
      <c r="I747" s="52">
        <v>23</v>
      </c>
      <c r="J747" s="51">
        <v>6196.2400000000007</v>
      </c>
      <c r="K747" s="52"/>
      <c r="L747" s="51"/>
      <c r="M747" s="52">
        <v>12</v>
      </c>
      <c r="N747" s="49">
        <v>5022.96</v>
      </c>
      <c r="O747" s="75">
        <v>12</v>
      </c>
      <c r="P747" s="54">
        <v>719.19999999999982</v>
      </c>
      <c r="Q747" s="54">
        <v>22.96</v>
      </c>
      <c r="R747" s="53">
        <f t="shared" si="35"/>
        <v>525</v>
      </c>
      <c r="S747" s="51">
        <v>6196.2400000000007</v>
      </c>
    </row>
    <row r="748" spans="1:19" ht="15" x14ac:dyDescent="0.25">
      <c r="A748" s="28"/>
      <c r="B748" s="45" t="str">
        <f t="shared" si="33"/>
        <v>Dec-2024</v>
      </c>
      <c r="C748" s="57">
        <v>45638</v>
      </c>
      <c r="D748" s="43">
        <f t="shared" si="34"/>
        <v>474</v>
      </c>
      <c r="E748" s="76">
        <v>10</v>
      </c>
      <c r="F748" s="50">
        <v>16</v>
      </c>
      <c r="G748" s="49">
        <v>7980</v>
      </c>
      <c r="H748" s="73">
        <v>16</v>
      </c>
      <c r="I748" s="52">
        <v>16</v>
      </c>
      <c r="J748" s="51">
        <v>3819.4</v>
      </c>
      <c r="K748" s="52"/>
      <c r="L748" s="51"/>
      <c r="M748" s="52">
        <v>11</v>
      </c>
      <c r="N748" s="49">
        <v>4606.4399999999996</v>
      </c>
      <c r="O748" s="75">
        <v>10</v>
      </c>
      <c r="P748" s="54">
        <v>445.84000000000003</v>
      </c>
      <c r="Q748" s="54">
        <v>16.990000000000002</v>
      </c>
      <c r="R748" s="53">
        <f t="shared" si="35"/>
        <v>399</v>
      </c>
      <c r="S748" s="51">
        <v>3819.4</v>
      </c>
    </row>
    <row r="749" spans="1:19" ht="15" x14ac:dyDescent="0.25">
      <c r="A749" s="28"/>
      <c r="B749" s="45" t="str">
        <f t="shared" si="33"/>
        <v>Dec-2024</v>
      </c>
      <c r="C749" s="57">
        <v>45639</v>
      </c>
      <c r="D749" s="43">
        <f t="shared" si="34"/>
        <v>473</v>
      </c>
      <c r="E749" s="76">
        <v>6</v>
      </c>
      <c r="F749" s="50">
        <v>17</v>
      </c>
      <c r="G749" s="49">
        <v>13900</v>
      </c>
      <c r="H749" s="73">
        <v>17</v>
      </c>
      <c r="I749" s="52">
        <v>17</v>
      </c>
      <c r="J749" s="51">
        <v>3151.52</v>
      </c>
      <c r="K749" s="52"/>
      <c r="L749" s="51"/>
      <c r="M749" s="52">
        <v>11</v>
      </c>
      <c r="N749" s="49">
        <v>11217.7</v>
      </c>
      <c r="O749" s="75">
        <v>11</v>
      </c>
      <c r="P749" s="54">
        <v>469.21999999999991</v>
      </c>
      <c r="Q749" s="54">
        <v>117.7</v>
      </c>
      <c r="R749" s="53">
        <f t="shared" si="35"/>
        <v>695</v>
      </c>
      <c r="S749" s="51">
        <v>3151.52</v>
      </c>
    </row>
    <row r="750" spans="1:19" ht="15" x14ac:dyDescent="0.25">
      <c r="A750" s="28"/>
      <c r="B750" s="45" t="str">
        <f t="shared" si="33"/>
        <v>Dec-2024</v>
      </c>
      <c r="C750" s="57">
        <v>45640</v>
      </c>
      <c r="D750" s="43">
        <f t="shared" si="34"/>
        <v>472</v>
      </c>
      <c r="E750" s="76">
        <v>16</v>
      </c>
      <c r="F750" s="50">
        <v>26</v>
      </c>
      <c r="G750" s="49">
        <v>12060</v>
      </c>
      <c r="H750" s="73">
        <v>26</v>
      </c>
      <c r="I750" s="52">
        <v>26</v>
      </c>
      <c r="J750" s="51">
        <v>5185.96</v>
      </c>
      <c r="K750" s="52"/>
      <c r="L750" s="51"/>
      <c r="M750" s="52">
        <v>19</v>
      </c>
      <c r="N750" s="49">
        <v>7504.38</v>
      </c>
      <c r="O750" s="75">
        <v>17</v>
      </c>
      <c r="P750" s="54">
        <v>630.34000000000015</v>
      </c>
      <c r="Q750" s="54">
        <v>44.38</v>
      </c>
      <c r="R750" s="53">
        <f t="shared" si="35"/>
        <v>603</v>
      </c>
      <c r="S750" s="51">
        <v>5185.96</v>
      </c>
    </row>
    <row r="751" spans="1:19" ht="15" x14ac:dyDescent="0.25">
      <c r="A751" s="28"/>
      <c r="B751" s="45" t="str">
        <f t="shared" si="33"/>
        <v>Dec-2024</v>
      </c>
      <c r="C751" s="57">
        <v>45641</v>
      </c>
      <c r="D751" s="43">
        <f t="shared" si="34"/>
        <v>471</v>
      </c>
      <c r="E751" s="76">
        <v>1</v>
      </c>
      <c r="F751" s="50">
        <v>8</v>
      </c>
      <c r="G751" s="49">
        <v>4990</v>
      </c>
      <c r="H751" s="73">
        <v>8</v>
      </c>
      <c r="I751" s="52">
        <v>8</v>
      </c>
      <c r="J751" s="51">
        <v>1114.72</v>
      </c>
      <c r="K751" s="52"/>
      <c r="L751" s="51"/>
      <c r="M751" s="52">
        <v>10</v>
      </c>
      <c r="N751" s="49">
        <v>4018.14</v>
      </c>
      <c r="O751" s="75">
        <v>9</v>
      </c>
      <c r="P751" s="54">
        <v>142.86000000000001</v>
      </c>
      <c r="Q751" s="54">
        <v>18.14</v>
      </c>
      <c r="R751" s="53">
        <f t="shared" si="35"/>
        <v>249.5</v>
      </c>
      <c r="S751" s="51">
        <v>1114.72</v>
      </c>
    </row>
    <row r="752" spans="1:19" ht="15" x14ac:dyDescent="0.25">
      <c r="A752" s="28"/>
      <c r="B752" s="45" t="str">
        <f t="shared" si="33"/>
        <v>Dec-2024</v>
      </c>
      <c r="C752" s="57">
        <v>45642</v>
      </c>
      <c r="D752" s="43">
        <f t="shared" si="34"/>
        <v>470</v>
      </c>
      <c r="E752" s="76">
        <v>7</v>
      </c>
      <c r="F752" s="50">
        <v>19</v>
      </c>
      <c r="G752" s="49">
        <v>9500</v>
      </c>
      <c r="H752" s="73">
        <v>19</v>
      </c>
      <c r="I752" s="52">
        <v>19</v>
      </c>
      <c r="J752" s="51">
        <v>4616.78</v>
      </c>
      <c r="K752" s="52"/>
      <c r="L752" s="51"/>
      <c r="M752" s="52">
        <v>12</v>
      </c>
      <c r="N752" s="49">
        <v>5420.79</v>
      </c>
      <c r="O752" s="75">
        <v>9</v>
      </c>
      <c r="P752" s="54">
        <v>537.57000000000005</v>
      </c>
      <c r="Q752" s="54">
        <v>20.790000000000003</v>
      </c>
      <c r="R752" s="53">
        <f t="shared" si="35"/>
        <v>475</v>
      </c>
      <c r="S752" s="51">
        <v>4616.7800000000007</v>
      </c>
    </row>
    <row r="753" spans="1:19" ht="15" x14ac:dyDescent="0.25">
      <c r="A753" s="28"/>
      <c r="B753" s="45" t="str">
        <f t="shared" si="33"/>
        <v>Dec-2024</v>
      </c>
      <c r="C753" s="57">
        <v>45643</v>
      </c>
      <c r="D753" s="43">
        <f t="shared" si="34"/>
        <v>469</v>
      </c>
      <c r="E753" s="76">
        <v>8</v>
      </c>
      <c r="F753" s="50">
        <v>17</v>
      </c>
      <c r="G753" s="49">
        <v>17560</v>
      </c>
      <c r="H753" s="73">
        <v>17</v>
      </c>
      <c r="I753" s="52">
        <v>17</v>
      </c>
      <c r="J753" s="51">
        <v>4814.75</v>
      </c>
      <c r="K753" s="52"/>
      <c r="L753" s="51"/>
      <c r="M753" s="52">
        <v>10</v>
      </c>
      <c r="N753" s="49">
        <v>13325.33</v>
      </c>
      <c r="O753" s="75">
        <v>9</v>
      </c>
      <c r="P753" s="54">
        <v>580.07999999999993</v>
      </c>
      <c r="Q753" s="54">
        <v>45.33</v>
      </c>
      <c r="R753" s="53">
        <f t="shared" si="35"/>
        <v>878</v>
      </c>
      <c r="S753" s="51">
        <v>4814.75</v>
      </c>
    </row>
    <row r="754" spans="1:19" ht="15" x14ac:dyDescent="0.25">
      <c r="A754" s="28"/>
      <c r="B754" s="45" t="str">
        <f t="shared" si="33"/>
        <v>Dec-2024</v>
      </c>
      <c r="C754" s="57">
        <v>45644</v>
      </c>
      <c r="D754" s="43">
        <f t="shared" si="34"/>
        <v>468</v>
      </c>
      <c r="E754" s="76">
        <v>22</v>
      </c>
      <c r="F754" s="50">
        <v>32</v>
      </c>
      <c r="G754" s="49">
        <v>17685</v>
      </c>
      <c r="H754" s="73">
        <v>32</v>
      </c>
      <c r="I754" s="52">
        <v>32</v>
      </c>
      <c r="J754" s="51">
        <v>10124.44</v>
      </c>
      <c r="K754" s="52">
        <v>1</v>
      </c>
      <c r="L754" s="51">
        <v>57</v>
      </c>
      <c r="M754" s="52">
        <v>17</v>
      </c>
      <c r="N754" s="49">
        <v>8764.74</v>
      </c>
      <c r="O754" s="75">
        <v>16</v>
      </c>
      <c r="P754" s="54">
        <v>1204.1800000000007</v>
      </c>
      <c r="Q754" s="54">
        <v>81.61</v>
      </c>
      <c r="R754" s="53">
        <f t="shared" si="35"/>
        <v>884.25</v>
      </c>
      <c r="S754" s="51">
        <v>10124.439999999999</v>
      </c>
    </row>
    <row r="755" spans="1:19" ht="15" x14ac:dyDescent="0.25">
      <c r="A755" s="28"/>
      <c r="B755" s="45" t="str">
        <f t="shared" si="33"/>
        <v>Dec-2024</v>
      </c>
      <c r="C755" s="57">
        <v>45645</v>
      </c>
      <c r="D755" s="43">
        <f t="shared" si="34"/>
        <v>467</v>
      </c>
      <c r="E755" s="76">
        <v>22</v>
      </c>
      <c r="F755" s="50">
        <v>35</v>
      </c>
      <c r="G755" s="49">
        <v>18300</v>
      </c>
      <c r="H755" s="73">
        <v>35</v>
      </c>
      <c r="I755" s="52">
        <v>35</v>
      </c>
      <c r="J755" s="51">
        <v>9788.7700000000023</v>
      </c>
      <c r="K755" s="52">
        <v>1</v>
      </c>
      <c r="L755" s="51">
        <v>1600.35</v>
      </c>
      <c r="M755" s="52">
        <v>13</v>
      </c>
      <c r="N755" s="49">
        <v>9655.39</v>
      </c>
      <c r="O755" s="75">
        <v>13</v>
      </c>
      <c r="P755" s="54">
        <v>1144.1600000000005</v>
      </c>
      <c r="Q755" s="54">
        <v>55.39</v>
      </c>
      <c r="R755" s="53">
        <f t="shared" si="35"/>
        <v>915</v>
      </c>
      <c r="S755" s="51">
        <v>9788.77</v>
      </c>
    </row>
    <row r="756" spans="1:19" ht="15" x14ac:dyDescent="0.25">
      <c r="A756" s="28"/>
      <c r="B756" s="45" t="str">
        <f t="shared" si="33"/>
        <v>Dec-2024</v>
      </c>
      <c r="C756" s="57">
        <v>45646</v>
      </c>
      <c r="D756" s="43">
        <f t="shared" si="34"/>
        <v>466</v>
      </c>
      <c r="E756" s="76">
        <v>16</v>
      </c>
      <c r="F756" s="50">
        <v>31</v>
      </c>
      <c r="G756" s="49">
        <v>16300</v>
      </c>
      <c r="H756" s="73">
        <v>31</v>
      </c>
      <c r="I756" s="52">
        <v>31</v>
      </c>
      <c r="J756" s="51">
        <v>6639.9000000000005</v>
      </c>
      <c r="K756" s="52"/>
      <c r="L756" s="51"/>
      <c r="M756" s="52">
        <v>18</v>
      </c>
      <c r="N756" s="49">
        <v>10564.49</v>
      </c>
      <c r="O756" s="75">
        <v>18</v>
      </c>
      <c r="P756" s="54">
        <v>904.38999999999942</v>
      </c>
      <c r="Q756" s="54">
        <v>164.49</v>
      </c>
      <c r="R756" s="53">
        <f t="shared" si="35"/>
        <v>815</v>
      </c>
      <c r="S756" s="51">
        <v>6639.9</v>
      </c>
    </row>
    <row r="757" spans="1:19" ht="15" x14ac:dyDescent="0.25">
      <c r="A757" s="28"/>
      <c r="B757" s="45" t="str">
        <f t="shared" si="33"/>
        <v>Dec-2024</v>
      </c>
      <c r="C757" s="57">
        <v>45647</v>
      </c>
      <c r="D757" s="43">
        <f t="shared" si="34"/>
        <v>465</v>
      </c>
      <c r="E757" s="76">
        <v>24</v>
      </c>
      <c r="F757" s="50">
        <v>31</v>
      </c>
      <c r="G757" s="49">
        <v>14460</v>
      </c>
      <c r="H757" s="73">
        <v>31</v>
      </c>
      <c r="I757" s="52">
        <v>31</v>
      </c>
      <c r="J757" s="51">
        <v>9222.6099999999988</v>
      </c>
      <c r="K757" s="52"/>
      <c r="L757" s="51"/>
      <c r="M757" s="52">
        <v>10</v>
      </c>
      <c r="N757" s="49">
        <v>6293.55</v>
      </c>
      <c r="O757" s="75">
        <v>10</v>
      </c>
      <c r="P757" s="54">
        <v>1056.1600000000001</v>
      </c>
      <c r="Q757" s="54">
        <v>33.549999999999997</v>
      </c>
      <c r="R757" s="53">
        <f t="shared" si="35"/>
        <v>723</v>
      </c>
      <c r="S757" s="51">
        <v>9222.61</v>
      </c>
    </row>
    <row r="758" spans="1:19" ht="15" x14ac:dyDescent="0.25">
      <c r="A758" s="28"/>
      <c r="B758" s="45" t="str">
        <f t="shared" si="33"/>
        <v>Dec-2024</v>
      </c>
      <c r="C758" s="57">
        <v>45648</v>
      </c>
      <c r="D758" s="43">
        <f t="shared" si="34"/>
        <v>464</v>
      </c>
      <c r="E758" s="76">
        <v>9</v>
      </c>
      <c r="F758" s="50">
        <v>13</v>
      </c>
      <c r="G758" s="49">
        <v>6800</v>
      </c>
      <c r="H758" s="73">
        <v>13</v>
      </c>
      <c r="I758" s="52">
        <v>13</v>
      </c>
      <c r="J758" s="51">
        <v>3597.45</v>
      </c>
      <c r="K758" s="52"/>
      <c r="L758" s="51"/>
      <c r="M758" s="52">
        <v>14</v>
      </c>
      <c r="N758" s="49">
        <v>3633.6</v>
      </c>
      <c r="O758" s="75">
        <v>12</v>
      </c>
      <c r="P758" s="54">
        <v>431.05000000000007</v>
      </c>
      <c r="Q758" s="54">
        <v>34.15</v>
      </c>
      <c r="R758" s="53">
        <f t="shared" si="35"/>
        <v>340</v>
      </c>
      <c r="S758" s="51">
        <v>3597.45</v>
      </c>
    </row>
    <row r="759" spans="1:19" ht="15" x14ac:dyDescent="0.25">
      <c r="A759" s="28"/>
      <c r="B759" s="45" t="str">
        <f t="shared" si="33"/>
        <v>Dec-2024</v>
      </c>
      <c r="C759" s="57">
        <v>45649</v>
      </c>
      <c r="D759" s="43">
        <f t="shared" si="34"/>
        <v>463</v>
      </c>
      <c r="E759" s="76">
        <v>7</v>
      </c>
      <c r="F759" s="50">
        <v>9</v>
      </c>
      <c r="G759" s="49">
        <v>9850</v>
      </c>
      <c r="H759" s="73">
        <v>9</v>
      </c>
      <c r="I759" s="52">
        <v>9</v>
      </c>
      <c r="J759" s="51">
        <v>675.3900000000001</v>
      </c>
      <c r="K759" s="52"/>
      <c r="L759" s="51"/>
      <c r="M759" s="52">
        <v>8</v>
      </c>
      <c r="N759" s="49">
        <v>9300.77</v>
      </c>
      <c r="O759" s="75">
        <v>8</v>
      </c>
      <c r="P759" s="54">
        <v>126.16</v>
      </c>
      <c r="Q759" s="54">
        <v>50.769999999999996</v>
      </c>
      <c r="R759" s="53">
        <f t="shared" si="35"/>
        <v>492.5</v>
      </c>
      <c r="S759" s="51">
        <v>675.3900000000001</v>
      </c>
    </row>
    <row r="760" spans="1:19" ht="15" x14ac:dyDescent="0.25">
      <c r="A760" s="28"/>
      <c r="B760" s="45" t="str">
        <f t="shared" si="33"/>
        <v>Dec-2024</v>
      </c>
      <c r="C760" s="57">
        <v>45650</v>
      </c>
      <c r="D760" s="43">
        <f t="shared" si="34"/>
        <v>462</v>
      </c>
      <c r="E760" s="76">
        <v>6</v>
      </c>
      <c r="F760" s="50">
        <v>13</v>
      </c>
      <c r="G760" s="49">
        <v>12860</v>
      </c>
      <c r="H760" s="73">
        <v>13</v>
      </c>
      <c r="I760" s="52">
        <v>13</v>
      </c>
      <c r="J760" s="51">
        <v>3253.1000000000004</v>
      </c>
      <c r="K760" s="52"/>
      <c r="L760" s="51"/>
      <c r="M760" s="52">
        <v>8</v>
      </c>
      <c r="N760" s="49">
        <v>10007.629999999999</v>
      </c>
      <c r="O760" s="75">
        <v>8</v>
      </c>
      <c r="P760" s="54">
        <v>400.7299999999999</v>
      </c>
      <c r="Q760" s="54">
        <v>47.629999999999995</v>
      </c>
      <c r="R760" s="53">
        <f t="shared" si="35"/>
        <v>643</v>
      </c>
      <c r="S760" s="51">
        <v>3253.1000000000004</v>
      </c>
    </row>
    <row r="761" spans="1:19" ht="15" x14ac:dyDescent="0.25">
      <c r="A761" s="28"/>
      <c r="B761" s="45" t="str">
        <f t="shared" si="33"/>
        <v>Dec-2024</v>
      </c>
      <c r="C761" s="57">
        <v>45651</v>
      </c>
      <c r="D761" s="43">
        <f t="shared" si="34"/>
        <v>461</v>
      </c>
      <c r="E761" s="76">
        <v>4</v>
      </c>
      <c r="F761" s="50">
        <v>12</v>
      </c>
      <c r="G761" s="49">
        <v>8900</v>
      </c>
      <c r="H761" s="73">
        <v>11</v>
      </c>
      <c r="I761" s="52">
        <v>12</v>
      </c>
      <c r="J761" s="51">
        <v>1236.1299999999999</v>
      </c>
      <c r="K761" s="52">
        <v>2</v>
      </c>
      <c r="L761" s="51">
        <v>1100.24</v>
      </c>
      <c r="M761" s="52">
        <v>12</v>
      </c>
      <c r="N761" s="49">
        <v>7847.7</v>
      </c>
      <c r="O761" s="75">
        <v>12</v>
      </c>
      <c r="P761" s="54">
        <v>183.82999999999998</v>
      </c>
      <c r="Q761" s="54">
        <v>47.7</v>
      </c>
      <c r="R761" s="53">
        <f t="shared" si="35"/>
        <v>445</v>
      </c>
      <c r="S761" s="51">
        <v>1236.1299999999999</v>
      </c>
    </row>
    <row r="762" spans="1:19" ht="15" x14ac:dyDescent="0.25">
      <c r="A762" s="28"/>
      <c r="B762" s="45" t="str">
        <f t="shared" si="33"/>
        <v>Dec-2024</v>
      </c>
      <c r="C762" s="57">
        <v>45652</v>
      </c>
      <c r="D762" s="43">
        <f t="shared" si="34"/>
        <v>460</v>
      </c>
      <c r="E762" s="76">
        <v>17</v>
      </c>
      <c r="F762" s="50">
        <v>18</v>
      </c>
      <c r="G762" s="49">
        <v>7680</v>
      </c>
      <c r="H762" s="73">
        <v>18</v>
      </c>
      <c r="I762" s="52">
        <v>18</v>
      </c>
      <c r="J762" s="51">
        <v>4692.3599999999997</v>
      </c>
      <c r="K762" s="52"/>
      <c r="L762" s="51"/>
      <c r="M762" s="52">
        <v>7</v>
      </c>
      <c r="N762" s="49">
        <v>3536.09</v>
      </c>
      <c r="O762" s="75">
        <v>7</v>
      </c>
      <c r="P762" s="54">
        <v>548.45000000000016</v>
      </c>
      <c r="Q762" s="54">
        <v>36.17</v>
      </c>
      <c r="R762" s="53">
        <f t="shared" si="35"/>
        <v>384</v>
      </c>
      <c r="S762" s="51">
        <v>4692.3599999999997</v>
      </c>
    </row>
    <row r="763" spans="1:19" ht="15" x14ac:dyDescent="0.25">
      <c r="A763" s="28"/>
      <c r="B763" s="45" t="str">
        <f t="shared" si="33"/>
        <v>Dec-2024</v>
      </c>
      <c r="C763" s="57">
        <v>45653</v>
      </c>
      <c r="D763" s="43">
        <f t="shared" si="34"/>
        <v>459</v>
      </c>
      <c r="E763" s="76">
        <v>5</v>
      </c>
      <c r="F763" s="50">
        <v>9</v>
      </c>
      <c r="G763" s="49">
        <v>4300</v>
      </c>
      <c r="H763" s="73">
        <v>9</v>
      </c>
      <c r="I763" s="52">
        <v>9</v>
      </c>
      <c r="J763" s="51">
        <v>1796.35</v>
      </c>
      <c r="K763" s="52"/>
      <c r="L763" s="51"/>
      <c r="M763" s="52">
        <v>6</v>
      </c>
      <c r="N763" s="49">
        <v>2713.85</v>
      </c>
      <c r="O763" s="75">
        <v>5</v>
      </c>
      <c r="P763" s="54">
        <v>210.19999999999996</v>
      </c>
      <c r="Q763" s="54">
        <v>13.85</v>
      </c>
      <c r="R763" s="53">
        <f t="shared" si="35"/>
        <v>215</v>
      </c>
      <c r="S763" s="51">
        <v>1796.35</v>
      </c>
    </row>
    <row r="764" spans="1:19" ht="15" x14ac:dyDescent="0.25">
      <c r="A764" s="28"/>
      <c r="B764" s="45" t="str">
        <f t="shared" si="33"/>
        <v>Dec-2024</v>
      </c>
      <c r="C764" s="57">
        <v>45654</v>
      </c>
      <c r="D764" s="43">
        <f t="shared" si="34"/>
        <v>458</v>
      </c>
      <c r="E764" s="76">
        <v>13</v>
      </c>
      <c r="F764" s="50">
        <v>12</v>
      </c>
      <c r="G764" s="49">
        <v>4560</v>
      </c>
      <c r="H764" s="73">
        <v>12</v>
      </c>
      <c r="I764" s="52">
        <v>12</v>
      </c>
      <c r="J764" s="51">
        <v>460.78000000000003</v>
      </c>
      <c r="K764" s="52"/>
      <c r="L764" s="51"/>
      <c r="M764" s="52">
        <v>11</v>
      </c>
      <c r="N764" s="49">
        <v>4172.72</v>
      </c>
      <c r="O764" s="75">
        <v>8</v>
      </c>
      <c r="P764" s="54">
        <v>73.5</v>
      </c>
      <c r="Q764" s="54">
        <v>17.82</v>
      </c>
      <c r="R764" s="53">
        <f t="shared" si="35"/>
        <v>228</v>
      </c>
      <c r="S764" s="51">
        <v>460.78000000000003</v>
      </c>
    </row>
    <row r="765" spans="1:19" ht="15" x14ac:dyDescent="0.25">
      <c r="A765" s="28"/>
      <c r="B765" s="45" t="str">
        <f t="shared" si="33"/>
        <v>Dec-2024</v>
      </c>
      <c r="C765" s="57">
        <v>45655</v>
      </c>
      <c r="D765" s="43">
        <f t="shared" si="34"/>
        <v>457</v>
      </c>
      <c r="E765" s="76">
        <v>8</v>
      </c>
      <c r="F765" s="50">
        <v>13</v>
      </c>
      <c r="G765" s="49">
        <v>7360</v>
      </c>
      <c r="H765" s="73">
        <v>13</v>
      </c>
      <c r="I765" s="52">
        <v>13</v>
      </c>
      <c r="J765" s="51">
        <v>2975.81</v>
      </c>
      <c r="K765" s="52">
        <v>1</v>
      </c>
      <c r="L765" s="51">
        <v>50</v>
      </c>
      <c r="M765" s="52">
        <v>9</v>
      </c>
      <c r="N765" s="49">
        <v>4739.5</v>
      </c>
      <c r="O765" s="75">
        <v>9</v>
      </c>
      <c r="P765" s="54">
        <v>355.31000000000012</v>
      </c>
      <c r="Q765" s="54">
        <v>29.830000000000002</v>
      </c>
      <c r="R765" s="53">
        <f t="shared" si="35"/>
        <v>368</v>
      </c>
      <c r="S765" s="51">
        <v>2975.81</v>
      </c>
    </row>
    <row r="766" spans="1:19" ht="15" x14ac:dyDescent="0.25">
      <c r="A766" s="28"/>
      <c r="B766" s="45" t="str">
        <f t="shared" si="33"/>
        <v>Dec-2024</v>
      </c>
      <c r="C766" s="57">
        <v>45656</v>
      </c>
      <c r="D766" s="43">
        <f t="shared" si="34"/>
        <v>456</v>
      </c>
      <c r="E766" s="76">
        <v>11</v>
      </c>
      <c r="F766" s="50">
        <v>17</v>
      </c>
      <c r="G766" s="49">
        <v>8200</v>
      </c>
      <c r="H766" s="73">
        <v>17</v>
      </c>
      <c r="I766" s="52">
        <v>17</v>
      </c>
      <c r="J766" s="51">
        <v>6164.5099999999993</v>
      </c>
      <c r="K766" s="52">
        <v>1</v>
      </c>
      <c r="L766" s="51">
        <v>479</v>
      </c>
      <c r="M766" s="52">
        <v>8</v>
      </c>
      <c r="N766" s="49">
        <v>2708.15</v>
      </c>
      <c r="O766" s="75">
        <v>7</v>
      </c>
      <c r="P766" s="54">
        <v>672.65999999999974</v>
      </c>
      <c r="Q766" s="54">
        <v>8.15</v>
      </c>
      <c r="R766" s="53">
        <f t="shared" si="35"/>
        <v>410</v>
      </c>
      <c r="S766" s="51">
        <v>6164.5099999999993</v>
      </c>
    </row>
    <row r="767" spans="1:19" ht="15" x14ac:dyDescent="0.25">
      <c r="A767" s="28"/>
      <c r="B767" s="45" t="str">
        <f t="shared" si="33"/>
        <v>Dec-2024</v>
      </c>
      <c r="C767" s="57">
        <v>45657</v>
      </c>
      <c r="D767" s="43">
        <f t="shared" si="34"/>
        <v>455</v>
      </c>
      <c r="E767" s="76">
        <v>17</v>
      </c>
      <c r="F767" s="50">
        <v>24</v>
      </c>
      <c r="G767" s="49">
        <v>9480</v>
      </c>
      <c r="H767" s="73">
        <v>24</v>
      </c>
      <c r="I767" s="52">
        <v>24</v>
      </c>
      <c r="J767" s="51">
        <v>5620.5399999999981</v>
      </c>
      <c r="K767" s="52"/>
      <c r="L767" s="51"/>
      <c r="M767" s="52">
        <v>16</v>
      </c>
      <c r="N767" s="49">
        <v>4516.71</v>
      </c>
      <c r="O767" s="75">
        <v>15</v>
      </c>
      <c r="P767" s="54">
        <v>657.25000000000011</v>
      </c>
      <c r="Q767" s="54">
        <v>36.709999999999994</v>
      </c>
      <c r="R767" s="53">
        <f t="shared" si="35"/>
        <v>474</v>
      </c>
      <c r="S767" s="51">
        <v>5620.5399999999981</v>
      </c>
    </row>
    <row r="768" spans="1:19" ht="15" x14ac:dyDescent="0.25">
      <c r="A768" s="28"/>
      <c r="B768" s="45" t="str">
        <f t="shared" si="33"/>
        <v>Jan-2025</v>
      </c>
      <c r="C768" s="57">
        <v>45658</v>
      </c>
      <c r="D768" s="43">
        <f t="shared" si="34"/>
        <v>454</v>
      </c>
      <c r="E768" s="76">
        <v>8</v>
      </c>
      <c r="F768" s="50">
        <v>15</v>
      </c>
      <c r="G768" s="49">
        <v>8160</v>
      </c>
      <c r="H768" s="73">
        <v>15</v>
      </c>
      <c r="I768" s="52">
        <v>15</v>
      </c>
      <c r="J768" s="51">
        <v>2674.8</v>
      </c>
      <c r="K768" s="52"/>
      <c r="L768" s="51"/>
      <c r="M768" s="52">
        <v>13</v>
      </c>
      <c r="N768" s="49">
        <v>5858.27</v>
      </c>
      <c r="O768" s="75">
        <v>8</v>
      </c>
      <c r="P768" s="54">
        <v>373.07000000000005</v>
      </c>
      <c r="Q768" s="54">
        <v>79.180000000000007</v>
      </c>
      <c r="R768" s="53">
        <f t="shared" si="35"/>
        <v>408</v>
      </c>
      <c r="S768" s="51">
        <v>2674.7999999999997</v>
      </c>
    </row>
    <row r="769" spans="1:19" ht="15" x14ac:dyDescent="0.25">
      <c r="A769" s="28"/>
      <c r="B769" s="45" t="str">
        <f t="shared" si="33"/>
        <v>Jan-2025</v>
      </c>
      <c r="C769" s="57">
        <v>45659</v>
      </c>
      <c r="D769" s="43">
        <f t="shared" si="34"/>
        <v>453</v>
      </c>
      <c r="E769" s="76">
        <v>8</v>
      </c>
      <c r="F769" s="50">
        <v>27</v>
      </c>
      <c r="G769" s="49">
        <v>19178</v>
      </c>
      <c r="H769" s="73">
        <v>26</v>
      </c>
      <c r="I769" s="52">
        <v>27</v>
      </c>
      <c r="J769" s="51">
        <v>3817.84</v>
      </c>
      <c r="K769" s="52">
        <v>1</v>
      </c>
      <c r="L769" s="51">
        <v>100.02</v>
      </c>
      <c r="M769" s="52">
        <v>37</v>
      </c>
      <c r="N769" s="49">
        <v>15956.19</v>
      </c>
      <c r="O769" s="75">
        <v>30</v>
      </c>
      <c r="P769" s="54">
        <v>596.03</v>
      </c>
      <c r="Q769" s="54">
        <v>191.48</v>
      </c>
      <c r="R769" s="53">
        <f t="shared" si="35"/>
        <v>958.90000000000009</v>
      </c>
      <c r="S769" s="51">
        <v>3817.84</v>
      </c>
    </row>
    <row r="770" spans="1:19" ht="15" x14ac:dyDescent="0.25">
      <c r="A770" s="28"/>
      <c r="B770" s="45" t="str">
        <f t="shared" si="33"/>
        <v>Jan-2025</v>
      </c>
      <c r="C770" s="57">
        <v>45660</v>
      </c>
      <c r="D770" s="43">
        <f t="shared" si="34"/>
        <v>452</v>
      </c>
      <c r="E770" s="76">
        <v>2</v>
      </c>
      <c r="F770" s="50">
        <v>15</v>
      </c>
      <c r="G770" s="49">
        <v>11620</v>
      </c>
      <c r="H770" s="73">
        <v>15</v>
      </c>
      <c r="I770" s="52">
        <v>15</v>
      </c>
      <c r="J770" s="51">
        <v>227.48</v>
      </c>
      <c r="K770" s="52">
        <v>1</v>
      </c>
      <c r="L770" s="51">
        <v>400</v>
      </c>
      <c r="M770" s="52">
        <v>15</v>
      </c>
      <c r="N770" s="49">
        <v>11575.17</v>
      </c>
      <c r="O770" s="75">
        <v>14</v>
      </c>
      <c r="P770" s="54">
        <v>182.65</v>
      </c>
      <c r="Q770" s="54">
        <v>155.16999999999999</v>
      </c>
      <c r="R770" s="53">
        <f t="shared" si="35"/>
        <v>581</v>
      </c>
      <c r="S770" s="51">
        <v>227.48</v>
      </c>
    </row>
    <row r="771" spans="1:19" ht="15" x14ac:dyDescent="0.25">
      <c r="A771" s="28"/>
      <c r="B771" s="45" t="str">
        <f t="shared" si="33"/>
        <v>Jan-2025</v>
      </c>
      <c r="C771" s="57">
        <v>45661</v>
      </c>
      <c r="D771" s="43">
        <f t="shared" si="34"/>
        <v>451</v>
      </c>
      <c r="E771" s="76">
        <v>8</v>
      </c>
      <c r="F771" s="50">
        <v>18</v>
      </c>
      <c r="G771" s="49">
        <v>9850</v>
      </c>
      <c r="H771" s="73">
        <v>18</v>
      </c>
      <c r="I771" s="52">
        <v>18</v>
      </c>
      <c r="J771" s="51">
        <v>3249.17</v>
      </c>
      <c r="K771" s="52"/>
      <c r="L771" s="51"/>
      <c r="M771" s="52">
        <v>12</v>
      </c>
      <c r="N771" s="49">
        <v>6999.39</v>
      </c>
      <c r="O771" s="75">
        <v>12</v>
      </c>
      <c r="P771" s="54">
        <v>398.55999999999995</v>
      </c>
      <c r="Q771" s="54">
        <v>49.39</v>
      </c>
      <c r="R771" s="53">
        <f t="shared" si="35"/>
        <v>492.5</v>
      </c>
      <c r="S771" s="51">
        <v>3249.17</v>
      </c>
    </row>
    <row r="772" spans="1:19" ht="15" x14ac:dyDescent="0.25">
      <c r="A772" s="28"/>
      <c r="B772" s="45" t="str">
        <f t="shared" si="33"/>
        <v>Jan-2025</v>
      </c>
      <c r="C772" s="57">
        <v>45662</v>
      </c>
      <c r="D772" s="43">
        <f t="shared" si="34"/>
        <v>450</v>
      </c>
      <c r="E772" s="76">
        <v>7</v>
      </c>
      <c r="F772" s="50">
        <v>14</v>
      </c>
      <c r="G772" s="49">
        <v>8100</v>
      </c>
      <c r="H772" s="73">
        <v>14</v>
      </c>
      <c r="I772" s="52">
        <v>14</v>
      </c>
      <c r="J772" s="51">
        <v>896.21</v>
      </c>
      <c r="K772" s="52"/>
      <c r="L772" s="51"/>
      <c r="M772" s="52">
        <v>17</v>
      </c>
      <c r="N772" s="49">
        <v>7350.9</v>
      </c>
      <c r="O772" s="75">
        <v>16</v>
      </c>
      <c r="P772" s="54">
        <v>147.11000000000001</v>
      </c>
      <c r="Q772" s="54">
        <v>50.900000000000006</v>
      </c>
      <c r="R772" s="53">
        <f t="shared" si="35"/>
        <v>405</v>
      </c>
      <c r="S772" s="51">
        <v>896.21</v>
      </c>
    </row>
    <row r="773" spans="1:19" ht="15" x14ac:dyDescent="0.25">
      <c r="A773" s="28"/>
      <c r="B773" s="45" t="str">
        <f t="shared" si="33"/>
        <v>Jan-2025</v>
      </c>
      <c r="C773" s="57">
        <v>45663</v>
      </c>
      <c r="D773" s="43">
        <f t="shared" si="34"/>
        <v>449</v>
      </c>
      <c r="E773" s="76">
        <v>8</v>
      </c>
      <c r="F773" s="50">
        <v>12</v>
      </c>
      <c r="G773" s="49">
        <v>8290</v>
      </c>
      <c r="H773" s="73">
        <v>12</v>
      </c>
      <c r="I773" s="52">
        <v>12</v>
      </c>
      <c r="J773" s="51">
        <v>4174</v>
      </c>
      <c r="K773" s="52">
        <v>1</v>
      </c>
      <c r="L773" s="51">
        <v>230</v>
      </c>
      <c r="M773" s="52">
        <v>13</v>
      </c>
      <c r="N773" s="49">
        <v>4577.75</v>
      </c>
      <c r="O773" s="75">
        <v>13</v>
      </c>
      <c r="P773" s="54">
        <v>461.75</v>
      </c>
      <c r="Q773" s="54">
        <v>18.049999999999997</v>
      </c>
      <c r="R773" s="53">
        <f t="shared" si="35"/>
        <v>414.5</v>
      </c>
      <c r="S773" s="51">
        <v>4174</v>
      </c>
    </row>
    <row r="774" spans="1:19" ht="15" x14ac:dyDescent="0.25">
      <c r="A774" s="28"/>
      <c r="B774" s="45" t="str">
        <f t="shared" si="33"/>
        <v>Jan-2025</v>
      </c>
      <c r="C774" s="57">
        <v>45664</v>
      </c>
      <c r="D774" s="43">
        <f t="shared" si="34"/>
        <v>448</v>
      </c>
      <c r="E774" s="76">
        <v>16</v>
      </c>
      <c r="F774" s="50">
        <v>27</v>
      </c>
      <c r="G774" s="49">
        <v>20950</v>
      </c>
      <c r="H774" s="73">
        <v>27</v>
      </c>
      <c r="I774" s="52">
        <v>27</v>
      </c>
      <c r="J774" s="51">
        <v>8315.59</v>
      </c>
      <c r="K774" s="52"/>
      <c r="L774" s="51"/>
      <c r="M774" s="52">
        <v>13</v>
      </c>
      <c r="N774" s="49">
        <v>13641.35</v>
      </c>
      <c r="O774" s="75">
        <v>13</v>
      </c>
      <c r="P774" s="54">
        <v>1006.94</v>
      </c>
      <c r="Q774" s="54">
        <v>138.47</v>
      </c>
      <c r="R774" s="53">
        <f t="shared" si="35"/>
        <v>1047.5</v>
      </c>
      <c r="S774" s="51">
        <v>8315.59</v>
      </c>
    </row>
    <row r="775" spans="1:19" ht="15" x14ac:dyDescent="0.25">
      <c r="A775" s="28"/>
      <c r="B775" s="45" t="str">
        <f t="shared" ref="B775:B838" si="36">TEXT(C775,"MMM-YYYY")</f>
        <v>Jan-2025</v>
      </c>
      <c r="C775" s="57">
        <v>45665</v>
      </c>
      <c r="D775" s="43">
        <f t="shared" ref="D775:D838" si="37">$A$1-C775</f>
        <v>447</v>
      </c>
      <c r="E775" s="76">
        <v>22</v>
      </c>
      <c r="F775" s="50">
        <v>24</v>
      </c>
      <c r="G775" s="49">
        <v>11460</v>
      </c>
      <c r="H775" s="73">
        <v>24</v>
      </c>
      <c r="I775" s="52">
        <v>24</v>
      </c>
      <c r="J775" s="51">
        <v>7015.7800000000007</v>
      </c>
      <c r="K775" s="52"/>
      <c r="L775" s="51"/>
      <c r="M775" s="52">
        <v>8</v>
      </c>
      <c r="N775" s="49">
        <v>5230.67</v>
      </c>
      <c r="O775" s="75">
        <v>7</v>
      </c>
      <c r="P775" s="54">
        <v>786.45000000000027</v>
      </c>
      <c r="Q775" s="54">
        <v>30.67</v>
      </c>
      <c r="R775" s="53">
        <f t="shared" ref="R775:R838" si="38">G775*5%</f>
        <v>573</v>
      </c>
      <c r="S775" s="51">
        <v>7015.7800000000007</v>
      </c>
    </row>
    <row r="776" spans="1:19" ht="15" x14ac:dyDescent="0.25">
      <c r="A776" s="28"/>
      <c r="B776" s="45" t="str">
        <f t="shared" si="36"/>
        <v>Jan-2025</v>
      </c>
      <c r="C776" s="57">
        <v>45666</v>
      </c>
      <c r="D776" s="43">
        <f t="shared" si="37"/>
        <v>446</v>
      </c>
      <c r="E776" s="76">
        <v>11</v>
      </c>
      <c r="F776" s="50">
        <v>22</v>
      </c>
      <c r="G776" s="49">
        <v>12600</v>
      </c>
      <c r="H776" s="73">
        <v>22</v>
      </c>
      <c r="I776" s="52">
        <v>22</v>
      </c>
      <c r="J776" s="51">
        <v>3363.35</v>
      </c>
      <c r="K776" s="52"/>
      <c r="L776" s="51"/>
      <c r="M776" s="52">
        <v>15</v>
      </c>
      <c r="N776" s="49">
        <v>9683.2999999999993</v>
      </c>
      <c r="O776" s="75">
        <v>13</v>
      </c>
      <c r="P776" s="54">
        <v>446.65000000000003</v>
      </c>
      <c r="Q776" s="54">
        <v>83.300000000000011</v>
      </c>
      <c r="R776" s="53">
        <f t="shared" si="38"/>
        <v>630</v>
      </c>
      <c r="S776" s="51">
        <v>3363.35</v>
      </c>
    </row>
    <row r="777" spans="1:19" ht="15" x14ac:dyDescent="0.25">
      <c r="A777" s="28"/>
      <c r="B777" s="45" t="str">
        <f t="shared" si="36"/>
        <v>Jan-2025</v>
      </c>
      <c r="C777" s="57">
        <v>45667</v>
      </c>
      <c r="D777" s="43">
        <f t="shared" si="37"/>
        <v>445</v>
      </c>
      <c r="E777" s="76">
        <v>11</v>
      </c>
      <c r="F777" s="50">
        <v>16</v>
      </c>
      <c r="G777" s="49">
        <v>7300</v>
      </c>
      <c r="H777" s="73">
        <v>16</v>
      </c>
      <c r="I777" s="52">
        <v>16</v>
      </c>
      <c r="J777" s="51">
        <v>4030.6500000000005</v>
      </c>
      <c r="K777" s="52">
        <v>1</v>
      </c>
      <c r="L777" s="51">
        <v>700.15</v>
      </c>
      <c r="M777" s="52">
        <v>12</v>
      </c>
      <c r="N777" s="49">
        <v>3713.97</v>
      </c>
      <c r="O777" s="75">
        <v>10</v>
      </c>
      <c r="P777" s="54">
        <v>444.61999999999989</v>
      </c>
      <c r="Q777" s="54">
        <v>13.97</v>
      </c>
      <c r="R777" s="53">
        <f t="shared" si="38"/>
        <v>365</v>
      </c>
      <c r="S777" s="51">
        <v>4030.6500000000005</v>
      </c>
    </row>
    <row r="778" spans="1:19" ht="15" x14ac:dyDescent="0.25">
      <c r="A778" s="28"/>
      <c r="B778" s="45" t="str">
        <f t="shared" si="36"/>
        <v>Jan-2025</v>
      </c>
      <c r="C778" s="57">
        <v>45668</v>
      </c>
      <c r="D778" s="43">
        <f t="shared" si="37"/>
        <v>444</v>
      </c>
      <c r="E778" s="76">
        <v>7</v>
      </c>
      <c r="F778" s="50">
        <v>16</v>
      </c>
      <c r="G778" s="49">
        <v>8098</v>
      </c>
      <c r="H778" s="73">
        <v>16</v>
      </c>
      <c r="I778" s="52">
        <v>16</v>
      </c>
      <c r="J778" s="51">
        <v>4138.95</v>
      </c>
      <c r="K778" s="52"/>
      <c r="L778" s="51"/>
      <c r="M778" s="52">
        <v>11</v>
      </c>
      <c r="N778" s="49">
        <v>4433.24</v>
      </c>
      <c r="O778" s="75">
        <v>8</v>
      </c>
      <c r="P778" s="54">
        <v>474.19</v>
      </c>
      <c r="Q778" s="54">
        <v>35.24</v>
      </c>
      <c r="R778" s="53">
        <f t="shared" si="38"/>
        <v>404.90000000000003</v>
      </c>
      <c r="S778" s="51">
        <v>4138.95</v>
      </c>
    </row>
    <row r="779" spans="1:19" ht="15" x14ac:dyDescent="0.25">
      <c r="A779" s="28"/>
      <c r="B779" s="45" t="str">
        <f t="shared" si="36"/>
        <v>Jan-2025</v>
      </c>
      <c r="C779" s="57">
        <v>45669</v>
      </c>
      <c r="D779" s="43">
        <f t="shared" si="37"/>
        <v>443</v>
      </c>
      <c r="E779" s="76">
        <v>15</v>
      </c>
      <c r="F779" s="50">
        <v>20</v>
      </c>
      <c r="G779" s="49">
        <v>8440</v>
      </c>
      <c r="H779" s="73">
        <v>20</v>
      </c>
      <c r="I779" s="52">
        <v>20</v>
      </c>
      <c r="J779" s="51">
        <v>5037.1099999999997</v>
      </c>
      <c r="K779" s="52"/>
      <c r="L779" s="51"/>
      <c r="M779" s="52">
        <v>10</v>
      </c>
      <c r="N779" s="49">
        <v>3977.98</v>
      </c>
      <c r="O779" s="75">
        <v>10</v>
      </c>
      <c r="P779" s="54">
        <v>575.09000000000015</v>
      </c>
      <c r="Q779" s="54">
        <v>37.979999999999997</v>
      </c>
      <c r="R779" s="53">
        <f t="shared" si="38"/>
        <v>422</v>
      </c>
      <c r="S779" s="51">
        <v>5037.1100000000006</v>
      </c>
    </row>
    <row r="780" spans="1:19" ht="15" x14ac:dyDescent="0.25">
      <c r="A780" s="28"/>
      <c r="B780" s="45" t="str">
        <f t="shared" si="36"/>
        <v>Jan-2025</v>
      </c>
      <c r="C780" s="57">
        <v>45670</v>
      </c>
      <c r="D780" s="43">
        <f t="shared" si="37"/>
        <v>442</v>
      </c>
      <c r="E780" s="76">
        <v>17</v>
      </c>
      <c r="F780" s="50">
        <v>28</v>
      </c>
      <c r="G780" s="49">
        <v>13000</v>
      </c>
      <c r="H780" s="73">
        <v>28</v>
      </c>
      <c r="I780" s="52">
        <v>28</v>
      </c>
      <c r="J780" s="51">
        <v>5598.8899999999994</v>
      </c>
      <c r="K780" s="52">
        <v>1</v>
      </c>
      <c r="L780" s="51">
        <v>95</v>
      </c>
      <c r="M780" s="52">
        <v>13</v>
      </c>
      <c r="N780" s="49">
        <v>8056.27</v>
      </c>
      <c r="O780" s="75">
        <v>13</v>
      </c>
      <c r="P780" s="54">
        <v>655.16000000000008</v>
      </c>
      <c r="Q780" s="54">
        <v>56.269999999999996</v>
      </c>
      <c r="R780" s="53">
        <f t="shared" si="38"/>
        <v>650</v>
      </c>
      <c r="S780" s="51">
        <v>5598.8899999999994</v>
      </c>
    </row>
    <row r="781" spans="1:19" ht="15" x14ac:dyDescent="0.25">
      <c r="A781" s="28"/>
      <c r="B781" s="45" t="str">
        <f t="shared" si="36"/>
        <v>Jan-2025</v>
      </c>
      <c r="C781" s="57">
        <v>45671</v>
      </c>
      <c r="D781" s="43">
        <f t="shared" si="37"/>
        <v>441</v>
      </c>
      <c r="E781" s="76">
        <v>21</v>
      </c>
      <c r="F781" s="50">
        <v>26</v>
      </c>
      <c r="G781" s="49">
        <v>12800</v>
      </c>
      <c r="H781" s="73">
        <v>26</v>
      </c>
      <c r="I781" s="52">
        <v>26</v>
      </c>
      <c r="J781" s="51">
        <v>7590.7999999999993</v>
      </c>
      <c r="K781" s="52"/>
      <c r="L781" s="51"/>
      <c r="M781" s="52">
        <v>12</v>
      </c>
      <c r="N781" s="49">
        <v>6102.86</v>
      </c>
      <c r="O781" s="75">
        <v>11</v>
      </c>
      <c r="P781" s="54">
        <v>893.65999999999963</v>
      </c>
      <c r="Q781" s="54">
        <v>98.66</v>
      </c>
      <c r="R781" s="53">
        <f t="shared" si="38"/>
        <v>640</v>
      </c>
      <c r="S781" s="51">
        <v>7590.8</v>
      </c>
    </row>
    <row r="782" spans="1:19" ht="15" x14ac:dyDescent="0.25">
      <c r="A782" s="28"/>
      <c r="B782" s="45" t="str">
        <f t="shared" si="36"/>
        <v>Jan-2025</v>
      </c>
      <c r="C782" s="57">
        <v>45672</v>
      </c>
      <c r="D782" s="43">
        <f t="shared" si="37"/>
        <v>440</v>
      </c>
      <c r="E782" s="76">
        <v>12</v>
      </c>
      <c r="F782" s="50">
        <v>17</v>
      </c>
      <c r="G782" s="49">
        <v>8920</v>
      </c>
      <c r="H782" s="73">
        <v>17</v>
      </c>
      <c r="I782" s="52">
        <v>17</v>
      </c>
      <c r="J782" s="51">
        <v>2800.2200000000003</v>
      </c>
      <c r="K782" s="52"/>
      <c r="L782" s="51"/>
      <c r="M782" s="52">
        <v>8</v>
      </c>
      <c r="N782" s="49">
        <v>6459.58</v>
      </c>
      <c r="O782" s="75">
        <v>8</v>
      </c>
      <c r="P782" s="54">
        <v>339.79999999999995</v>
      </c>
      <c r="Q782" s="54">
        <v>39.58</v>
      </c>
      <c r="R782" s="53">
        <f t="shared" si="38"/>
        <v>446</v>
      </c>
      <c r="S782" s="51">
        <v>2800.2200000000003</v>
      </c>
    </row>
    <row r="783" spans="1:19" ht="15" x14ac:dyDescent="0.25">
      <c r="A783" s="28"/>
      <c r="B783" s="45" t="str">
        <f t="shared" si="36"/>
        <v>Jan-2025</v>
      </c>
      <c r="C783" s="57">
        <v>45673</v>
      </c>
      <c r="D783" s="43">
        <f t="shared" si="37"/>
        <v>439</v>
      </c>
      <c r="E783" s="76">
        <v>2</v>
      </c>
      <c r="F783" s="50">
        <v>16</v>
      </c>
      <c r="G783" s="49">
        <v>8700</v>
      </c>
      <c r="H783" s="73">
        <v>14</v>
      </c>
      <c r="I783" s="52">
        <v>16</v>
      </c>
      <c r="J783" s="51">
        <v>1787.95</v>
      </c>
      <c r="K783" s="52">
        <v>2</v>
      </c>
      <c r="L783" s="51">
        <v>800.18000000000006</v>
      </c>
      <c r="M783" s="52">
        <v>13</v>
      </c>
      <c r="N783" s="49">
        <v>7162.88</v>
      </c>
      <c r="O783" s="75">
        <v>13</v>
      </c>
      <c r="P783" s="54">
        <v>250.83</v>
      </c>
      <c r="Q783" s="54">
        <v>62.879999999999995</v>
      </c>
      <c r="R783" s="53">
        <f t="shared" si="38"/>
        <v>435</v>
      </c>
      <c r="S783" s="51">
        <v>1787.95</v>
      </c>
    </row>
    <row r="784" spans="1:19" ht="15" x14ac:dyDescent="0.25">
      <c r="A784" s="28"/>
      <c r="B784" s="45" t="str">
        <f t="shared" si="36"/>
        <v>Jan-2025</v>
      </c>
      <c r="C784" s="57">
        <v>45674</v>
      </c>
      <c r="D784" s="43">
        <f t="shared" si="37"/>
        <v>438</v>
      </c>
      <c r="E784" s="76">
        <v>6</v>
      </c>
      <c r="F784" s="50">
        <v>13</v>
      </c>
      <c r="G784" s="49">
        <v>5900</v>
      </c>
      <c r="H784" s="73">
        <v>13</v>
      </c>
      <c r="I784" s="52">
        <v>13</v>
      </c>
      <c r="J784" s="51">
        <v>1906.37</v>
      </c>
      <c r="K784" s="52"/>
      <c r="L784" s="51"/>
      <c r="M784" s="52">
        <v>10</v>
      </c>
      <c r="N784" s="49">
        <v>4217.03</v>
      </c>
      <c r="O784" s="75">
        <v>10</v>
      </c>
      <c r="P784" s="54">
        <v>223.40000000000003</v>
      </c>
      <c r="Q784" s="54">
        <v>24.400000000000002</v>
      </c>
      <c r="R784" s="53">
        <f t="shared" si="38"/>
        <v>295</v>
      </c>
      <c r="S784" s="51">
        <v>1906.37</v>
      </c>
    </row>
    <row r="785" spans="1:19" ht="15" x14ac:dyDescent="0.25">
      <c r="A785" s="28"/>
      <c r="B785" s="45" t="str">
        <f t="shared" si="36"/>
        <v>Jan-2025</v>
      </c>
      <c r="C785" s="57">
        <v>45675</v>
      </c>
      <c r="D785" s="43">
        <f t="shared" si="37"/>
        <v>437</v>
      </c>
      <c r="E785" s="76">
        <v>18</v>
      </c>
      <c r="F785" s="50">
        <v>20</v>
      </c>
      <c r="G785" s="49">
        <v>10550</v>
      </c>
      <c r="H785" s="73">
        <v>20</v>
      </c>
      <c r="I785" s="52">
        <v>20</v>
      </c>
      <c r="J785" s="51">
        <v>5138.93</v>
      </c>
      <c r="K785" s="52">
        <v>1</v>
      </c>
      <c r="L785" s="51">
        <v>500.11</v>
      </c>
      <c r="M785" s="52">
        <v>18</v>
      </c>
      <c r="N785" s="49">
        <v>5994.23</v>
      </c>
      <c r="O785" s="75">
        <v>15</v>
      </c>
      <c r="P785" s="54">
        <v>583.16000000000008</v>
      </c>
      <c r="Q785" s="54">
        <v>44.23</v>
      </c>
      <c r="R785" s="53">
        <f t="shared" si="38"/>
        <v>527.5</v>
      </c>
      <c r="S785" s="51">
        <v>5138.93</v>
      </c>
    </row>
    <row r="786" spans="1:19" ht="15" x14ac:dyDescent="0.25">
      <c r="A786" s="28"/>
      <c r="B786" s="45" t="str">
        <f t="shared" si="36"/>
        <v>Jan-2025</v>
      </c>
      <c r="C786" s="57">
        <v>45676</v>
      </c>
      <c r="D786" s="43">
        <f t="shared" si="37"/>
        <v>436</v>
      </c>
      <c r="E786" s="76">
        <v>9</v>
      </c>
      <c r="F786" s="50">
        <v>18</v>
      </c>
      <c r="G786" s="49">
        <v>10410</v>
      </c>
      <c r="H786" s="73">
        <v>18</v>
      </c>
      <c r="I786" s="52">
        <v>18</v>
      </c>
      <c r="J786" s="51">
        <v>3765.4300000000007</v>
      </c>
      <c r="K786" s="52"/>
      <c r="L786" s="51"/>
      <c r="M786" s="52">
        <v>24</v>
      </c>
      <c r="N786" s="49">
        <v>7077.87</v>
      </c>
      <c r="O786" s="75">
        <v>21</v>
      </c>
      <c r="P786" s="54">
        <v>433.2999999999999</v>
      </c>
      <c r="Q786" s="54">
        <v>37.869999999999997</v>
      </c>
      <c r="R786" s="53">
        <f t="shared" si="38"/>
        <v>520.5</v>
      </c>
      <c r="S786" s="51">
        <v>3765.4300000000007</v>
      </c>
    </row>
    <row r="787" spans="1:19" ht="15" x14ac:dyDescent="0.25">
      <c r="A787" s="28"/>
      <c r="B787" s="45" t="str">
        <f t="shared" si="36"/>
        <v>Jan-2025</v>
      </c>
      <c r="C787" s="57">
        <v>45677</v>
      </c>
      <c r="D787" s="43">
        <f t="shared" si="37"/>
        <v>435</v>
      </c>
      <c r="E787" s="76">
        <v>7</v>
      </c>
      <c r="F787" s="50">
        <v>23</v>
      </c>
      <c r="G787" s="49">
        <v>14300</v>
      </c>
      <c r="H787" s="73">
        <v>23</v>
      </c>
      <c r="I787" s="52">
        <v>23</v>
      </c>
      <c r="J787" s="51">
        <v>4695.1699999999992</v>
      </c>
      <c r="K787" s="52">
        <v>1</v>
      </c>
      <c r="L787" s="51">
        <v>95</v>
      </c>
      <c r="M787" s="52">
        <v>14</v>
      </c>
      <c r="N787" s="49">
        <v>10135.5</v>
      </c>
      <c r="O787" s="75">
        <v>14</v>
      </c>
      <c r="P787" s="54">
        <v>530.67000000000007</v>
      </c>
      <c r="Q787" s="54">
        <v>43.339999999999996</v>
      </c>
      <c r="R787" s="53">
        <f t="shared" si="38"/>
        <v>715</v>
      </c>
      <c r="S787" s="51">
        <v>4695.1699999999992</v>
      </c>
    </row>
    <row r="788" spans="1:19" ht="15" x14ac:dyDescent="0.25">
      <c r="A788" s="28"/>
      <c r="B788" s="45" t="str">
        <f t="shared" si="36"/>
        <v>Jan-2025</v>
      </c>
      <c r="C788" s="57">
        <v>45678</v>
      </c>
      <c r="D788" s="43">
        <f t="shared" si="37"/>
        <v>434</v>
      </c>
      <c r="E788" s="76">
        <v>4</v>
      </c>
      <c r="F788" s="50">
        <v>17</v>
      </c>
      <c r="G788" s="49">
        <v>9780</v>
      </c>
      <c r="H788" s="73">
        <v>17</v>
      </c>
      <c r="I788" s="52">
        <v>17</v>
      </c>
      <c r="J788" s="51">
        <v>1541.2299999999998</v>
      </c>
      <c r="K788" s="52"/>
      <c r="L788" s="51"/>
      <c r="M788" s="52">
        <v>16</v>
      </c>
      <c r="N788" s="49">
        <v>8429.66</v>
      </c>
      <c r="O788" s="75">
        <v>16</v>
      </c>
      <c r="P788" s="54">
        <v>190.89</v>
      </c>
      <c r="Q788" s="54">
        <v>31.639999999999997</v>
      </c>
      <c r="R788" s="53">
        <f t="shared" si="38"/>
        <v>489</v>
      </c>
      <c r="S788" s="51">
        <v>1541.23</v>
      </c>
    </row>
    <row r="789" spans="1:19" ht="15" x14ac:dyDescent="0.25">
      <c r="A789" s="28"/>
      <c r="B789" s="45" t="str">
        <f t="shared" si="36"/>
        <v>Jan-2025</v>
      </c>
      <c r="C789" s="57">
        <v>45679</v>
      </c>
      <c r="D789" s="43">
        <f t="shared" si="37"/>
        <v>433</v>
      </c>
      <c r="E789" s="76">
        <v>8</v>
      </c>
      <c r="F789" s="50">
        <v>17</v>
      </c>
      <c r="G789" s="49">
        <v>10550</v>
      </c>
      <c r="H789" s="73">
        <v>17</v>
      </c>
      <c r="I789" s="52">
        <v>17</v>
      </c>
      <c r="J789" s="51">
        <v>3566.57</v>
      </c>
      <c r="K789" s="52"/>
      <c r="L789" s="51"/>
      <c r="M789" s="52">
        <v>26</v>
      </c>
      <c r="N789" s="49">
        <v>7411</v>
      </c>
      <c r="O789" s="75">
        <v>21</v>
      </c>
      <c r="P789" s="54">
        <v>427.57000000000005</v>
      </c>
      <c r="Q789" s="54">
        <v>61</v>
      </c>
      <c r="R789" s="53">
        <f t="shared" si="38"/>
        <v>527.5</v>
      </c>
      <c r="S789" s="51">
        <v>3566.57</v>
      </c>
    </row>
    <row r="790" spans="1:19" ht="15" x14ac:dyDescent="0.25">
      <c r="A790" s="28"/>
      <c r="B790" s="45" t="str">
        <f t="shared" si="36"/>
        <v>Jan-2025</v>
      </c>
      <c r="C790" s="57">
        <v>45680</v>
      </c>
      <c r="D790" s="43">
        <f t="shared" si="37"/>
        <v>432</v>
      </c>
      <c r="E790" s="76">
        <v>3</v>
      </c>
      <c r="F790" s="50">
        <v>16</v>
      </c>
      <c r="G790" s="49">
        <v>12250</v>
      </c>
      <c r="H790" s="73">
        <v>16</v>
      </c>
      <c r="I790" s="52">
        <v>16</v>
      </c>
      <c r="J790" s="51">
        <v>2899.59</v>
      </c>
      <c r="K790" s="52"/>
      <c r="L790" s="51"/>
      <c r="M790" s="52">
        <v>10</v>
      </c>
      <c r="N790" s="49">
        <v>9692.65</v>
      </c>
      <c r="O790" s="75">
        <v>10</v>
      </c>
      <c r="P790" s="54">
        <v>342.24</v>
      </c>
      <c r="Q790" s="54">
        <v>42.65</v>
      </c>
      <c r="R790" s="53">
        <f t="shared" si="38"/>
        <v>612.5</v>
      </c>
      <c r="S790" s="51">
        <v>2899.5899999999997</v>
      </c>
    </row>
    <row r="791" spans="1:19" ht="15" x14ac:dyDescent="0.25">
      <c r="A791" s="28"/>
      <c r="B791" s="45" t="str">
        <f t="shared" si="36"/>
        <v>Jan-2025</v>
      </c>
      <c r="C791" s="57">
        <v>45681</v>
      </c>
      <c r="D791" s="43">
        <f t="shared" si="37"/>
        <v>431</v>
      </c>
      <c r="E791" s="76">
        <v>5</v>
      </c>
      <c r="F791" s="50">
        <v>17</v>
      </c>
      <c r="G791" s="49">
        <v>10100</v>
      </c>
      <c r="H791" s="73">
        <v>17</v>
      </c>
      <c r="I791" s="52">
        <v>17</v>
      </c>
      <c r="J791" s="51">
        <v>3120.8599999999997</v>
      </c>
      <c r="K791" s="52"/>
      <c r="L791" s="51"/>
      <c r="M791" s="52">
        <v>23</v>
      </c>
      <c r="N791" s="49">
        <v>7327.68</v>
      </c>
      <c r="O791" s="75">
        <v>20</v>
      </c>
      <c r="P791" s="54">
        <v>348.54000000000008</v>
      </c>
      <c r="Q791" s="54">
        <v>27.68</v>
      </c>
      <c r="R791" s="53">
        <f t="shared" si="38"/>
        <v>505</v>
      </c>
      <c r="S791" s="51">
        <v>3120.86</v>
      </c>
    </row>
    <row r="792" spans="1:19" ht="15" x14ac:dyDescent="0.25">
      <c r="A792" s="28"/>
      <c r="B792" s="45" t="str">
        <f t="shared" si="36"/>
        <v>Jan-2025</v>
      </c>
      <c r="C792" s="57">
        <v>45682</v>
      </c>
      <c r="D792" s="43">
        <f t="shared" si="37"/>
        <v>430</v>
      </c>
      <c r="E792" s="76">
        <v>2</v>
      </c>
      <c r="F792" s="50">
        <v>8</v>
      </c>
      <c r="G792" s="49">
        <v>6360</v>
      </c>
      <c r="H792" s="73">
        <v>8</v>
      </c>
      <c r="I792" s="52">
        <v>8</v>
      </c>
      <c r="J792" s="51">
        <v>1671.09</v>
      </c>
      <c r="K792" s="52"/>
      <c r="L792" s="51"/>
      <c r="M792" s="52">
        <v>10</v>
      </c>
      <c r="N792" s="49">
        <v>4889.2</v>
      </c>
      <c r="O792" s="75">
        <v>10</v>
      </c>
      <c r="P792" s="54">
        <v>200.29000000000005</v>
      </c>
      <c r="Q792" s="54">
        <v>29.2</v>
      </c>
      <c r="R792" s="53">
        <f t="shared" si="38"/>
        <v>318</v>
      </c>
      <c r="S792" s="51">
        <v>1671.09</v>
      </c>
    </row>
    <row r="793" spans="1:19" ht="15" x14ac:dyDescent="0.25">
      <c r="A793" s="28"/>
      <c r="B793" s="45" t="str">
        <f t="shared" si="36"/>
        <v>Jan-2025</v>
      </c>
      <c r="C793" s="57">
        <v>45683</v>
      </c>
      <c r="D793" s="43">
        <f t="shared" si="37"/>
        <v>429</v>
      </c>
      <c r="E793" s="76">
        <v>8</v>
      </c>
      <c r="F793" s="50">
        <v>15</v>
      </c>
      <c r="G793" s="49">
        <v>10660</v>
      </c>
      <c r="H793" s="73">
        <v>14</v>
      </c>
      <c r="I793" s="52">
        <v>15</v>
      </c>
      <c r="J793" s="51">
        <v>3208.2</v>
      </c>
      <c r="K793" s="52">
        <v>1</v>
      </c>
      <c r="L793" s="51">
        <v>350.08</v>
      </c>
      <c r="M793" s="52">
        <v>9</v>
      </c>
      <c r="N793" s="49">
        <v>7812.37</v>
      </c>
      <c r="O793" s="75">
        <v>8</v>
      </c>
      <c r="P793" s="54">
        <v>360.57</v>
      </c>
      <c r="Q793" s="54">
        <v>32.370000000000005</v>
      </c>
      <c r="R793" s="53">
        <f t="shared" si="38"/>
        <v>533</v>
      </c>
      <c r="S793" s="51">
        <v>3208.2000000000003</v>
      </c>
    </row>
    <row r="794" spans="1:19" ht="15" x14ac:dyDescent="0.25">
      <c r="A794" s="28"/>
      <c r="B794" s="45" t="str">
        <f t="shared" si="36"/>
        <v>Jan-2025</v>
      </c>
      <c r="C794" s="57">
        <v>45684</v>
      </c>
      <c r="D794" s="43">
        <f t="shared" si="37"/>
        <v>428</v>
      </c>
      <c r="E794" s="76">
        <v>4</v>
      </c>
      <c r="F794" s="50">
        <v>11</v>
      </c>
      <c r="G794" s="49">
        <v>5050</v>
      </c>
      <c r="H794" s="73">
        <v>11</v>
      </c>
      <c r="I794" s="52">
        <v>11</v>
      </c>
      <c r="J794" s="51">
        <v>1908.0700000000002</v>
      </c>
      <c r="K794" s="52">
        <v>1</v>
      </c>
      <c r="L794" s="51">
        <v>50.01</v>
      </c>
      <c r="M794" s="52">
        <v>8</v>
      </c>
      <c r="N794" s="49">
        <v>3360.41</v>
      </c>
      <c r="O794" s="75">
        <v>8</v>
      </c>
      <c r="P794" s="54">
        <v>218.48000000000002</v>
      </c>
      <c r="Q794" s="54">
        <v>74.849999999999994</v>
      </c>
      <c r="R794" s="53">
        <f t="shared" si="38"/>
        <v>252.5</v>
      </c>
      <c r="S794" s="51">
        <v>1908.0700000000002</v>
      </c>
    </row>
    <row r="795" spans="1:19" ht="15" x14ac:dyDescent="0.25">
      <c r="A795" s="28"/>
      <c r="B795" s="45" t="str">
        <f t="shared" si="36"/>
        <v>Jan-2025</v>
      </c>
      <c r="C795" s="57">
        <v>45685</v>
      </c>
      <c r="D795" s="43">
        <f t="shared" si="37"/>
        <v>427</v>
      </c>
      <c r="E795" s="76">
        <v>1</v>
      </c>
      <c r="F795" s="50">
        <v>7</v>
      </c>
      <c r="G795" s="49">
        <v>4400</v>
      </c>
      <c r="H795" s="73">
        <v>7</v>
      </c>
      <c r="I795" s="52">
        <v>7</v>
      </c>
      <c r="J795" s="51">
        <v>1835.31</v>
      </c>
      <c r="K795" s="52"/>
      <c r="L795" s="51"/>
      <c r="M795" s="52">
        <v>5</v>
      </c>
      <c r="N795" s="49">
        <v>2760.33</v>
      </c>
      <c r="O795" s="75">
        <v>5</v>
      </c>
      <c r="P795" s="54">
        <v>195.64000000000001</v>
      </c>
      <c r="Q795" s="54">
        <v>8.81</v>
      </c>
      <c r="R795" s="53">
        <f t="shared" si="38"/>
        <v>220</v>
      </c>
      <c r="S795" s="51">
        <v>1835.31</v>
      </c>
    </row>
    <row r="796" spans="1:19" ht="15" x14ac:dyDescent="0.25">
      <c r="A796" s="28"/>
      <c r="B796" s="45" t="str">
        <f t="shared" si="36"/>
        <v>Jan-2025</v>
      </c>
      <c r="C796" s="57">
        <v>45686</v>
      </c>
      <c r="D796" s="43">
        <f t="shared" si="37"/>
        <v>426</v>
      </c>
      <c r="E796" s="76">
        <v>4</v>
      </c>
      <c r="F796" s="50">
        <v>5</v>
      </c>
      <c r="G796" s="49">
        <v>4100</v>
      </c>
      <c r="H796" s="73">
        <v>5</v>
      </c>
      <c r="I796" s="52">
        <v>5</v>
      </c>
      <c r="J796" s="51">
        <v>669.47</v>
      </c>
      <c r="K796" s="52"/>
      <c r="L796" s="51"/>
      <c r="M796" s="52">
        <v>3</v>
      </c>
      <c r="N796" s="49">
        <v>3508.07</v>
      </c>
      <c r="O796" s="75">
        <v>3</v>
      </c>
      <c r="P796" s="54">
        <v>77.539999999999992</v>
      </c>
      <c r="Q796" s="54">
        <v>8.07</v>
      </c>
      <c r="R796" s="53">
        <f t="shared" si="38"/>
        <v>205</v>
      </c>
      <c r="S796" s="51">
        <v>669.47</v>
      </c>
    </row>
    <row r="797" spans="1:19" ht="15" x14ac:dyDescent="0.25">
      <c r="A797" s="28"/>
      <c r="B797" s="45" t="str">
        <f t="shared" si="36"/>
        <v>Jan-2025</v>
      </c>
      <c r="C797" s="57">
        <v>45687</v>
      </c>
      <c r="D797" s="43">
        <f t="shared" si="37"/>
        <v>425</v>
      </c>
      <c r="E797" s="76">
        <v>5</v>
      </c>
      <c r="F797" s="50">
        <v>14</v>
      </c>
      <c r="G797" s="49">
        <v>8710</v>
      </c>
      <c r="H797" s="73">
        <v>14</v>
      </c>
      <c r="I797" s="52">
        <v>14</v>
      </c>
      <c r="J797" s="51">
        <v>1563.4800000000002</v>
      </c>
      <c r="K797" s="52"/>
      <c r="L797" s="51"/>
      <c r="M797" s="52">
        <v>13</v>
      </c>
      <c r="N797" s="49">
        <v>7346.34</v>
      </c>
      <c r="O797" s="75">
        <v>12</v>
      </c>
      <c r="P797" s="54">
        <v>199.82000000000005</v>
      </c>
      <c r="Q797" s="54">
        <v>36.340000000000003</v>
      </c>
      <c r="R797" s="53">
        <f t="shared" si="38"/>
        <v>435.5</v>
      </c>
      <c r="S797" s="51">
        <v>1563.4800000000002</v>
      </c>
    </row>
    <row r="798" spans="1:19" ht="15" x14ac:dyDescent="0.25">
      <c r="A798" s="28"/>
      <c r="B798" s="45" t="str">
        <f t="shared" si="36"/>
        <v>Jan-2025</v>
      </c>
      <c r="C798" s="57">
        <v>45688</v>
      </c>
      <c r="D798" s="43">
        <f t="shared" si="37"/>
        <v>424</v>
      </c>
      <c r="E798" s="76">
        <v>8</v>
      </c>
      <c r="F798" s="50">
        <v>12</v>
      </c>
      <c r="G798" s="49">
        <v>7400</v>
      </c>
      <c r="H798" s="73">
        <v>12</v>
      </c>
      <c r="I798" s="52">
        <v>12</v>
      </c>
      <c r="J798" s="51">
        <v>2450.8000000000002</v>
      </c>
      <c r="K798" s="52"/>
      <c r="L798" s="51"/>
      <c r="M798" s="52">
        <v>6</v>
      </c>
      <c r="N798" s="49">
        <v>5222.8500000000004</v>
      </c>
      <c r="O798" s="75">
        <v>6</v>
      </c>
      <c r="P798" s="54">
        <v>273.64999999999998</v>
      </c>
      <c r="Q798" s="54">
        <v>22.85</v>
      </c>
      <c r="R798" s="53">
        <f t="shared" si="38"/>
        <v>370</v>
      </c>
      <c r="S798" s="51">
        <v>2450.8000000000002</v>
      </c>
    </row>
    <row r="799" spans="1:19" ht="15" x14ac:dyDescent="0.25">
      <c r="A799" s="28"/>
      <c r="B799" s="45" t="str">
        <f t="shared" si="36"/>
        <v>Feb-2025</v>
      </c>
      <c r="C799" s="57">
        <v>45689</v>
      </c>
      <c r="D799" s="43">
        <f t="shared" si="37"/>
        <v>423</v>
      </c>
      <c r="E799" s="76">
        <v>5</v>
      </c>
      <c r="F799" s="50">
        <v>13</v>
      </c>
      <c r="G799" s="49">
        <v>10660</v>
      </c>
      <c r="H799" s="73">
        <v>13</v>
      </c>
      <c r="I799" s="52">
        <v>13</v>
      </c>
      <c r="J799" s="51">
        <v>3002.15</v>
      </c>
      <c r="K799" s="52"/>
      <c r="L799" s="51"/>
      <c r="M799" s="52">
        <v>8</v>
      </c>
      <c r="N799" s="49">
        <v>8088.99</v>
      </c>
      <c r="O799" s="75">
        <v>8</v>
      </c>
      <c r="P799" s="54">
        <v>431.13999999999993</v>
      </c>
      <c r="Q799" s="54">
        <v>128.99</v>
      </c>
      <c r="R799" s="53">
        <f t="shared" si="38"/>
        <v>533</v>
      </c>
      <c r="S799" s="51">
        <v>3002.1499999999996</v>
      </c>
    </row>
    <row r="800" spans="1:19" ht="15" x14ac:dyDescent="0.25">
      <c r="A800" s="28"/>
      <c r="B800" s="45" t="str">
        <f t="shared" si="36"/>
        <v>Feb-2025</v>
      </c>
      <c r="C800" s="57">
        <v>45690</v>
      </c>
      <c r="D800" s="43">
        <f t="shared" si="37"/>
        <v>422</v>
      </c>
      <c r="E800" s="76">
        <v>3</v>
      </c>
      <c r="F800" s="50">
        <v>6</v>
      </c>
      <c r="G800" s="49">
        <v>3100</v>
      </c>
      <c r="H800" s="73">
        <v>6</v>
      </c>
      <c r="I800" s="52">
        <v>6</v>
      </c>
      <c r="J800" s="51">
        <v>1003.1700000000001</v>
      </c>
      <c r="K800" s="52"/>
      <c r="L800" s="51"/>
      <c r="M800" s="52">
        <v>3</v>
      </c>
      <c r="N800" s="49">
        <v>2220.61</v>
      </c>
      <c r="O800" s="75">
        <v>3</v>
      </c>
      <c r="P800" s="54">
        <v>123.78</v>
      </c>
      <c r="Q800" s="54">
        <v>20.61</v>
      </c>
      <c r="R800" s="53">
        <f t="shared" si="38"/>
        <v>155</v>
      </c>
      <c r="S800" s="51">
        <v>1003.1700000000001</v>
      </c>
    </row>
    <row r="801" spans="1:19" ht="15" x14ac:dyDescent="0.25">
      <c r="A801" s="28"/>
      <c r="B801" s="45" t="str">
        <f t="shared" si="36"/>
        <v>Feb-2025</v>
      </c>
      <c r="C801" s="57">
        <v>45691</v>
      </c>
      <c r="D801" s="43">
        <f t="shared" si="37"/>
        <v>421</v>
      </c>
      <c r="E801" s="76">
        <v>5</v>
      </c>
      <c r="F801" s="50">
        <v>15</v>
      </c>
      <c r="G801" s="49">
        <v>8250</v>
      </c>
      <c r="H801" s="73">
        <v>14</v>
      </c>
      <c r="I801" s="52">
        <v>15</v>
      </c>
      <c r="J801" s="51">
        <v>4175.13</v>
      </c>
      <c r="K801" s="52">
        <v>1</v>
      </c>
      <c r="L801" s="51">
        <v>500.11</v>
      </c>
      <c r="M801" s="52">
        <v>11</v>
      </c>
      <c r="N801" s="49">
        <v>4524.01</v>
      </c>
      <c r="O801" s="75">
        <v>9</v>
      </c>
      <c r="P801" s="54">
        <v>449.14</v>
      </c>
      <c r="Q801" s="54">
        <v>24.009999999999998</v>
      </c>
      <c r="R801" s="53">
        <f t="shared" si="38"/>
        <v>412.5</v>
      </c>
      <c r="S801" s="51">
        <v>4175.13</v>
      </c>
    </row>
    <row r="802" spans="1:19" ht="15" x14ac:dyDescent="0.25">
      <c r="A802" s="28"/>
      <c r="B802" s="45" t="str">
        <f t="shared" si="36"/>
        <v>Feb-2025</v>
      </c>
      <c r="C802" s="57">
        <v>45692</v>
      </c>
      <c r="D802" s="43">
        <f t="shared" si="37"/>
        <v>420</v>
      </c>
      <c r="E802" s="76">
        <v>3</v>
      </c>
      <c r="F802" s="50">
        <v>12</v>
      </c>
      <c r="G802" s="49">
        <v>12030</v>
      </c>
      <c r="H802" s="73">
        <v>12</v>
      </c>
      <c r="I802" s="52">
        <v>12</v>
      </c>
      <c r="J802" s="51">
        <v>1224.24</v>
      </c>
      <c r="K802" s="52"/>
      <c r="L802" s="51"/>
      <c r="M802" s="52">
        <v>10</v>
      </c>
      <c r="N802" s="49">
        <v>10972.74</v>
      </c>
      <c r="O802" s="75">
        <v>10</v>
      </c>
      <c r="P802" s="54">
        <v>166.98000000000002</v>
      </c>
      <c r="Q802" s="54">
        <v>42.74</v>
      </c>
      <c r="R802" s="53">
        <f t="shared" si="38"/>
        <v>601.5</v>
      </c>
      <c r="S802" s="51">
        <v>1224.24</v>
      </c>
    </row>
    <row r="803" spans="1:19" ht="15" x14ac:dyDescent="0.25">
      <c r="A803" s="28"/>
      <c r="B803" s="45" t="str">
        <f t="shared" si="36"/>
        <v>Feb-2025</v>
      </c>
      <c r="C803" s="57">
        <v>45693</v>
      </c>
      <c r="D803" s="43">
        <f t="shared" si="37"/>
        <v>419</v>
      </c>
      <c r="E803" s="76">
        <v>2</v>
      </c>
      <c r="F803" s="50">
        <v>12</v>
      </c>
      <c r="G803" s="49">
        <v>9630</v>
      </c>
      <c r="H803" s="73">
        <v>12</v>
      </c>
      <c r="I803" s="52">
        <v>12</v>
      </c>
      <c r="J803" s="51">
        <v>1533.9</v>
      </c>
      <c r="K803" s="52"/>
      <c r="L803" s="51"/>
      <c r="M803" s="52">
        <v>15</v>
      </c>
      <c r="N803" s="49">
        <v>8353.86</v>
      </c>
      <c r="O803" s="75">
        <v>13</v>
      </c>
      <c r="P803" s="54">
        <v>257.76</v>
      </c>
      <c r="Q803" s="54">
        <v>103.86</v>
      </c>
      <c r="R803" s="53">
        <f t="shared" si="38"/>
        <v>481.5</v>
      </c>
      <c r="S803" s="51">
        <v>1533.9</v>
      </c>
    </row>
    <row r="804" spans="1:19" ht="15" x14ac:dyDescent="0.25">
      <c r="A804" s="28"/>
      <c r="B804" s="45" t="str">
        <f t="shared" si="36"/>
        <v>Feb-2025</v>
      </c>
      <c r="C804" s="57">
        <v>45694</v>
      </c>
      <c r="D804" s="43">
        <f t="shared" si="37"/>
        <v>418</v>
      </c>
      <c r="E804" s="76">
        <v>6</v>
      </c>
      <c r="F804" s="50">
        <v>13</v>
      </c>
      <c r="G804" s="49">
        <v>6950</v>
      </c>
      <c r="H804" s="73">
        <v>13</v>
      </c>
      <c r="I804" s="52">
        <v>13</v>
      </c>
      <c r="J804" s="51">
        <v>3445.5400000000009</v>
      </c>
      <c r="K804" s="52"/>
      <c r="L804" s="51"/>
      <c r="M804" s="52">
        <v>6</v>
      </c>
      <c r="N804" s="49">
        <v>3880.29</v>
      </c>
      <c r="O804" s="75">
        <v>6</v>
      </c>
      <c r="P804" s="54">
        <v>375.83000000000004</v>
      </c>
      <c r="Q804" s="54">
        <v>30.29</v>
      </c>
      <c r="R804" s="53">
        <f t="shared" si="38"/>
        <v>347.5</v>
      </c>
      <c r="S804" s="51">
        <v>3445.54</v>
      </c>
    </row>
    <row r="805" spans="1:19" ht="15" x14ac:dyDescent="0.25">
      <c r="A805" s="28"/>
      <c r="B805" s="45" t="str">
        <f t="shared" si="36"/>
        <v>Feb-2025</v>
      </c>
      <c r="C805" s="57">
        <v>45695</v>
      </c>
      <c r="D805" s="43">
        <f t="shared" si="37"/>
        <v>417</v>
      </c>
      <c r="E805" s="76">
        <v>4</v>
      </c>
      <c r="F805" s="50">
        <v>14</v>
      </c>
      <c r="G805" s="49">
        <v>10403</v>
      </c>
      <c r="H805" s="73">
        <v>14</v>
      </c>
      <c r="I805" s="52">
        <v>14</v>
      </c>
      <c r="J805" s="51">
        <v>1666.02</v>
      </c>
      <c r="K805" s="52">
        <v>3</v>
      </c>
      <c r="L805" s="51">
        <v>577.11</v>
      </c>
      <c r="M805" s="52">
        <v>18</v>
      </c>
      <c r="N805" s="49">
        <v>8932.9699999999993</v>
      </c>
      <c r="O805" s="75">
        <v>16</v>
      </c>
      <c r="P805" s="54">
        <v>195.98999999999998</v>
      </c>
      <c r="Q805" s="54">
        <v>29.970000000000002</v>
      </c>
      <c r="R805" s="53">
        <f t="shared" si="38"/>
        <v>520.15</v>
      </c>
      <c r="S805" s="51">
        <v>1666.02</v>
      </c>
    </row>
    <row r="806" spans="1:19" ht="15" x14ac:dyDescent="0.25">
      <c r="A806" s="28"/>
      <c r="B806" s="45" t="str">
        <f t="shared" si="36"/>
        <v>Feb-2025</v>
      </c>
      <c r="C806" s="57">
        <v>45696</v>
      </c>
      <c r="D806" s="43">
        <f t="shared" si="37"/>
        <v>416</v>
      </c>
      <c r="E806" s="76">
        <v>11</v>
      </c>
      <c r="F806" s="50">
        <v>11</v>
      </c>
      <c r="G806" s="49">
        <v>6700</v>
      </c>
      <c r="H806" s="73">
        <v>11</v>
      </c>
      <c r="I806" s="52">
        <v>11</v>
      </c>
      <c r="J806" s="51">
        <v>3886.4700000000003</v>
      </c>
      <c r="K806" s="52"/>
      <c r="L806" s="51"/>
      <c r="M806" s="52">
        <v>4</v>
      </c>
      <c r="N806" s="49">
        <v>3239.36</v>
      </c>
      <c r="O806" s="75">
        <v>4</v>
      </c>
      <c r="P806" s="54">
        <v>425.83</v>
      </c>
      <c r="Q806" s="54">
        <v>39.36</v>
      </c>
      <c r="R806" s="53">
        <f t="shared" si="38"/>
        <v>335</v>
      </c>
      <c r="S806" s="51">
        <v>3886.4700000000003</v>
      </c>
    </row>
    <row r="807" spans="1:19" ht="15" x14ac:dyDescent="0.25">
      <c r="A807" s="28"/>
      <c r="B807" s="45" t="str">
        <f t="shared" si="36"/>
        <v>Feb-2025</v>
      </c>
      <c r="C807" s="57">
        <v>45697</v>
      </c>
      <c r="D807" s="43">
        <f t="shared" si="37"/>
        <v>415</v>
      </c>
      <c r="E807" s="76">
        <v>2</v>
      </c>
      <c r="F807" s="50">
        <v>16</v>
      </c>
      <c r="G807" s="49">
        <v>12080</v>
      </c>
      <c r="H807" s="73">
        <v>16</v>
      </c>
      <c r="I807" s="52">
        <v>16</v>
      </c>
      <c r="J807" s="51">
        <v>3865.41</v>
      </c>
      <c r="K807" s="52"/>
      <c r="L807" s="51"/>
      <c r="M807" s="52">
        <v>9</v>
      </c>
      <c r="N807" s="49">
        <v>8632.4599999999991</v>
      </c>
      <c r="O807" s="75">
        <v>9</v>
      </c>
      <c r="P807" s="54">
        <v>417.87000000000006</v>
      </c>
      <c r="Q807" s="54">
        <v>32.46</v>
      </c>
      <c r="R807" s="53">
        <f t="shared" si="38"/>
        <v>604</v>
      </c>
      <c r="S807" s="51">
        <v>3865.41</v>
      </c>
    </row>
    <row r="808" spans="1:19" ht="15" x14ac:dyDescent="0.25">
      <c r="A808" s="28"/>
      <c r="B808" s="45" t="str">
        <f t="shared" si="36"/>
        <v>Feb-2025</v>
      </c>
      <c r="C808" s="57">
        <v>45698</v>
      </c>
      <c r="D808" s="43">
        <f t="shared" si="37"/>
        <v>414</v>
      </c>
      <c r="E808" s="76">
        <v>8</v>
      </c>
      <c r="F808" s="50">
        <v>12</v>
      </c>
      <c r="G808" s="49">
        <v>7700</v>
      </c>
      <c r="H808" s="73">
        <v>12</v>
      </c>
      <c r="I808" s="52">
        <v>12</v>
      </c>
      <c r="J808" s="51">
        <v>2557.6</v>
      </c>
      <c r="K808" s="52"/>
      <c r="L808" s="51"/>
      <c r="M808" s="52">
        <v>12</v>
      </c>
      <c r="N808" s="49">
        <v>5454.57</v>
      </c>
      <c r="O808" s="75">
        <v>12</v>
      </c>
      <c r="P808" s="54">
        <v>312.16999999999996</v>
      </c>
      <c r="Q808" s="54">
        <v>54.57</v>
      </c>
      <c r="R808" s="53">
        <f t="shared" si="38"/>
        <v>385</v>
      </c>
      <c r="S808" s="51">
        <v>2557.6</v>
      </c>
    </row>
    <row r="809" spans="1:19" ht="15" x14ac:dyDescent="0.25">
      <c r="A809" s="28"/>
      <c r="B809" s="45" t="str">
        <f t="shared" si="36"/>
        <v>Feb-2025</v>
      </c>
      <c r="C809" s="57">
        <v>45699</v>
      </c>
      <c r="D809" s="43">
        <f t="shared" si="37"/>
        <v>413</v>
      </c>
      <c r="E809" s="76">
        <v>8</v>
      </c>
      <c r="F809" s="50">
        <v>12</v>
      </c>
      <c r="G809" s="49">
        <v>5600</v>
      </c>
      <c r="H809" s="73">
        <v>12</v>
      </c>
      <c r="I809" s="52">
        <v>12</v>
      </c>
      <c r="J809" s="51">
        <v>2999.2400000000007</v>
      </c>
      <c r="K809" s="52"/>
      <c r="L809" s="51"/>
      <c r="M809" s="52">
        <v>5</v>
      </c>
      <c r="N809" s="49">
        <v>2964.9</v>
      </c>
      <c r="O809" s="75">
        <v>5</v>
      </c>
      <c r="P809" s="54">
        <v>364.14</v>
      </c>
      <c r="Q809" s="54">
        <v>64.899999999999991</v>
      </c>
      <c r="R809" s="53">
        <f t="shared" si="38"/>
        <v>280</v>
      </c>
      <c r="S809" s="51">
        <v>2999.2400000000002</v>
      </c>
    </row>
    <row r="810" spans="1:19" ht="15" x14ac:dyDescent="0.25">
      <c r="A810" s="28"/>
      <c r="B810" s="45" t="str">
        <f t="shared" si="36"/>
        <v>Feb-2025</v>
      </c>
      <c r="C810" s="57">
        <v>45700</v>
      </c>
      <c r="D810" s="43">
        <f t="shared" si="37"/>
        <v>412</v>
      </c>
      <c r="E810" s="76">
        <v>5</v>
      </c>
      <c r="F810" s="50">
        <v>13</v>
      </c>
      <c r="G810" s="49">
        <v>8100</v>
      </c>
      <c r="H810" s="73">
        <v>13</v>
      </c>
      <c r="I810" s="52">
        <v>13</v>
      </c>
      <c r="J810" s="51">
        <v>1776.6100000000001</v>
      </c>
      <c r="K810" s="52"/>
      <c r="L810" s="51"/>
      <c r="M810" s="52">
        <v>10</v>
      </c>
      <c r="N810" s="49">
        <v>6546.8</v>
      </c>
      <c r="O810" s="75">
        <v>10</v>
      </c>
      <c r="P810" s="54">
        <v>223.41000000000003</v>
      </c>
      <c r="Q810" s="54">
        <v>46.8</v>
      </c>
      <c r="R810" s="53">
        <f t="shared" si="38"/>
        <v>405</v>
      </c>
      <c r="S810" s="51">
        <v>1776.6100000000001</v>
      </c>
    </row>
    <row r="811" spans="1:19" ht="15" x14ac:dyDescent="0.25">
      <c r="A811" s="28"/>
      <c r="B811" s="45" t="str">
        <f t="shared" si="36"/>
        <v>Feb-2025</v>
      </c>
      <c r="C811" s="57">
        <v>45701</v>
      </c>
      <c r="D811" s="43">
        <f t="shared" si="37"/>
        <v>411</v>
      </c>
      <c r="E811" s="76">
        <v>9</v>
      </c>
      <c r="F811" s="50">
        <v>19</v>
      </c>
      <c r="G811" s="49">
        <v>10300</v>
      </c>
      <c r="H811" s="73">
        <v>19</v>
      </c>
      <c r="I811" s="52">
        <v>19</v>
      </c>
      <c r="J811" s="51">
        <v>4316.8900000000003</v>
      </c>
      <c r="K811" s="52"/>
      <c r="L811" s="51"/>
      <c r="M811" s="52">
        <v>12</v>
      </c>
      <c r="N811" s="49">
        <v>6425.93</v>
      </c>
      <c r="O811" s="75">
        <v>12</v>
      </c>
      <c r="P811" s="54">
        <v>442.81999999999988</v>
      </c>
      <c r="Q811" s="54">
        <v>25.93</v>
      </c>
      <c r="R811" s="53">
        <f t="shared" si="38"/>
        <v>515</v>
      </c>
      <c r="S811" s="51">
        <v>4316.8900000000003</v>
      </c>
    </row>
    <row r="812" spans="1:19" ht="15" x14ac:dyDescent="0.25">
      <c r="A812" s="28"/>
      <c r="B812" s="45" t="str">
        <f t="shared" si="36"/>
        <v>Feb-2025</v>
      </c>
      <c r="C812" s="57">
        <v>45702</v>
      </c>
      <c r="D812" s="43">
        <f t="shared" si="37"/>
        <v>410</v>
      </c>
      <c r="E812" s="76">
        <v>5</v>
      </c>
      <c r="F812" s="50">
        <v>16</v>
      </c>
      <c r="G812" s="49">
        <v>8910</v>
      </c>
      <c r="H812" s="73">
        <v>16</v>
      </c>
      <c r="I812" s="52">
        <v>16</v>
      </c>
      <c r="J812" s="51">
        <v>3880.8599999999997</v>
      </c>
      <c r="K812" s="52"/>
      <c r="L812" s="51"/>
      <c r="M812" s="52">
        <v>9</v>
      </c>
      <c r="N812" s="49">
        <v>5461.89</v>
      </c>
      <c r="O812" s="75">
        <v>9</v>
      </c>
      <c r="P812" s="54">
        <v>432.75000000000011</v>
      </c>
      <c r="Q812" s="54">
        <v>51.89</v>
      </c>
      <c r="R812" s="53">
        <f t="shared" si="38"/>
        <v>445.5</v>
      </c>
      <c r="S812" s="51">
        <v>3880.8599999999997</v>
      </c>
    </row>
    <row r="813" spans="1:19" ht="15" x14ac:dyDescent="0.25">
      <c r="A813" s="28"/>
      <c r="B813" s="45" t="str">
        <f t="shared" si="36"/>
        <v>Feb-2025</v>
      </c>
      <c r="C813" s="57">
        <v>45703</v>
      </c>
      <c r="D813" s="43">
        <f t="shared" si="37"/>
        <v>409</v>
      </c>
      <c r="E813" s="76">
        <v>1</v>
      </c>
      <c r="F813" s="50">
        <v>12</v>
      </c>
      <c r="G813" s="49">
        <v>6200</v>
      </c>
      <c r="H813" s="73">
        <v>12</v>
      </c>
      <c r="I813" s="52">
        <v>12</v>
      </c>
      <c r="J813" s="51">
        <v>224.9</v>
      </c>
      <c r="K813" s="52">
        <v>1</v>
      </c>
      <c r="L813" s="51">
        <v>100</v>
      </c>
      <c r="M813" s="52">
        <v>15</v>
      </c>
      <c r="N813" s="49">
        <v>6033.08</v>
      </c>
      <c r="O813" s="75">
        <v>14</v>
      </c>
      <c r="P813" s="54">
        <v>57.980000000000004</v>
      </c>
      <c r="Q813" s="54">
        <v>33.080000000000005</v>
      </c>
      <c r="R813" s="53">
        <f t="shared" si="38"/>
        <v>310</v>
      </c>
      <c r="S813" s="51">
        <v>224.9</v>
      </c>
    </row>
    <row r="814" spans="1:19" ht="15" x14ac:dyDescent="0.25">
      <c r="A814" s="28"/>
      <c r="B814" s="45" t="str">
        <f t="shared" si="36"/>
        <v>Feb-2025</v>
      </c>
      <c r="C814" s="57">
        <v>45704</v>
      </c>
      <c r="D814" s="43">
        <f t="shared" si="37"/>
        <v>408</v>
      </c>
      <c r="E814" s="76">
        <v>2</v>
      </c>
      <c r="F814" s="50">
        <v>15</v>
      </c>
      <c r="G814" s="49">
        <v>12300</v>
      </c>
      <c r="H814" s="73">
        <v>15</v>
      </c>
      <c r="I814" s="52">
        <v>15</v>
      </c>
      <c r="J814" s="51">
        <v>1333.1799999999998</v>
      </c>
      <c r="K814" s="52"/>
      <c r="L814" s="51"/>
      <c r="M814" s="52">
        <v>14</v>
      </c>
      <c r="N814" s="49">
        <v>11164.52</v>
      </c>
      <c r="O814" s="75">
        <v>14</v>
      </c>
      <c r="P814" s="54">
        <v>197.70000000000002</v>
      </c>
      <c r="Q814" s="54">
        <v>64.52000000000001</v>
      </c>
      <c r="R814" s="53">
        <f t="shared" si="38"/>
        <v>615</v>
      </c>
      <c r="S814" s="51">
        <v>1333.1799999999998</v>
      </c>
    </row>
    <row r="815" spans="1:19" ht="15" x14ac:dyDescent="0.25">
      <c r="A815" s="28"/>
      <c r="B815" s="45" t="str">
        <f t="shared" si="36"/>
        <v>Feb-2025</v>
      </c>
      <c r="C815" s="57">
        <v>45705</v>
      </c>
      <c r="D815" s="43">
        <f t="shared" si="37"/>
        <v>407</v>
      </c>
      <c r="E815" s="76">
        <v>7</v>
      </c>
      <c r="F815" s="50">
        <v>16</v>
      </c>
      <c r="G815" s="49">
        <v>7300</v>
      </c>
      <c r="H815" s="73">
        <v>16</v>
      </c>
      <c r="I815" s="52">
        <v>16</v>
      </c>
      <c r="J815" s="51">
        <v>2224.0700000000002</v>
      </c>
      <c r="K815" s="52"/>
      <c r="L815" s="51"/>
      <c r="M815" s="52">
        <v>10</v>
      </c>
      <c r="N815" s="49">
        <v>5317.66</v>
      </c>
      <c r="O815" s="75">
        <v>10</v>
      </c>
      <c r="P815" s="54">
        <v>241.72999999999996</v>
      </c>
      <c r="Q815" s="54">
        <v>17.66</v>
      </c>
      <c r="R815" s="53">
        <f t="shared" si="38"/>
        <v>365</v>
      </c>
      <c r="S815" s="51">
        <v>2224.0700000000002</v>
      </c>
    </row>
    <row r="816" spans="1:19" ht="15" x14ac:dyDescent="0.25">
      <c r="A816" s="28"/>
      <c r="B816" s="45" t="str">
        <f t="shared" si="36"/>
        <v>Feb-2025</v>
      </c>
      <c r="C816" s="57">
        <v>45706</v>
      </c>
      <c r="D816" s="43">
        <f t="shared" si="37"/>
        <v>406</v>
      </c>
      <c r="E816" s="76">
        <v>6</v>
      </c>
      <c r="F816" s="50">
        <v>16</v>
      </c>
      <c r="G816" s="49">
        <v>10400</v>
      </c>
      <c r="H816" s="73">
        <v>16</v>
      </c>
      <c r="I816" s="52">
        <v>16</v>
      </c>
      <c r="J816" s="51">
        <v>663.27</v>
      </c>
      <c r="K816" s="52"/>
      <c r="L816" s="51"/>
      <c r="M816" s="52">
        <v>20</v>
      </c>
      <c r="N816" s="49">
        <v>9861.25</v>
      </c>
      <c r="O816" s="75">
        <v>18</v>
      </c>
      <c r="P816" s="54">
        <v>124.52</v>
      </c>
      <c r="Q816" s="54">
        <v>58.35</v>
      </c>
      <c r="R816" s="53">
        <f t="shared" si="38"/>
        <v>520</v>
      </c>
      <c r="S816" s="51">
        <v>663.27</v>
      </c>
    </row>
    <row r="817" spans="1:19" ht="15" x14ac:dyDescent="0.25">
      <c r="A817" s="28"/>
      <c r="B817" s="45" t="str">
        <f t="shared" si="36"/>
        <v>Feb-2025</v>
      </c>
      <c r="C817" s="57">
        <v>45707</v>
      </c>
      <c r="D817" s="43">
        <f t="shared" si="37"/>
        <v>405</v>
      </c>
      <c r="E817" s="76">
        <v>4</v>
      </c>
      <c r="F817" s="50">
        <v>7</v>
      </c>
      <c r="G817" s="49">
        <v>6250</v>
      </c>
      <c r="H817" s="73">
        <v>7</v>
      </c>
      <c r="I817" s="52">
        <v>7</v>
      </c>
      <c r="J817" s="51">
        <v>2048.63</v>
      </c>
      <c r="K817" s="52"/>
      <c r="L817" s="51"/>
      <c r="M817" s="52">
        <v>5</v>
      </c>
      <c r="N817" s="49">
        <v>4420.84</v>
      </c>
      <c r="O817" s="75">
        <v>5</v>
      </c>
      <c r="P817" s="54">
        <v>219.46999999999997</v>
      </c>
      <c r="Q817" s="54">
        <v>20.84</v>
      </c>
      <c r="R817" s="53">
        <f t="shared" si="38"/>
        <v>312.5</v>
      </c>
      <c r="S817" s="51">
        <v>2048.63</v>
      </c>
    </row>
    <row r="818" spans="1:19" ht="15" x14ac:dyDescent="0.25">
      <c r="A818" s="28"/>
      <c r="B818" s="45" t="str">
        <f t="shared" si="36"/>
        <v>Feb-2025</v>
      </c>
      <c r="C818" s="57">
        <v>45708</v>
      </c>
      <c r="D818" s="43">
        <f t="shared" si="37"/>
        <v>404</v>
      </c>
      <c r="E818" s="76">
        <v>3</v>
      </c>
      <c r="F818" s="50">
        <v>11</v>
      </c>
      <c r="G818" s="49">
        <v>6200</v>
      </c>
      <c r="H818" s="73">
        <v>11</v>
      </c>
      <c r="I818" s="52">
        <v>11</v>
      </c>
      <c r="J818" s="51">
        <v>1331.8999999999999</v>
      </c>
      <c r="K818" s="52"/>
      <c r="L818" s="51"/>
      <c r="M818" s="52">
        <v>8</v>
      </c>
      <c r="N818" s="49">
        <v>5022.71</v>
      </c>
      <c r="O818" s="75">
        <v>8</v>
      </c>
      <c r="P818" s="54">
        <v>154.61000000000001</v>
      </c>
      <c r="Q818" s="54">
        <v>22.71</v>
      </c>
      <c r="R818" s="53">
        <f t="shared" si="38"/>
        <v>310</v>
      </c>
      <c r="S818" s="51">
        <v>1331.8999999999999</v>
      </c>
    </row>
    <row r="819" spans="1:19" ht="15" x14ac:dyDescent="0.25">
      <c r="A819" s="28"/>
      <c r="B819" s="45" t="str">
        <f t="shared" si="36"/>
        <v>Feb-2025</v>
      </c>
      <c r="C819" s="57">
        <v>45709</v>
      </c>
      <c r="D819" s="43">
        <f t="shared" si="37"/>
        <v>403</v>
      </c>
      <c r="E819" s="76">
        <v>1</v>
      </c>
      <c r="F819" s="50">
        <v>13</v>
      </c>
      <c r="G819" s="49">
        <v>9210</v>
      </c>
      <c r="H819" s="73">
        <v>13</v>
      </c>
      <c r="I819" s="52">
        <v>13</v>
      </c>
      <c r="J819" s="51">
        <v>3210.69</v>
      </c>
      <c r="K819" s="52">
        <v>1</v>
      </c>
      <c r="L819" s="51">
        <v>2</v>
      </c>
      <c r="M819" s="52">
        <v>14</v>
      </c>
      <c r="N819" s="49">
        <v>6366.51</v>
      </c>
      <c r="O819" s="75">
        <v>14</v>
      </c>
      <c r="P819" s="54">
        <v>367.19999999999993</v>
      </c>
      <c r="Q819" s="54">
        <v>54.86</v>
      </c>
      <c r="R819" s="53">
        <f t="shared" si="38"/>
        <v>460.5</v>
      </c>
      <c r="S819" s="51">
        <v>3210.69</v>
      </c>
    </row>
    <row r="820" spans="1:19" ht="15" x14ac:dyDescent="0.25">
      <c r="A820" s="28"/>
      <c r="B820" s="45" t="str">
        <f t="shared" si="36"/>
        <v>Feb-2025</v>
      </c>
      <c r="C820" s="57">
        <v>45710</v>
      </c>
      <c r="D820" s="43">
        <f t="shared" si="37"/>
        <v>402</v>
      </c>
      <c r="E820" s="76">
        <v>4</v>
      </c>
      <c r="F820" s="50">
        <v>9</v>
      </c>
      <c r="G820" s="49">
        <v>8398</v>
      </c>
      <c r="H820" s="73">
        <v>9</v>
      </c>
      <c r="I820" s="52">
        <v>9</v>
      </c>
      <c r="J820" s="51">
        <v>1409.67</v>
      </c>
      <c r="K820" s="52"/>
      <c r="L820" s="51"/>
      <c r="M820" s="52">
        <v>11</v>
      </c>
      <c r="N820" s="49">
        <v>7149.04</v>
      </c>
      <c r="O820" s="75">
        <v>9</v>
      </c>
      <c r="P820" s="54">
        <v>160.71</v>
      </c>
      <c r="Q820" s="54">
        <v>51.04</v>
      </c>
      <c r="R820" s="53">
        <f t="shared" si="38"/>
        <v>419.90000000000003</v>
      </c>
      <c r="S820" s="51">
        <v>1409.67</v>
      </c>
    </row>
    <row r="821" spans="1:19" ht="15" x14ac:dyDescent="0.25">
      <c r="A821" s="28"/>
      <c r="B821" s="45" t="str">
        <f t="shared" si="36"/>
        <v>Feb-2025</v>
      </c>
      <c r="C821" s="57">
        <v>45711</v>
      </c>
      <c r="D821" s="43">
        <f t="shared" si="37"/>
        <v>401</v>
      </c>
      <c r="E821" s="76">
        <v>2</v>
      </c>
      <c r="F821" s="50">
        <v>9</v>
      </c>
      <c r="G821" s="49">
        <v>4200</v>
      </c>
      <c r="H821" s="73">
        <v>9</v>
      </c>
      <c r="I821" s="52">
        <v>9</v>
      </c>
      <c r="J821" s="51">
        <v>1659.78</v>
      </c>
      <c r="K821" s="52"/>
      <c r="L821" s="51"/>
      <c r="M821" s="52">
        <v>6</v>
      </c>
      <c r="N821" s="49">
        <v>2713.43</v>
      </c>
      <c r="O821" s="75">
        <v>6</v>
      </c>
      <c r="P821" s="54">
        <v>173.20999999999998</v>
      </c>
      <c r="Q821" s="54">
        <v>13.43</v>
      </c>
      <c r="R821" s="53">
        <f t="shared" si="38"/>
        <v>210</v>
      </c>
      <c r="S821" s="51">
        <v>1659.78</v>
      </c>
    </row>
    <row r="822" spans="1:19" ht="15" x14ac:dyDescent="0.25">
      <c r="A822" s="28"/>
      <c r="B822" s="45" t="str">
        <f t="shared" si="36"/>
        <v>Feb-2025</v>
      </c>
      <c r="C822" s="57">
        <v>45712</v>
      </c>
      <c r="D822" s="43">
        <f t="shared" si="37"/>
        <v>400</v>
      </c>
      <c r="E822" s="76">
        <v>2</v>
      </c>
      <c r="F822" s="50">
        <v>13</v>
      </c>
      <c r="G822" s="49">
        <v>8100</v>
      </c>
      <c r="H822" s="73">
        <v>13</v>
      </c>
      <c r="I822" s="52">
        <v>13</v>
      </c>
      <c r="J822" s="51">
        <v>1171.5900000000001</v>
      </c>
      <c r="K822" s="52"/>
      <c r="L822" s="51"/>
      <c r="M822" s="52">
        <v>19</v>
      </c>
      <c r="N822" s="49">
        <v>7067.6</v>
      </c>
      <c r="O822" s="75">
        <v>18</v>
      </c>
      <c r="P822" s="54">
        <v>139.19</v>
      </c>
      <c r="Q822" s="54">
        <v>31.100000000000005</v>
      </c>
      <c r="R822" s="53">
        <f t="shared" si="38"/>
        <v>405</v>
      </c>
      <c r="S822" s="51">
        <v>1171.5900000000001</v>
      </c>
    </row>
    <row r="823" spans="1:19" ht="15" x14ac:dyDescent="0.25">
      <c r="A823" s="28"/>
      <c r="B823" s="45" t="str">
        <f t="shared" si="36"/>
        <v>Feb-2025</v>
      </c>
      <c r="C823" s="57">
        <v>45713</v>
      </c>
      <c r="D823" s="43">
        <f t="shared" si="37"/>
        <v>399</v>
      </c>
      <c r="E823" s="76">
        <v>1</v>
      </c>
      <c r="F823" s="50">
        <v>15</v>
      </c>
      <c r="G823" s="49">
        <v>7700</v>
      </c>
      <c r="H823" s="73">
        <v>14</v>
      </c>
      <c r="I823" s="52">
        <v>15</v>
      </c>
      <c r="J823" s="51">
        <v>1276.98</v>
      </c>
      <c r="K823" s="52">
        <v>1</v>
      </c>
      <c r="L823" s="51">
        <v>100.02</v>
      </c>
      <c r="M823" s="52">
        <v>19</v>
      </c>
      <c r="N823" s="49">
        <v>6574.98</v>
      </c>
      <c r="O823" s="75">
        <v>14</v>
      </c>
      <c r="P823" s="54">
        <v>151.96</v>
      </c>
      <c r="Q823" s="54">
        <v>34.820000000000007</v>
      </c>
      <c r="R823" s="53">
        <f t="shared" si="38"/>
        <v>385</v>
      </c>
      <c r="S823" s="51">
        <v>1276.98</v>
      </c>
    </row>
    <row r="824" spans="1:19" ht="15" x14ac:dyDescent="0.25">
      <c r="A824" s="28"/>
      <c r="B824" s="45" t="str">
        <f t="shared" si="36"/>
        <v>Feb-2025</v>
      </c>
      <c r="C824" s="57">
        <v>45714</v>
      </c>
      <c r="D824" s="43">
        <f t="shared" si="37"/>
        <v>398</v>
      </c>
      <c r="E824" s="76">
        <v>9</v>
      </c>
      <c r="F824" s="50">
        <v>15</v>
      </c>
      <c r="G824" s="49">
        <v>6950</v>
      </c>
      <c r="H824" s="73">
        <v>15</v>
      </c>
      <c r="I824" s="52">
        <v>15</v>
      </c>
      <c r="J824" s="51">
        <v>2269.5099999999998</v>
      </c>
      <c r="K824" s="52"/>
      <c r="L824" s="51"/>
      <c r="M824" s="52">
        <v>16</v>
      </c>
      <c r="N824" s="49">
        <v>4944.95</v>
      </c>
      <c r="O824" s="75">
        <v>14</v>
      </c>
      <c r="P824" s="54">
        <v>264.46000000000004</v>
      </c>
      <c r="Q824" s="54">
        <v>44.949999999999996</v>
      </c>
      <c r="R824" s="53">
        <f t="shared" si="38"/>
        <v>347.5</v>
      </c>
      <c r="S824" s="51">
        <v>2269.5099999999998</v>
      </c>
    </row>
    <row r="825" spans="1:19" ht="15" x14ac:dyDescent="0.25">
      <c r="A825" s="28"/>
      <c r="B825" s="45" t="str">
        <f t="shared" si="36"/>
        <v>Feb-2025</v>
      </c>
      <c r="C825" s="57">
        <v>45715</v>
      </c>
      <c r="D825" s="43">
        <f t="shared" si="37"/>
        <v>397</v>
      </c>
      <c r="E825" s="76">
        <v>13</v>
      </c>
      <c r="F825" s="50">
        <v>31</v>
      </c>
      <c r="G825" s="49">
        <v>20098</v>
      </c>
      <c r="H825" s="73">
        <v>31</v>
      </c>
      <c r="I825" s="52">
        <v>31</v>
      </c>
      <c r="J825" s="51">
        <v>6084.07</v>
      </c>
      <c r="K825" s="52">
        <v>1</v>
      </c>
      <c r="L825" s="51">
        <v>500.11</v>
      </c>
      <c r="M825" s="52">
        <v>28</v>
      </c>
      <c r="N825" s="49">
        <v>14708.14</v>
      </c>
      <c r="O825" s="75">
        <v>26</v>
      </c>
      <c r="P825" s="54">
        <v>694.21</v>
      </c>
      <c r="Q825" s="54">
        <v>110.13999999999999</v>
      </c>
      <c r="R825" s="53">
        <f t="shared" si="38"/>
        <v>1004.9000000000001</v>
      </c>
      <c r="S825" s="51">
        <v>6084.0699999999988</v>
      </c>
    </row>
    <row r="826" spans="1:19" ht="15" x14ac:dyDescent="0.25">
      <c r="A826" s="28"/>
      <c r="B826" s="45" t="str">
        <f t="shared" si="36"/>
        <v>Feb-2025</v>
      </c>
      <c r="C826" s="57">
        <v>45716</v>
      </c>
      <c r="D826" s="43">
        <f t="shared" si="37"/>
        <v>396</v>
      </c>
      <c r="E826" s="76">
        <v>4</v>
      </c>
      <c r="F826" s="50">
        <v>25</v>
      </c>
      <c r="G826" s="49">
        <v>15615</v>
      </c>
      <c r="H826" s="73">
        <v>25</v>
      </c>
      <c r="I826" s="52">
        <v>25</v>
      </c>
      <c r="J826" s="51">
        <v>2322.7800000000002</v>
      </c>
      <c r="K826" s="52">
        <v>1</v>
      </c>
      <c r="L826" s="51">
        <v>500.11</v>
      </c>
      <c r="M826" s="52">
        <v>23</v>
      </c>
      <c r="N826" s="49">
        <v>13678.63</v>
      </c>
      <c r="O826" s="75">
        <v>22</v>
      </c>
      <c r="P826" s="54">
        <v>386.40999999999997</v>
      </c>
      <c r="Q826" s="54">
        <v>163.91000000000003</v>
      </c>
      <c r="R826" s="53">
        <f t="shared" si="38"/>
        <v>780.75</v>
      </c>
      <c r="S826" s="51">
        <v>2322.7800000000002</v>
      </c>
    </row>
    <row r="827" spans="1:19" ht="15" x14ac:dyDescent="0.25">
      <c r="A827" s="28"/>
      <c r="B827" s="45" t="str">
        <f t="shared" si="36"/>
        <v>Mar-2025</v>
      </c>
      <c r="C827" s="57">
        <v>45717</v>
      </c>
      <c r="D827" s="43">
        <f t="shared" si="37"/>
        <v>395</v>
      </c>
      <c r="E827" s="76">
        <v>2</v>
      </c>
      <c r="F827" s="50">
        <v>12</v>
      </c>
      <c r="G827" s="49">
        <v>7919</v>
      </c>
      <c r="H827" s="73">
        <v>12</v>
      </c>
      <c r="I827" s="52">
        <v>12</v>
      </c>
      <c r="J827" s="51">
        <v>840.95</v>
      </c>
      <c r="K827" s="52">
        <v>1</v>
      </c>
      <c r="L827" s="51">
        <v>25</v>
      </c>
      <c r="M827" s="52">
        <v>17</v>
      </c>
      <c r="N827" s="49">
        <v>7272.3</v>
      </c>
      <c r="O827" s="75">
        <v>14</v>
      </c>
      <c r="P827" s="54">
        <v>194.25</v>
      </c>
      <c r="Q827" s="54">
        <v>113.86</v>
      </c>
      <c r="R827" s="53">
        <f t="shared" si="38"/>
        <v>395.95000000000005</v>
      </c>
      <c r="S827" s="51">
        <v>840.95</v>
      </c>
    </row>
    <row r="828" spans="1:19" ht="15" x14ac:dyDescent="0.25">
      <c r="A828" s="28"/>
      <c r="B828" s="45" t="str">
        <f t="shared" si="36"/>
        <v>Mar-2025</v>
      </c>
      <c r="C828" s="57">
        <v>45718</v>
      </c>
      <c r="D828" s="43">
        <f t="shared" si="37"/>
        <v>394</v>
      </c>
      <c r="E828" s="76">
        <v>1</v>
      </c>
      <c r="F828" s="50">
        <v>7</v>
      </c>
      <c r="G828" s="49">
        <v>4200</v>
      </c>
      <c r="H828" s="73">
        <v>7</v>
      </c>
      <c r="I828" s="52">
        <v>7</v>
      </c>
      <c r="J828" s="51">
        <v>112</v>
      </c>
      <c r="K828" s="52">
        <v>1</v>
      </c>
      <c r="L828" s="51">
        <v>100.02</v>
      </c>
      <c r="M828" s="52">
        <v>10</v>
      </c>
      <c r="N828" s="49">
        <v>4129.29</v>
      </c>
      <c r="O828" s="75">
        <v>8</v>
      </c>
      <c r="P828" s="54">
        <v>41.29</v>
      </c>
      <c r="Q828" s="54">
        <v>29.29</v>
      </c>
      <c r="R828" s="53">
        <f t="shared" si="38"/>
        <v>210</v>
      </c>
      <c r="S828" s="51">
        <v>112</v>
      </c>
    </row>
    <row r="829" spans="1:19" ht="15" x14ac:dyDescent="0.25">
      <c r="A829" s="28"/>
      <c r="B829" s="45" t="str">
        <f t="shared" si="36"/>
        <v>Mar-2025</v>
      </c>
      <c r="C829" s="57">
        <v>45719</v>
      </c>
      <c r="D829" s="43">
        <f t="shared" si="37"/>
        <v>393</v>
      </c>
      <c r="E829" s="76">
        <v>1</v>
      </c>
      <c r="F829" s="50">
        <v>10</v>
      </c>
      <c r="G829" s="49">
        <v>6930</v>
      </c>
      <c r="H829" s="73">
        <v>10</v>
      </c>
      <c r="I829" s="52">
        <v>10</v>
      </c>
      <c r="J829" s="51">
        <v>2595.1999999999998</v>
      </c>
      <c r="K829" s="52"/>
      <c r="L829" s="51"/>
      <c r="M829" s="52">
        <v>7</v>
      </c>
      <c r="N829" s="49">
        <v>4605.9399999999996</v>
      </c>
      <c r="O829" s="75">
        <v>6</v>
      </c>
      <c r="P829" s="54">
        <v>271.14000000000004</v>
      </c>
      <c r="Q829" s="54">
        <v>26.200000000000006</v>
      </c>
      <c r="R829" s="53">
        <f t="shared" si="38"/>
        <v>346.5</v>
      </c>
      <c r="S829" s="51">
        <v>2595.2000000000003</v>
      </c>
    </row>
    <row r="830" spans="1:19" ht="15" x14ac:dyDescent="0.25">
      <c r="A830" s="28"/>
      <c r="B830" s="45" t="str">
        <f t="shared" si="36"/>
        <v>Mar-2025</v>
      </c>
      <c r="C830" s="57">
        <v>45720</v>
      </c>
      <c r="D830" s="43">
        <f t="shared" si="37"/>
        <v>392</v>
      </c>
      <c r="E830" s="76">
        <v>6</v>
      </c>
      <c r="F830" s="50">
        <v>11</v>
      </c>
      <c r="G830" s="49">
        <v>11930</v>
      </c>
      <c r="H830" s="73">
        <v>11</v>
      </c>
      <c r="I830" s="52">
        <v>11</v>
      </c>
      <c r="J830" s="51">
        <v>1324.18</v>
      </c>
      <c r="K830" s="52"/>
      <c r="L830" s="51"/>
      <c r="M830" s="52">
        <v>23</v>
      </c>
      <c r="N830" s="49">
        <v>10832.93</v>
      </c>
      <c r="O830" s="75">
        <v>21</v>
      </c>
      <c r="P830" s="54">
        <v>227.11000000000004</v>
      </c>
      <c r="Q830" s="54">
        <v>102.92999999999999</v>
      </c>
      <c r="R830" s="53">
        <f t="shared" si="38"/>
        <v>596.5</v>
      </c>
      <c r="S830" s="51">
        <v>1324.18</v>
      </c>
    </row>
    <row r="831" spans="1:19" ht="15" x14ac:dyDescent="0.25">
      <c r="A831" s="28"/>
      <c r="B831" s="45" t="str">
        <f t="shared" si="36"/>
        <v>Mar-2025</v>
      </c>
      <c r="C831" s="57">
        <v>45721</v>
      </c>
      <c r="D831" s="43">
        <f t="shared" si="37"/>
        <v>391</v>
      </c>
      <c r="E831" s="76">
        <v>10</v>
      </c>
      <c r="F831" s="50">
        <v>16</v>
      </c>
      <c r="G831" s="49">
        <v>10000</v>
      </c>
      <c r="H831" s="73">
        <v>16</v>
      </c>
      <c r="I831" s="52">
        <v>16</v>
      </c>
      <c r="J831" s="51">
        <v>2485.7799999999997</v>
      </c>
      <c r="K831" s="52">
        <v>2</v>
      </c>
      <c r="L831" s="51">
        <v>950.11</v>
      </c>
      <c r="M831" s="52">
        <v>10</v>
      </c>
      <c r="N831" s="49">
        <v>7793.68</v>
      </c>
      <c r="O831" s="75">
        <v>10</v>
      </c>
      <c r="P831" s="54">
        <v>279.45999999999998</v>
      </c>
      <c r="Q831" s="54">
        <v>43.79</v>
      </c>
      <c r="R831" s="53">
        <f t="shared" si="38"/>
        <v>500</v>
      </c>
      <c r="S831" s="51">
        <v>2485.7800000000002</v>
      </c>
    </row>
    <row r="832" spans="1:19" ht="15" x14ac:dyDescent="0.25">
      <c r="A832" s="28"/>
      <c r="B832" s="45" t="str">
        <f t="shared" si="36"/>
        <v>Mar-2025</v>
      </c>
      <c r="C832" s="57">
        <v>45722</v>
      </c>
      <c r="D832" s="43">
        <f t="shared" si="37"/>
        <v>390</v>
      </c>
      <c r="E832" s="76">
        <v>2</v>
      </c>
      <c r="F832" s="50">
        <v>10</v>
      </c>
      <c r="G832" s="49">
        <v>6500</v>
      </c>
      <c r="H832" s="73">
        <v>10</v>
      </c>
      <c r="I832" s="52">
        <v>10</v>
      </c>
      <c r="J832" s="51">
        <v>2207.3200000000002</v>
      </c>
      <c r="K832" s="52"/>
      <c r="L832" s="51"/>
      <c r="M832" s="52">
        <v>7</v>
      </c>
      <c r="N832" s="49">
        <v>4517.04</v>
      </c>
      <c r="O832" s="75">
        <v>7</v>
      </c>
      <c r="P832" s="54">
        <v>224.35999999999999</v>
      </c>
      <c r="Q832" s="54">
        <v>17.04</v>
      </c>
      <c r="R832" s="53">
        <f t="shared" si="38"/>
        <v>325</v>
      </c>
      <c r="S832" s="51">
        <v>2207.3200000000002</v>
      </c>
    </row>
    <row r="833" spans="1:19" ht="15" x14ac:dyDescent="0.25">
      <c r="A833" s="28"/>
      <c r="B833" s="45" t="str">
        <f t="shared" si="36"/>
        <v>Mar-2025</v>
      </c>
      <c r="C833" s="57">
        <v>45723</v>
      </c>
      <c r="D833" s="43">
        <f t="shared" si="37"/>
        <v>389</v>
      </c>
      <c r="E833" s="76">
        <v>7</v>
      </c>
      <c r="F833" s="50">
        <v>12</v>
      </c>
      <c r="G833" s="49">
        <v>5519</v>
      </c>
      <c r="H833" s="73">
        <v>12</v>
      </c>
      <c r="I833" s="52">
        <v>12</v>
      </c>
      <c r="J833" s="51">
        <v>775.40000000000009</v>
      </c>
      <c r="K833" s="52"/>
      <c r="L833" s="51"/>
      <c r="M833" s="52">
        <v>12</v>
      </c>
      <c r="N833" s="49">
        <v>4838.49</v>
      </c>
      <c r="O833" s="75">
        <v>11</v>
      </c>
      <c r="P833" s="54">
        <v>94.89</v>
      </c>
      <c r="Q833" s="54">
        <v>19.489999999999998</v>
      </c>
      <c r="R833" s="53">
        <f t="shared" si="38"/>
        <v>275.95</v>
      </c>
      <c r="S833" s="51">
        <v>775.40000000000009</v>
      </c>
    </row>
    <row r="834" spans="1:19" ht="15" x14ac:dyDescent="0.25">
      <c r="A834" s="28"/>
      <c r="B834" s="45" t="str">
        <f t="shared" si="36"/>
        <v>Mar-2025</v>
      </c>
      <c r="C834" s="57">
        <v>45724</v>
      </c>
      <c r="D834" s="43">
        <f t="shared" si="37"/>
        <v>388</v>
      </c>
      <c r="E834" s="76">
        <v>3</v>
      </c>
      <c r="F834" s="50">
        <v>12</v>
      </c>
      <c r="G834" s="49">
        <v>8050</v>
      </c>
      <c r="H834" s="73">
        <v>12</v>
      </c>
      <c r="I834" s="52">
        <v>12</v>
      </c>
      <c r="J834" s="51">
        <v>2205.13</v>
      </c>
      <c r="K834" s="52"/>
      <c r="L834" s="51"/>
      <c r="M834" s="52">
        <v>13</v>
      </c>
      <c r="N834" s="49">
        <v>6099.3</v>
      </c>
      <c r="O834" s="75">
        <v>11</v>
      </c>
      <c r="P834" s="54">
        <v>254.42999999999998</v>
      </c>
      <c r="Q834" s="54">
        <v>90.669999999999987</v>
      </c>
      <c r="R834" s="53">
        <f t="shared" si="38"/>
        <v>402.5</v>
      </c>
      <c r="S834" s="51">
        <v>2205.13</v>
      </c>
    </row>
    <row r="835" spans="1:19" ht="15" x14ac:dyDescent="0.25">
      <c r="A835" s="28"/>
      <c r="B835" s="45" t="str">
        <f t="shared" si="36"/>
        <v>Mar-2025</v>
      </c>
      <c r="C835" s="57">
        <v>45725</v>
      </c>
      <c r="D835" s="43">
        <f t="shared" si="37"/>
        <v>387</v>
      </c>
      <c r="E835" s="76">
        <v>3</v>
      </c>
      <c r="F835" s="50">
        <v>11</v>
      </c>
      <c r="G835" s="49">
        <v>5300</v>
      </c>
      <c r="H835" s="73">
        <v>11</v>
      </c>
      <c r="I835" s="52">
        <v>11</v>
      </c>
      <c r="J835" s="51">
        <v>1550.04</v>
      </c>
      <c r="K835" s="52"/>
      <c r="L835" s="51"/>
      <c r="M835" s="52">
        <v>6</v>
      </c>
      <c r="N835" s="49">
        <v>3941.62</v>
      </c>
      <c r="O835" s="75">
        <v>6</v>
      </c>
      <c r="P835" s="54">
        <v>191.66000000000003</v>
      </c>
      <c r="Q835" s="54">
        <v>41.620000000000005</v>
      </c>
      <c r="R835" s="53">
        <f t="shared" si="38"/>
        <v>265</v>
      </c>
      <c r="S835" s="51">
        <v>1550.04</v>
      </c>
    </row>
    <row r="836" spans="1:19" ht="15" x14ac:dyDescent="0.25">
      <c r="A836" s="28"/>
      <c r="B836" s="45" t="str">
        <f t="shared" si="36"/>
        <v>Mar-2025</v>
      </c>
      <c r="C836" s="57">
        <v>45726</v>
      </c>
      <c r="D836" s="43">
        <f t="shared" si="37"/>
        <v>386</v>
      </c>
      <c r="E836" s="76">
        <v>5</v>
      </c>
      <c r="F836" s="50">
        <v>13</v>
      </c>
      <c r="G836" s="49">
        <v>7500</v>
      </c>
      <c r="H836" s="73">
        <v>13</v>
      </c>
      <c r="I836" s="52">
        <v>13</v>
      </c>
      <c r="J836" s="51">
        <v>2209.06</v>
      </c>
      <c r="K836" s="52">
        <v>1</v>
      </c>
      <c r="L836" s="51">
        <v>500.11</v>
      </c>
      <c r="M836" s="52">
        <v>8</v>
      </c>
      <c r="N836" s="49">
        <v>5524.21</v>
      </c>
      <c r="O836" s="75">
        <v>8</v>
      </c>
      <c r="P836" s="54">
        <v>233.27000000000004</v>
      </c>
      <c r="Q836" s="54">
        <v>24.21</v>
      </c>
      <c r="R836" s="53">
        <f t="shared" si="38"/>
        <v>375</v>
      </c>
      <c r="S836" s="51">
        <v>2209.0600000000004</v>
      </c>
    </row>
    <row r="837" spans="1:19" ht="15" x14ac:dyDescent="0.25">
      <c r="A837" s="28"/>
      <c r="B837" s="45" t="str">
        <f t="shared" si="36"/>
        <v>Mar-2025</v>
      </c>
      <c r="C837" s="57">
        <v>45727</v>
      </c>
      <c r="D837" s="43">
        <f t="shared" si="37"/>
        <v>385</v>
      </c>
      <c r="E837" s="76">
        <v>3</v>
      </c>
      <c r="F837" s="50">
        <v>10</v>
      </c>
      <c r="G837" s="49">
        <v>5898</v>
      </c>
      <c r="H837" s="73">
        <v>10</v>
      </c>
      <c r="I837" s="52">
        <v>10</v>
      </c>
      <c r="J837" s="51">
        <v>551.17999999999995</v>
      </c>
      <c r="K837" s="52"/>
      <c r="L837" s="51"/>
      <c r="M837" s="52">
        <v>16</v>
      </c>
      <c r="N837" s="49">
        <v>5420.54</v>
      </c>
      <c r="O837" s="75">
        <v>13</v>
      </c>
      <c r="P837" s="54">
        <v>73.72</v>
      </c>
      <c r="Q837" s="54">
        <v>22.54</v>
      </c>
      <c r="R837" s="53">
        <f t="shared" si="38"/>
        <v>294.90000000000003</v>
      </c>
      <c r="S837" s="51">
        <v>551.17999999999995</v>
      </c>
    </row>
    <row r="838" spans="1:19" ht="15" x14ac:dyDescent="0.25">
      <c r="A838" s="28"/>
      <c r="B838" s="45" t="str">
        <f t="shared" si="36"/>
        <v>Mar-2025</v>
      </c>
      <c r="C838" s="57">
        <v>45728</v>
      </c>
      <c r="D838" s="43">
        <f t="shared" si="37"/>
        <v>384</v>
      </c>
      <c r="E838" s="76">
        <v>2</v>
      </c>
      <c r="F838" s="50">
        <v>13</v>
      </c>
      <c r="G838" s="49">
        <v>9100</v>
      </c>
      <c r="H838" s="73">
        <v>13</v>
      </c>
      <c r="I838" s="52">
        <v>13</v>
      </c>
      <c r="J838" s="51">
        <v>2096.2999999999997</v>
      </c>
      <c r="K838" s="52"/>
      <c r="L838" s="51"/>
      <c r="M838" s="52">
        <v>10</v>
      </c>
      <c r="N838" s="49">
        <v>7230.65</v>
      </c>
      <c r="O838" s="75">
        <v>9</v>
      </c>
      <c r="P838" s="54">
        <v>226.95000000000002</v>
      </c>
      <c r="Q838" s="54">
        <v>30.65</v>
      </c>
      <c r="R838" s="53">
        <f t="shared" si="38"/>
        <v>455</v>
      </c>
      <c r="S838" s="51">
        <v>2096.3000000000002</v>
      </c>
    </row>
    <row r="839" spans="1:19" ht="15" x14ac:dyDescent="0.25">
      <c r="A839" s="28"/>
      <c r="B839" s="45" t="str">
        <f t="shared" ref="B839:B903" si="39">TEXT(C839,"MMM-YYYY")</f>
        <v>Mar-2025</v>
      </c>
      <c r="C839" s="57">
        <v>45729</v>
      </c>
      <c r="D839" s="43">
        <f t="shared" ref="D839:D903" si="40">$A$1-C839</f>
        <v>383</v>
      </c>
      <c r="E839" s="76">
        <v>1</v>
      </c>
      <c r="F839" s="50">
        <v>12</v>
      </c>
      <c r="G839" s="49">
        <v>7785</v>
      </c>
      <c r="H839" s="73">
        <v>12</v>
      </c>
      <c r="I839" s="52">
        <v>12</v>
      </c>
      <c r="J839" s="51">
        <v>1764.4299999999998</v>
      </c>
      <c r="K839" s="52"/>
      <c r="L839" s="51"/>
      <c r="M839" s="52">
        <v>19</v>
      </c>
      <c r="N839" s="49">
        <v>6238.12</v>
      </c>
      <c r="O839" s="75">
        <v>17</v>
      </c>
      <c r="P839" s="54">
        <v>217.54999999999998</v>
      </c>
      <c r="Q839" s="54">
        <v>53.120000000000005</v>
      </c>
      <c r="R839" s="53">
        <f t="shared" ref="R839:R903" si="41">G839*5%</f>
        <v>389.25</v>
      </c>
      <c r="S839" s="51">
        <v>1764.4299999999998</v>
      </c>
    </row>
    <row r="840" spans="1:19" ht="15" x14ac:dyDescent="0.25">
      <c r="A840" s="28"/>
      <c r="B840" s="45" t="str">
        <f t="shared" si="39"/>
        <v>Mar-2025</v>
      </c>
      <c r="C840" s="57">
        <v>45730</v>
      </c>
      <c r="D840" s="43">
        <f t="shared" si="40"/>
        <v>382</v>
      </c>
      <c r="E840" s="76">
        <v>6</v>
      </c>
      <c r="F840" s="50">
        <v>12</v>
      </c>
      <c r="G840" s="49">
        <v>5800</v>
      </c>
      <c r="H840" s="73">
        <v>12</v>
      </c>
      <c r="I840" s="52">
        <v>12</v>
      </c>
      <c r="J840" s="51">
        <v>1983.5099999999998</v>
      </c>
      <c r="K840" s="52"/>
      <c r="L840" s="51"/>
      <c r="M840" s="52">
        <v>11</v>
      </c>
      <c r="N840" s="49">
        <v>4049.91</v>
      </c>
      <c r="O840" s="75">
        <v>9</v>
      </c>
      <c r="P840" s="54">
        <v>233.42</v>
      </c>
      <c r="Q840" s="54">
        <v>49.910000000000004</v>
      </c>
      <c r="R840" s="53">
        <f t="shared" si="41"/>
        <v>290</v>
      </c>
      <c r="S840" s="51">
        <v>1983.51</v>
      </c>
    </row>
    <row r="841" spans="1:19" ht="15" x14ac:dyDescent="0.25">
      <c r="A841" s="28"/>
      <c r="B841" s="45" t="str">
        <f t="shared" si="39"/>
        <v>Mar-2025</v>
      </c>
      <c r="C841" s="57">
        <v>45731</v>
      </c>
      <c r="D841" s="43">
        <f t="shared" si="40"/>
        <v>381</v>
      </c>
      <c r="E841" s="76">
        <v>1</v>
      </c>
      <c r="F841" s="50">
        <v>5</v>
      </c>
      <c r="G841" s="49">
        <v>2600</v>
      </c>
      <c r="H841" s="73">
        <v>5</v>
      </c>
      <c r="I841" s="52">
        <v>5</v>
      </c>
      <c r="J841" s="51">
        <v>662.27</v>
      </c>
      <c r="K841" s="52"/>
      <c r="L841" s="51"/>
      <c r="M841" s="52">
        <v>3</v>
      </c>
      <c r="N841" s="49">
        <v>2018.92</v>
      </c>
      <c r="O841" s="75">
        <v>3</v>
      </c>
      <c r="P841" s="54">
        <v>81.19</v>
      </c>
      <c r="Q841" s="54">
        <v>18.919999999999998</v>
      </c>
      <c r="R841" s="53">
        <f t="shared" si="41"/>
        <v>130</v>
      </c>
      <c r="S841" s="51">
        <v>662.27</v>
      </c>
    </row>
    <row r="842" spans="1:19" ht="15" x14ac:dyDescent="0.25">
      <c r="A842" s="28"/>
      <c r="B842" s="45" t="str">
        <f t="shared" si="39"/>
        <v>Mar-2025</v>
      </c>
      <c r="C842" s="57">
        <v>45732</v>
      </c>
      <c r="D842" s="43">
        <f t="shared" si="40"/>
        <v>380</v>
      </c>
      <c r="E842" s="76">
        <v>3</v>
      </c>
      <c r="F842" s="50">
        <v>13</v>
      </c>
      <c r="G842" s="49">
        <v>7768</v>
      </c>
      <c r="H842" s="73">
        <v>13</v>
      </c>
      <c r="I842" s="52">
        <v>13</v>
      </c>
      <c r="J842" s="51">
        <v>2313.6999999999998</v>
      </c>
      <c r="K842" s="52"/>
      <c r="L842" s="51"/>
      <c r="M842" s="52">
        <v>14</v>
      </c>
      <c r="N842" s="49">
        <v>5692.83</v>
      </c>
      <c r="O842" s="75">
        <v>13</v>
      </c>
      <c r="P842" s="54">
        <v>238.53000000000003</v>
      </c>
      <c r="Q842" s="54">
        <v>24.830000000000002</v>
      </c>
      <c r="R842" s="53">
        <f t="shared" si="41"/>
        <v>388.40000000000003</v>
      </c>
      <c r="S842" s="51">
        <v>2313.6999999999998</v>
      </c>
    </row>
    <row r="843" spans="1:19" ht="15" x14ac:dyDescent="0.25">
      <c r="A843" s="28"/>
      <c r="B843" s="45" t="str">
        <f t="shared" si="39"/>
        <v>Mar-2025</v>
      </c>
      <c r="C843" s="57">
        <v>45733</v>
      </c>
      <c r="D843" s="43">
        <f t="shared" si="40"/>
        <v>379</v>
      </c>
      <c r="E843" s="76">
        <v>6</v>
      </c>
      <c r="F843" s="50">
        <v>9</v>
      </c>
      <c r="G843" s="49">
        <v>5100</v>
      </c>
      <c r="H843" s="73">
        <v>9</v>
      </c>
      <c r="I843" s="52">
        <v>9</v>
      </c>
      <c r="J843" s="51">
        <v>1323.8999999999999</v>
      </c>
      <c r="K843" s="52"/>
      <c r="L843" s="51"/>
      <c r="M843" s="52">
        <v>5</v>
      </c>
      <c r="N843" s="49">
        <v>3921.15</v>
      </c>
      <c r="O843" s="75">
        <v>5</v>
      </c>
      <c r="P843" s="54">
        <v>145.05000000000001</v>
      </c>
      <c r="Q843" s="54">
        <v>21.15</v>
      </c>
      <c r="R843" s="53">
        <f t="shared" si="41"/>
        <v>255</v>
      </c>
      <c r="S843" s="51">
        <v>1323.8999999999999</v>
      </c>
    </row>
    <row r="844" spans="1:19" ht="15" x14ac:dyDescent="0.25">
      <c r="A844" s="28"/>
      <c r="B844" s="45" t="str">
        <f t="shared" si="39"/>
        <v>Mar-2025</v>
      </c>
      <c r="C844" s="57">
        <v>45734</v>
      </c>
      <c r="D844" s="43">
        <f t="shared" si="40"/>
        <v>378</v>
      </c>
      <c r="E844" s="76">
        <v>9</v>
      </c>
      <c r="F844" s="50">
        <v>16</v>
      </c>
      <c r="G844" s="49">
        <v>8550</v>
      </c>
      <c r="H844" s="73">
        <v>16</v>
      </c>
      <c r="I844" s="52">
        <v>16</v>
      </c>
      <c r="J844" s="51">
        <v>3586.0299999999997</v>
      </c>
      <c r="K844" s="52">
        <v>1</v>
      </c>
      <c r="L844" s="51">
        <v>28.15</v>
      </c>
      <c r="M844" s="52">
        <v>14</v>
      </c>
      <c r="N844" s="49">
        <v>5324.06</v>
      </c>
      <c r="O844" s="75">
        <v>12</v>
      </c>
      <c r="P844" s="54">
        <v>360.09000000000003</v>
      </c>
      <c r="Q844" s="54">
        <v>24.06</v>
      </c>
      <c r="R844" s="53">
        <f t="shared" si="41"/>
        <v>427.5</v>
      </c>
      <c r="S844" s="51">
        <v>3586.03</v>
      </c>
    </row>
    <row r="845" spans="1:19" ht="15" x14ac:dyDescent="0.25">
      <c r="A845" s="28"/>
      <c r="B845" s="45" t="str">
        <f t="shared" si="39"/>
        <v>Mar-2025</v>
      </c>
      <c r="C845" s="57">
        <v>45735</v>
      </c>
      <c r="D845" s="43">
        <f t="shared" si="40"/>
        <v>377</v>
      </c>
      <c r="E845" s="76">
        <v>9</v>
      </c>
      <c r="F845" s="50">
        <v>8</v>
      </c>
      <c r="G845" s="49">
        <v>3400</v>
      </c>
      <c r="H845" s="73">
        <v>8</v>
      </c>
      <c r="I845" s="52">
        <v>8</v>
      </c>
      <c r="J845" s="51">
        <v>3079.4399999999996</v>
      </c>
      <c r="K845" s="52"/>
      <c r="L845" s="51"/>
      <c r="M845" s="52">
        <v>5</v>
      </c>
      <c r="N845" s="49">
        <v>605.64</v>
      </c>
      <c r="O845" s="75">
        <v>5</v>
      </c>
      <c r="P845" s="54">
        <v>285.08000000000004</v>
      </c>
      <c r="Q845" s="54">
        <v>5.64</v>
      </c>
      <c r="R845" s="53">
        <f t="shared" si="41"/>
        <v>170</v>
      </c>
      <c r="S845" s="51">
        <v>3079.4399999999996</v>
      </c>
    </row>
    <row r="846" spans="1:19" ht="15" x14ac:dyDescent="0.25">
      <c r="A846" s="28"/>
      <c r="B846" s="45" t="str">
        <f t="shared" si="39"/>
        <v>Mar-2025</v>
      </c>
      <c r="C846" s="57">
        <v>45736</v>
      </c>
      <c r="D846" s="43">
        <f t="shared" si="40"/>
        <v>376</v>
      </c>
      <c r="F846" s="50">
        <v>13</v>
      </c>
      <c r="G846" s="49">
        <v>6800</v>
      </c>
      <c r="H846" s="73">
        <v>13</v>
      </c>
      <c r="I846" s="52">
        <v>13</v>
      </c>
      <c r="J846" s="51">
        <v>222.92</v>
      </c>
      <c r="K846" s="52">
        <v>1</v>
      </c>
      <c r="L846" s="51">
        <v>72</v>
      </c>
      <c r="M846" s="52">
        <v>14</v>
      </c>
      <c r="N846" s="49">
        <v>6657.33</v>
      </c>
      <c r="O846" s="75">
        <v>14</v>
      </c>
      <c r="P846" s="54">
        <v>80.25</v>
      </c>
      <c r="Q846" s="54">
        <v>57.33</v>
      </c>
      <c r="R846" s="53">
        <f t="shared" si="41"/>
        <v>340</v>
      </c>
      <c r="S846" s="51">
        <v>222.92</v>
      </c>
    </row>
    <row r="847" spans="1:19" ht="15" x14ac:dyDescent="0.25">
      <c r="A847" s="28"/>
      <c r="B847" s="45" t="str">
        <f t="shared" si="39"/>
        <v>Mar-2025</v>
      </c>
      <c r="C847" s="57">
        <v>45737</v>
      </c>
      <c r="D847" s="43">
        <f t="shared" si="40"/>
        <v>375</v>
      </c>
      <c r="E847" s="76">
        <v>9</v>
      </c>
      <c r="F847" s="50">
        <v>15</v>
      </c>
      <c r="G847" s="49">
        <v>15248</v>
      </c>
      <c r="H847" s="73">
        <v>15</v>
      </c>
      <c r="I847" s="52">
        <v>15</v>
      </c>
      <c r="J847" s="51">
        <v>5060.3500000000004</v>
      </c>
      <c r="K847" s="52"/>
      <c r="L847" s="51"/>
      <c r="M847" s="52">
        <v>12</v>
      </c>
      <c r="N847" s="49">
        <v>10695.81</v>
      </c>
      <c r="O847" s="75">
        <v>10</v>
      </c>
      <c r="P847" s="54">
        <v>508.16</v>
      </c>
      <c r="Q847" s="54">
        <v>47.81</v>
      </c>
      <c r="R847" s="53">
        <f t="shared" si="41"/>
        <v>762.40000000000009</v>
      </c>
      <c r="S847" s="51">
        <v>5060.3500000000004</v>
      </c>
    </row>
    <row r="848" spans="1:19" ht="15" x14ac:dyDescent="0.25">
      <c r="A848" s="28"/>
      <c r="B848" s="45" t="str">
        <f t="shared" si="39"/>
        <v>Mar-2025</v>
      </c>
      <c r="C848" s="57">
        <v>45738</v>
      </c>
      <c r="D848" s="43">
        <f t="shared" si="40"/>
        <v>374</v>
      </c>
      <c r="E848" s="76">
        <v>8</v>
      </c>
      <c r="F848" s="50">
        <v>22</v>
      </c>
      <c r="G848" s="49">
        <v>11400</v>
      </c>
      <c r="H848" s="73">
        <v>22</v>
      </c>
      <c r="I848" s="52">
        <v>22</v>
      </c>
      <c r="J848" s="51">
        <v>4618.33</v>
      </c>
      <c r="K848" s="52"/>
      <c r="L848" s="51"/>
      <c r="M848" s="52">
        <v>15</v>
      </c>
      <c r="N848" s="49">
        <v>7275.15</v>
      </c>
      <c r="O848" s="75">
        <v>15</v>
      </c>
      <c r="P848" s="54">
        <v>493.48000000000008</v>
      </c>
      <c r="Q848" s="54">
        <v>75.150000000000006</v>
      </c>
      <c r="R848" s="53">
        <f t="shared" si="41"/>
        <v>570</v>
      </c>
      <c r="S848" s="51">
        <v>4618.33</v>
      </c>
    </row>
    <row r="849" spans="1:19" ht="15" x14ac:dyDescent="0.25">
      <c r="A849" s="28"/>
      <c r="B849" s="45" t="str">
        <f t="shared" si="39"/>
        <v>Mar-2025</v>
      </c>
      <c r="C849" s="57">
        <v>45739</v>
      </c>
      <c r="D849" s="43">
        <f t="shared" si="40"/>
        <v>373</v>
      </c>
      <c r="E849" s="76">
        <v>4</v>
      </c>
      <c r="F849" s="50">
        <v>9</v>
      </c>
      <c r="G849" s="49">
        <v>4880</v>
      </c>
      <c r="H849" s="73">
        <v>9</v>
      </c>
      <c r="I849" s="52">
        <v>9</v>
      </c>
      <c r="J849" s="51">
        <v>222.74</v>
      </c>
      <c r="K849" s="52"/>
      <c r="L849" s="51"/>
      <c r="M849" s="52">
        <v>8</v>
      </c>
      <c r="N849" s="49">
        <v>4696.7700000000004</v>
      </c>
      <c r="O849" s="75">
        <v>7</v>
      </c>
      <c r="P849" s="54">
        <v>39.51</v>
      </c>
      <c r="Q849" s="54">
        <v>16.769999999999996</v>
      </c>
      <c r="R849" s="53">
        <f t="shared" si="41"/>
        <v>244</v>
      </c>
      <c r="S849" s="51">
        <v>222.74</v>
      </c>
    </row>
    <row r="850" spans="1:19" ht="15" x14ac:dyDescent="0.25">
      <c r="A850" s="28"/>
      <c r="B850" s="45" t="str">
        <f t="shared" si="39"/>
        <v>Mar-2025</v>
      </c>
      <c r="C850" s="57">
        <v>45740</v>
      </c>
      <c r="D850" s="43">
        <f t="shared" si="40"/>
        <v>372</v>
      </c>
      <c r="E850" s="76">
        <v>8</v>
      </c>
      <c r="F850" s="50">
        <v>7</v>
      </c>
      <c r="G850" s="49">
        <v>3400</v>
      </c>
      <c r="H850" s="73">
        <v>7</v>
      </c>
      <c r="I850" s="52">
        <v>7</v>
      </c>
      <c r="J850" s="51">
        <v>1759.8100000000002</v>
      </c>
      <c r="K850" s="52"/>
      <c r="L850" s="51"/>
      <c r="M850" s="52">
        <v>3</v>
      </c>
      <c r="N850" s="49">
        <v>1802.91</v>
      </c>
      <c r="O850" s="75">
        <v>3</v>
      </c>
      <c r="P850" s="54">
        <v>162.72</v>
      </c>
      <c r="Q850" s="54">
        <v>2.91</v>
      </c>
      <c r="R850" s="53">
        <f t="shared" si="41"/>
        <v>170</v>
      </c>
      <c r="S850" s="51">
        <v>1759.8100000000002</v>
      </c>
    </row>
    <row r="851" spans="1:19" ht="15" x14ac:dyDescent="0.25">
      <c r="A851" s="28"/>
      <c r="B851" s="45" t="str">
        <f t="shared" si="39"/>
        <v>Mar-2025</v>
      </c>
      <c r="C851" s="57">
        <v>45741</v>
      </c>
      <c r="D851" s="43">
        <f t="shared" si="40"/>
        <v>371</v>
      </c>
      <c r="E851" s="76">
        <v>7</v>
      </c>
      <c r="F851" s="50">
        <v>20</v>
      </c>
      <c r="G851" s="49">
        <v>15098</v>
      </c>
      <c r="H851" s="73">
        <v>19</v>
      </c>
      <c r="I851" s="52">
        <v>20</v>
      </c>
      <c r="J851" s="51">
        <v>3630.09</v>
      </c>
      <c r="K851" s="52">
        <v>2</v>
      </c>
      <c r="L851" s="51">
        <v>700.11</v>
      </c>
      <c r="M851" s="52">
        <v>22</v>
      </c>
      <c r="N851" s="49">
        <v>11832.5</v>
      </c>
      <c r="O851" s="75">
        <v>20</v>
      </c>
      <c r="P851" s="54">
        <v>364.59000000000003</v>
      </c>
      <c r="Q851" s="54">
        <v>34.5</v>
      </c>
      <c r="R851" s="53">
        <f t="shared" si="41"/>
        <v>754.90000000000009</v>
      </c>
      <c r="S851" s="51">
        <v>3630.09</v>
      </c>
    </row>
    <row r="852" spans="1:19" ht="15" x14ac:dyDescent="0.25">
      <c r="A852" s="28"/>
      <c r="B852" s="45" t="str">
        <f t="shared" si="39"/>
        <v>Mar-2025</v>
      </c>
      <c r="C852" s="57">
        <v>45742</v>
      </c>
      <c r="D852" s="43">
        <f t="shared" si="40"/>
        <v>370</v>
      </c>
      <c r="E852" s="76">
        <v>3</v>
      </c>
      <c r="F852" s="50">
        <v>11</v>
      </c>
      <c r="G852" s="49">
        <v>6250</v>
      </c>
      <c r="H852" s="73">
        <v>11</v>
      </c>
      <c r="I852" s="52">
        <v>11</v>
      </c>
      <c r="J852" s="51">
        <v>111.28</v>
      </c>
      <c r="K852" s="52">
        <v>2</v>
      </c>
      <c r="L852" s="51">
        <v>1795.35</v>
      </c>
      <c r="M852" s="52">
        <v>19</v>
      </c>
      <c r="N852" s="49">
        <v>6169.34</v>
      </c>
      <c r="O852" s="75">
        <v>14</v>
      </c>
      <c r="P852" s="54">
        <v>30.619999999999994</v>
      </c>
      <c r="Q852" s="54">
        <v>19.339999999999996</v>
      </c>
      <c r="R852" s="53">
        <f t="shared" si="41"/>
        <v>312.5</v>
      </c>
      <c r="S852" s="51">
        <v>111.28</v>
      </c>
    </row>
    <row r="853" spans="1:19" ht="15" x14ac:dyDescent="0.25">
      <c r="A853" s="28"/>
      <c r="B853" s="45" t="str">
        <f t="shared" si="39"/>
        <v>Mar-2025</v>
      </c>
      <c r="C853" s="57">
        <v>45743</v>
      </c>
      <c r="D853" s="43">
        <f t="shared" si="40"/>
        <v>369</v>
      </c>
      <c r="E853" s="76">
        <v>8</v>
      </c>
      <c r="F853" s="50">
        <v>16</v>
      </c>
      <c r="G853" s="49">
        <v>9098</v>
      </c>
      <c r="H853" s="73">
        <v>16</v>
      </c>
      <c r="I853" s="52">
        <v>16</v>
      </c>
      <c r="J853" s="51">
        <v>2314.8000000000002</v>
      </c>
      <c r="K853" s="52"/>
      <c r="L853" s="51"/>
      <c r="M853" s="52">
        <v>10</v>
      </c>
      <c r="N853" s="49">
        <v>7015.64</v>
      </c>
      <c r="O853" s="75">
        <v>9</v>
      </c>
      <c r="P853" s="54">
        <v>232.43999999999997</v>
      </c>
      <c r="Q853" s="54">
        <v>17.639999999999997</v>
      </c>
      <c r="R853" s="53">
        <f t="shared" si="41"/>
        <v>454.90000000000003</v>
      </c>
      <c r="S853" s="51">
        <v>2314.8000000000002</v>
      </c>
    </row>
    <row r="854" spans="1:19" ht="15" x14ac:dyDescent="0.25">
      <c r="A854" s="28"/>
      <c r="B854" s="45" t="str">
        <f t="shared" si="39"/>
        <v>Mar-2025</v>
      </c>
      <c r="C854" s="57">
        <v>45744</v>
      </c>
      <c r="D854" s="43">
        <f t="shared" si="40"/>
        <v>368</v>
      </c>
      <c r="E854" s="76">
        <v>1</v>
      </c>
      <c r="F854" s="50">
        <v>8</v>
      </c>
      <c r="G854" s="49">
        <v>4500</v>
      </c>
      <c r="H854" s="73">
        <v>8</v>
      </c>
      <c r="I854" s="52">
        <v>8</v>
      </c>
      <c r="J854" s="51">
        <v>2083.3200000000002</v>
      </c>
      <c r="K854" s="52"/>
      <c r="L854" s="51"/>
      <c r="M854" s="52">
        <v>7</v>
      </c>
      <c r="N854" s="49">
        <v>2606.94</v>
      </c>
      <c r="O854" s="75">
        <v>6</v>
      </c>
      <c r="P854" s="54">
        <v>190.26</v>
      </c>
      <c r="Q854" s="54">
        <v>8.1499999999999986</v>
      </c>
      <c r="R854" s="53">
        <f t="shared" si="41"/>
        <v>225</v>
      </c>
      <c r="S854" s="51">
        <v>2083.3200000000002</v>
      </c>
    </row>
    <row r="855" spans="1:19" ht="15" x14ac:dyDescent="0.25">
      <c r="A855" s="28"/>
      <c r="B855" s="45" t="str">
        <f t="shared" si="39"/>
        <v>Mar-2025</v>
      </c>
      <c r="C855" s="57">
        <v>45745</v>
      </c>
      <c r="D855" s="43">
        <f t="shared" si="40"/>
        <v>367</v>
      </c>
      <c r="E855" s="76">
        <v>15</v>
      </c>
      <c r="F855" s="50">
        <v>17</v>
      </c>
      <c r="G855" s="49">
        <v>11200</v>
      </c>
      <c r="H855" s="73">
        <v>17</v>
      </c>
      <c r="I855" s="52">
        <v>17</v>
      </c>
      <c r="J855" s="51">
        <v>3300.1500000000005</v>
      </c>
      <c r="K855" s="52"/>
      <c r="L855" s="51"/>
      <c r="M855" s="52">
        <v>7</v>
      </c>
      <c r="N855" s="49">
        <v>8240.25</v>
      </c>
      <c r="O855" s="75">
        <v>7</v>
      </c>
      <c r="P855" s="54">
        <v>340.40000000000003</v>
      </c>
      <c r="Q855" s="54">
        <v>40.25</v>
      </c>
      <c r="R855" s="53">
        <f t="shared" si="41"/>
        <v>560</v>
      </c>
      <c r="S855" s="51">
        <v>3300.1500000000005</v>
      </c>
    </row>
    <row r="856" spans="1:19" ht="15" x14ac:dyDescent="0.25">
      <c r="A856" s="28"/>
      <c r="B856" s="45" t="str">
        <f t="shared" si="39"/>
        <v>Mar-2025</v>
      </c>
      <c r="C856" s="57">
        <v>45746</v>
      </c>
      <c r="D856" s="43">
        <f t="shared" si="40"/>
        <v>366</v>
      </c>
      <c r="E856" s="76">
        <v>11</v>
      </c>
      <c r="F856" s="50">
        <v>21</v>
      </c>
      <c r="G856" s="49">
        <v>8498</v>
      </c>
      <c r="H856" s="73">
        <v>21</v>
      </c>
      <c r="I856" s="52">
        <v>21</v>
      </c>
      <c r="J856" s="51">
        <v>3195.2799999999997</v>
      </c>
      <c r="K856" s="52"/>
      <c r="L856" s="51"/>
      <c r="M856" s="52">
        <v>11</v>
      </c>
      <c r="N856" s="49">
        <v>5619.4</v>
      </c>
      <c r="O856" s="75">
        <v>10</v>
      </c>
      <c r="P856" s="54">
        <v>316.68000000000006</v>
      </c>
      <c r="Q856" s="54">
        <v>21.4</v>
      </c>
      <c r="R856" s="53">
        <f t="shared" si="41"/>
        <v>424.90000000000003</v>
      </c>
      <c r="S856" s="51">
        <v>3195.2799999999997</v>
      </c>
    </row>
    <row r="857" spans="1:19" ht="15" x14ac:dyDescent="0.25">
      <c r="A857" s="28"/>
      <c r="B857" s="45" t="str">
        <f t="shared" si="39"/>
        <v>Mar-2025</v>
      </c>
      <c r="C857" s="57">
        <v>45747</v>
      </c>
      <c r="D857" s="43">
        <f t="shared" si="40"/>
        <v>365</v>
      </c>
      <c r="E857" s="76">
        <v>29</v>
      </c>
      <c r="F857" s="50">
        <v>34</v>
      </c>
      <c r="G857" s="49">
        <v>16000</v>
      </c>
      <c r="H857" s="73">
        <v>34</v>
      </c>
      <c r="I857" s="52">
        <v>34</v>
      </c>
      <c r="J857" s="51">
        <v>10225.429999999997</v>
      </c>
      <c r="K857" s="52">
        <v>1</v>
      </c>
      <c r="L857" s="51">
        <v>700.15</v>
      </c>
      <c r="M857" s="52">
        <v>7</v>
      </c>
      <c r="N857" s="49">
        <v>6720.67</v>
      </c>
      <c r="O857" s="75">
        <v>7</v>
      </c>
      <c r="P857" s="54">
        <v>946.09999999999968</v>
      </c>
      <c r="Q857" s="54">
        <v>20.669999999999998</v>
      </c>
      <c r="R857" s="53">
        <f t="shared" si="41"/>
        <v>800</v>
      </c>
      <c r="S857" s="51">
        <v>10225.429999999997</v>
      </c>
    </row>
    <row r="858" spans="1:19" s="97" customFormat="1" ht="15" x14ac:dyDescent="0.25">
      <c r="A858" s="84"/>
      <c r="B858" s="85"/>
      <c r="C858" s="86"/>
      <c r="D858" s="87"/>
      <c r="E858" s="88"/>
      <c r="F858" s="89"/>
      <c r="G858" s="83">
        <f>SUM(G827:G857)</f>
        <v>242221</v>
      </c>
      <c r="H858" s="90"/>
      <c r="I858" s="92"/>
      <c r="J858" s="93"/>
      <c r="K858" s="92"/>
      <c r="L858" s="93"/>
      <c r="M858" s="92"/>
      <c r="N858" s="83"/>
      <c r="O858" s="94"/>
      <c r="P858" s="98"/>
      <c r="Q858" s="98"/>
      <c r="R858" s="96"/>
      <c r="S858" s="93"/>
    </row>
    <row r="859" spans="1:19" ht="15" x14ac:dyDescent="0.25">
      <c r="A859" s="28"/>
      <c r="B859" s="45" t="str">
        <f t="shared" si="39"/>
        <v>Apr-2025</v>
      </c>
      <c r="C859" s="57">
        <v>45748</v>
      </c>
      <c r="D859" s="43">
        <f t="shared" si="40"/>
        <v>364</v>
      </c>
      <c r="E859" s="76">
        <v>4</v>
      </c>
      <c r="F859" s="50">
        <v>26</v>
      </c>
      <c r="G859" s="49">
        <v>13650</v>
      </c>
      <c r="H859" s="73">
        <v>26</v>
      </c>
      <c r="I859" s="52">
        <v>26</v>
      </c>
      <c r="J859" s="51">
        <v>4939.6499999999996</v>
      </c>
      <c r="K859" s="52"/>
      <c r="L859" s="51"/>
      <c r="M859" s="52">
        <v>20</v>
      </c>
      <c r="N859" s="49">
        <v>9231.02</v>
      </c>
      <c r="O859" s="75">
        <v>19</v>
      </c>
      <c r="P859" s="54">
        <v>520.66999999999996</v>
      </c>
      <c r="Q859" s="54">
        <v>81.02</v>
      </c>
      <c r="R859" s="53">
        <f t="shared" si="41"/>
        <v>682.5</v>
      </c>
      <c r="S859" s="51">
        <v>4939.6500000000005</v>
      </c>
    </row>
    <row r="860" spans="1:19" ht="15" x14ac:dyDescent="0.25">
      <c r="A860" s="28"/>
      <c r="B860" s="45" t="str">
        <f t="shared" si="39"/>
        <v>Apr-2025</v>
      </c>
      <c r="C860" s="57">
        <v>45749</v>
      </c>
      <c r="D860" s="43">
        <f t="shared" si="40"/>
        <v>363</v>
      </c>
      <c r="E860" s="76">
        <v>3</v>
      </c>
      <c r="F860" s="50">
        <v>12</v>
      </c>
      <c r="G860" s="49">
        <v>8680</v>
      </c>
      <c r="H860" s="73">
        <v>12</v>
      </c>
      <c r="I860" s="52">
        <v>12</v>
      </c>
      <c r="J860" s="51">
        <v>1644.96</v>
      </c>
      <c r="K860" s="52"/>
      <c r="L860" s="51"/>
      <c r="M860" s="52">
        <v>18</v>
      </c>
      <c r="N860" s="49">
        <v>7216.15</v>
      </c>
      <c r="O860" s="75">
        <v>14</v>
      </c>
      <c r="P860" s="54">
        <v>181.11</v>
      </c>
      <c r="Q860" s="54">
        <v>36.150000000000006</v>
      </c>
      <c r="R860" s="53">
        <f t="shared" si="41"/>
        <v>434</v>
      </c>
      <c r="S860" s="51">
        <v>1644.96</v>
      </c>
    </row>
    <row r="861" spans="1:19" ht="15" x14ac:dyDescent="0.25">
      <c r="A861" s="28"/>
      <c r="B861" s="45" t="str">
        <f t="shared" si="39"/>
        <v>Apr-2025</v>
      </c>
      <c r="C861" s="57">
        <v>45750</v>
      </c>
      <c r="D861" s="43">
        <f t="shared" si="40"/>
        <v>362</v>
      </c>
      <c r="E861" s="76">
        <v>4</v>
      </c>
      <c r="F861" s="50">
        <v>12</v>
      </c>
      <c r="G861" s="49">
        <v>5400</v>
      </c>
      <c r="H861" s="73">
        <v>12</v>
      </c>
      <c r="I861" s="52">
        <v>12</v>
      </c>
      <c r="J861" s="51">
        <v>1755.6100000000001</v>
      </c>
      <c r="K861" s="52"/>
      <c r="L861" s="51"/>
      <c r="M861" s="52">
        <v>10</v>
      </c>
      <c r="N861" s="49">
        <v>3833.6</v>
      </c>
      <c r="O861" s="75">
        <v>10</v>
      </c>
      <c r="P861" s="54">
        <v>189.21</v>
      </c>
      <c r="Q861" s="54">
        <v>33.6</v>
      </c>
      <c r="R861" s="53">
        <f t="shared" si="41"/>
        <v>270</v>
      </c>
      <c r="S861" s="51">
        <v>1755.6100000000001</v>
      </c>
    </row>
    <row r="862" spans="1:19" ht="15" x14ac:dyDescent="0.25">
      <c r="A862" s="28"/>
      <c r="B862" s="45" t="str">
        <f t="shared" si="39"/>
        <v>Apr-2025</v>
      </c>
      <c r="C862" s="57">
        <v>45751</v>
      </c>
      <c r="D862" s="43">
        <f t="shared" si="40"/>
        <v>361</v>
      </c>
      <c r="E862" s="76">
        <v>2</v>
      </c>
      <c r="F862" s="50">
        <v>13</v>
      </c>
      <c r="G862" s="49">
        <v>8278</v>
      </c>
      <c r="H862" s="73">
        <v>13</v>
      </c>
      <c r="I862" s="52">
        <v>13</v>
      </c>
      <c r="J862" s="51">
        <v>2031.0699999999997</v>
      </c>
      <c r="K862" s="52"/>
      <c r="L862" s="51"/>
      <c r="M862" s="52">
        <v>17</v>
      </c>
      <c r="N862" s="49">
        <v>6459.01</v>
      </c>
      <c r="O862" s="75">
        <v>13</v>
      </c>
      <c r="P862" s="54">
        <v>212.07999999999998</v>
      </c>
      <c r="Q862" s="54">
        <v>32.830000000000005</v>
      </c>
      <c r="R862" s="53">
        <f t="shared" si="41"/>
        <v>413.90000000000003</v>
      </c>
      <c r="S862" s="51">
        <v>2031.0699999999997</v>
      </c>
    </row>
    <row r="863" spans="1:19" ht="15" x14ac:dyDescent="0.25">
      <c r="A863" s="28"/>
      <c r="B863" s="45" t="str">
        <f t="shared" si="39"/>
        <v>Apr-2025</v>
      </c>
      <c r="C863" s="57">
        <v>45752</v>
      </c>
      <c r="D863" s="43">
        <f t="shared" si="40"/>
        <v>360</v>
      </c>
      <c r="E863" s="76">
        <v>4</v>
      </c>
      <c r="F863" s="50">
        <v>10</v>
      </c>
      <c r="G863" s="49">
        <v>7030</v>
      </c>
      <c r="H863" s="73">
        <v>10</v>
      </c>
      <c r="I863" s="52">
        <v>10</v>
      </c>
      <c r="J863" s="51">
        <v>3811.7999999999997</v>
      </c>
      <c r="K863" s="52"/>
      <c r="L863" s="51"/>
      <c r="M863" s="52">
        <v>6</v>
      </c>
      <c r="N863" s="49">
        <v>3573.39</v>
      </c>
      <c r="O863" s="75">
        <v>6</v>
      </c>
      <c r="P863" s="54">
        <v>355.19000000000005</v>
      </c>
      <c r="Q863" s="54">
        <v>23.39</v>
      </c>
      <c r="R863" s="53">
        <f t="shared" si="41"/>
        <v>351.5</v>
      </c>
      <c r="S863" s="51">
        <v>3811.7999999999997</v>
      </c>
    </row>
    <row r="864" spans="1:19" ht="15" x14ac:dyDescent="0.25">
      <c r="A864" s="28"/>
      <c r="B864" s="45" t="str">
        <f t="shared" si="39"/>
        <v>Apr-2025</v>
      </c>
      <c r="C864" s="57">
        <v>45753</v>
      </c>
      <c r="D864" s="43">
        <f t="shared" si="40"/>
        <v>359</v>
      </c>
      <c r="E864" s="76">
        <v>3</v>
      </c>
      <c r="F864" s="50">
        <v>7</v>
      </c>
      <c r="G864" s="49">
        <v>4100</v>
      </c>
      <c r="H864" s="73">
        <v>7</v>
      </c>
      <c r="I864" s="52">
        <v>7</v>
      </c>
      <c r="J864" s="51">
        <v>658.75</v>
      </c>
      <c r="K864" s="52"/>
      <c r="L864" s="51"/>
      <c r="M864" s="52">
        <v>8</v>
      </c>
      <c r="N864" s="49">
        <v>3513.58</v>
      </c>
      <c r="O864" s="75">
        <v>6</v>
      </c>
      <c r="P864" s="54">
        <v>72.329999999999984</v>
      </c>
      <c r="Q864" s="54">
        <v>13.58</v>
      </c>
      <c r="R864" s="53">
        <f t="shared" si="41"/>
        <v>205</v>
      </c>
      <c r="S864" s="51">
        <v>658.75</v>
      </c>
    </row>
    <row r="865" spans="1:19" ht="15" x14ac:dyDescent="0.25">
      <c r="A865" s="28"/>
      <c r="B865" s="45" t="str">
        <f t="shared" si="39"/>
        <v>Apr-2025</v>
      </c>
      <c r="C865" s="57">
        <v>45754</v>
      </c>
      <c r="D865" s="43">
        <f t="shared" si="40"/>
        <v>358</v>
      </c>
      <c r="E865" s="76">
        <v>2</v>
      </c>
      <c r="F865" s="50">
        <v>11</v>
      </c>
      <c r="G865" s="49">
        <v>10480</v>
      </c>
      <c r="H865" s="73">
        <v>11</v>
      </c>
      <c r="I865" s="52">
        <v>11</v>
      </c>
      <c r="J865" s="51">
        <v>877.04</v>
      </c>
      <c r="K865" s="52"/>
      <c r="L865" s="51"/>
      <c r="M865" s="52">
        <v>12</v>
      </c>
      <c r="N865" s="49">
        <v>9735.94</v>
      </c>
      <c r="O865" s="75">
        <v>12</v>
      </c>
      <c r="P865" s="54">
        <v>132.97999999999999</v>
      </c>
      <c r="Q865" s="54">
        <v>55.939999999999991</v>
      </c>
      <c r="R865" s="53">
        <f t="shared" si="41"/>
        <v>524</v>
      </c>
      <c r="S865" s="51">
        <v>877.04</v>
      </c>
    </row>
    <row r="866" spans="1:19" ht="15" x14ac:dyDescent="0.25">
      <c r="A866" s="28"/>
      <c r="B866" s="45" t="str">
        <f t="shared" si="39"/>
        <v>Apr-2025</v>
      </c>
      <c r="C866" s="57">
        <v>45755</v>
      </c>
      <c r="D866" s="43">
        <f t="shared" si="40"/>
        <v>357</v>
      </c>
      <c r="E866" s="76">
        <v>4</v>
      </c>
      <c r="F866" s="50">
        <v>17</v>
      </c>
      <c r="G866" s="49">
        <v>12048</v>
      </c>
      <c r="H866" s="73">
        <v>17</v>
      </c>
      <c r="I866" s="52">
        <v>17</v>
      </c>
      <c r="J866" s="51">
        <v>2522.83</v>
      </c>
      <c r="K866" s="52"/>
      <c r="L866" s="51"/>
      <c r="M866" s="52">
        <v>14</v>
      </c>
      <c r="N866" s="49">
        <v>9829.16</v>
      </c>
      <c r="O866" s="75">
        <v>13</v>
      </c>
      <c r="P866" s="54">
        <v>303.99</v>
      </c>
      <c r="Q866" s="54">
        <v>81.16</v>
      </c>
      <c r="R866" s="53">
        <f t="shared" si="41"/>
        <v>602.4</v>
      </c>
      <c r="S866" s="51">
        <v>2522.83</v>
      </c>
    </row>
    <row r="867" spans="1:19" ht="15" x14ac:dyDescent="0.25">
      <c r="A867" s="28"/>
      <c r="B867" s="45" t="str">
        <f t="shared" si="39"/>
        <v>Apr-2025</v>
      </c>
      <c r="C867" s="57">
        <v>45756</v>
      </c>
      <c r="D867" s="43">
        <f t="shared" si="40"/>
        <v>356</v>
      </c>
      <c r="E867" s="76">
        <v>1</v>
      </c>
      <c r="F867" s="50">
        <v>9</v>
      </c>
      <c r="G867" s="49">
        <v>7600</v>
      </c>
      <c r="H867" s="73">
        <v>9</v>
      </c>
      <c r="I867" s="52">
        <v>9</v>
      </c>
      <c r="J867" s="51">
        <v>547.41</v>
      </c>
      <c r="K867" s="52"/>
      <c r="L867" s="51"/>
      <c r="M867" s="52">
        <v>8</v>
      </c>
      <c r="N867" s="49">
        <v>7128.23</v>
      </c>
      <c r="O867" s="75">
        <v>8</v>
      </c>
      <c r="P867" s="54">
        <v>75.64</v>
      </c>
      <c r="Q867" s="54">
        <v>28.229999999999997</v>
      </c>
      <c r="R867" s="53">
        <f t="shared" si="41"/>
        <v>380</v>
      </c>
      <c r="S867" s="51">
        <v>547.41</v>
      </c>
    </row>
    <row r="868" spans="1:19" ht="15" x14ac:dyDescent="0.25">
      <c r="A868" s="28"/>
      <c r="B868" s="45" t="str">
        <f t="shared" si="39"/>
        <v>Apr-2025</v>
      </c>
      <c r="C868" s="57">
        <v>45757</v>
      </c>
      <c r="D868" s="43">
        <f t="shared" si="40"/>
        <v>355</v>
      </c>
      <c r="E868" s="76">
        <v>4</v>
      </c>
      <c r="F868" s="50">
        <v>9</v>
      </c>
      <c r="G868" s="49">
        <v>3995</v>
      </c>
      <c r="H868" s="73">
        <v>8</v>
      </c>
      <c r="I868" s="52">
        <v>9</v>
      </c>
      <c r="J868" s="51">
        <v>629.45000000000005</v>
      </c>
      <c r="K868" s="52">
        <v>2</v>
      </c>
      <c r="L868" s="51">
        <v>506.26</v>
      </c>
      <c r="M868" s="52">
        <v>12</v>
      </c>
      <c r="N868" s="49">
        <v>3443.08</v>
      </c>
      <c r="O868" s="75">
        <v>10</v>
      </c>
      <c r="P868" s="54">
        <v>77.53</v>
      </c>
      <c r="Q868" s="54">
        <v>23.08</v>
      </c>
      <c r="R868" s="53">
        <f t="shared" si="41"/>
        <v>199.75</v>
      </c>
      <c r="S868" s="51">
        <v>629.45000000000005</v>
      </c>
    </row>
    <row r="869" spans="1:19" ht="15" x14ac:dyDescent="0.25">
      <c r="A869" s="28"/>
      <c r="B869" s="45" t="str">
        <f t="shared" si="39"/>
        <v>Apr-2025</v>
      </c>
      <c r="C869" s="57">
        <v>45758</v>
      </c>
      <c r="D869" s="43">
        <f t="shared" si="40"/>
        <v>354</v>
      </c>
      <c r="E869" s="76">
        <v>2</v>
      </c>
      <c r="F869" s="50">
        <v>9</v>
      </c>
      <c r="G869" s="49">
        <v>6400</v>
      </c>
      <c r="H869" s="73">
        <v>9</v>
      </c>
      <c r="I869" s="52">
        <v>9</v>
      </c>
      <c r="J869" s="51">
        <v>0</v>
      </c>
      <c r="K869" s="52"/>
      <c r="L869" s="51"/>
      <c r="M869" s="52">
        <v>13</v>
      </c>
      <c r="N869" s="49">
        <v>6448.54</v>
      </c>
      <c r="O869" s="75">
        <v>13</v>
      </c>
      <c r="P869" s="54">
        <v>48.54</v>
      </c>
      <c r="Q869" s="54">
        <v>48.54</v>
      </c>
      <c r="R869" s="53">
        <f t="shared" si="41"/>
        <v>320</v>
      </c>
      <c r="S869" s="51"/>
    </row>
    <row r="870" spans="1:19" ht="15" x14ac:dyDescent="0.25">
      <c r="A870" s="28"/>
      <c r="B870" s="45" t="str">
        <f t="shared" si="39"/>
        <v>Apr-2025</v>
      </c>
      <c r="C870" s="57">
        <v>45759</v>
      </c>
      <c r="D870" s="43">
        <f t="shared" si="40"/>
        <v>353</v>
      </c>
      <c r="E870" s="76">
        <v>3</v>
      </c>
      <c r="F870" s="50">
        <v>10</v>
      </c>
      <c r="G870" s="49">
        <v>6800</v>
      </c>
      <c r="H870" s="73">
        <v>10</v>
      </c>
      <c r="I870" s="52">
        <v>10</v>
      </c>
      <c r="J870" s="51">
        <v>983.5</v>
      </c>
      <c r="K870" s="52"/>
      <c r="L870" s="51"/>
      <c r="M870" s="52">
        <v>20</v>
      </c>
      <c r="N870" s="49">
        <v>5951.73</v>
      </c>
      <c r="O870" s="75">
        <v>15</v>
      </c>
      <c r="P870" s="54">
        <v>135.22999999999996</v>
      </c>
      <c r="Q870" s="54">
        <v>75.36</v>
      </c>
      <c r="R870" s="53">
        <f t="shared" si="41"/>
        <v>340</v>
      </c>
      <c r="S870" s="51">
        <v>983.5</v>
      </c>
    </row>
    <row r="871" spans="1:19" ht="15" x14ac:dyDescent="0.25">
      <c r="A871" s="28"/>
      <c r="B871" s="45" t="str">
        <f t="shared" si="39"/>
        <v>Apr-2025</v>
      </c>
      <c r="C871" s="57">
        <v>45760</v>
      </c>
      <c r="D871" s="43">
        <f t="shared" si="40"/>
        <v>352</v>
      </c>
      <c r="E871" s="76">
        <v>2</v>
      </c>
      <c r="F871" s="50">
        <v>10</v>
      </c>
      <c r="G871" s="49">
        <v>6598</v>
      </c>
      <c r="H871" s="73">
        <v>10</v>
      </c>
      <c r="I871" s="52">
        <v>10</v>
      </c>
      <c r="J871" s="51">
        <v>110.74</v>
      </c>
      <c r="K871" s="52"/>
      <c r="L871" s="51"/>
      <c r="M871" s="52">
        <v>10</v>
      </c>
      <c r="N871" s="49">
        <v>6514.86</v>
      </c>
      <c r="O871" s="75">
        <v>9</v>
      </c>
      <c r="P871" s="54">
        <v>27.599999999999994</v>
      </c>
      <c r="Q871" s="54">
        <v>16.86</v>
      </c>
      <c r="R871" s="53">
        <f t="shared" si="41"/>
        <v>329.90000000000003</v>
      </c>
      <c r="S871" s="51">
        <v>110.74</v>
      </c>
    </row>
    <row r="872" spans="1:19" ht="15" x14ac:dyDescent="0.25">
      <c r="A872" s="28"/>
      <c r="B872" s="45" t="str">
        <f t="shared" si="39"/>
        <v>Apr-2025</v>
      </c>
      <c r="C872" s="57">
        <v>45761</v>
      </c>
      <c r="D872" s="43">
        <f t="shared" si="40"/>
        <v>351</v>
      </c>
      <c r="E872" s="76">
        <v>1</v>
      </c>
      <c r="F872" s="50">
        <v>8</v>
      </c>
      <c r="G872" s="49">
        <v>5300</v>
      </c>
      <c r="H872" s="73">
        <v>8</v>
      </c>
      <c r="I872" s="52">
        <v>8</v>
      </c>
      <c r="J872" s="51">
        <v>436.05</v>
      </c>
      <c r="K872" s="52"/>
      <c r="L872" s="51"/>
      <c r="M872" s="52">
        <v>8</v>
      </c>
      <c r="N872" s="49">
        <v>4922.4799999999996</v>
      </c>
      <c r="O872" s="75">
        <v>8</v>
      </c>
      <c r="P872" s="54">
        <v>58.530000000000008</v>
      </c>
      <c r="Q872" s="54">
        <v>22.48</v>
      </c>
      <c r="R872" s="53">
        <f t="shared" si="41"/>
        <v>265</v>
      </c>
      <c r="S872" s="51">
        <v>436.05</v>
      </c>
    </row>
    <row r="873" spans="1:19" ht="15" x14ac:dyDescent="0.25">
      <c r="A873" s="28"/>
      <c r="B873" s="45" t="str">
        <f t="shared" si="39"/>
        <v>Apr-2025</v>
      </c>
      <c r="C873" s="57">
        <v>45762</v>
      </c>
      <c r="D873" s="43">
        <f t="shared" si="40"/>
        <v>350</v>
      </c>
      <c r="E873" s="76">
        <v>1</v>
      </c>
      <c r="F873" s="50">
        <v>8</v>
      </c>
      <c r="G873" s="49">
        <v>4700</v>
      </c>
      <c r="H873" s="73">
        <v>8</v>
      </c>
      <c r="I873" s="52">
        <v>8</v>
      </c>
      <c r="J873" s="51">
        <v>1082.52</v>
      </c>
      <c r="K873" s="52"/>
      <c r="L873" s="51"/>
      <c r="M873" s="52">
        <v>7</v>
      </c>
      <c r="N873" s="49">
        <v>3723.06</v>
      </c>
      <c r="O873" s="75">
        <v>7</v>
      </c>
      <c r="P873" s="54">
        <v>105.57999999999998</v>
      </c>
      <c r="Q873" s="54">
        <v>23.32</v>
      </c>
      <c r="R873" s="53">
        <f t="shared" si="41"/>
        <v>235</v>
      </c>
      <c r="S873" s="51">
        <v>1082.52</v>
      </c>
    </row>
    <row r="874" spans="1:19" ht="15" x14ac:dyDescent="0.25">
      <c r="A874" s="28"/>
      <c r="B874" s="45" t="str">
        <f t="shared" si="39"/>
        <v>Apr-2025</v>
      </c>
      <c r="C874" s="57">
        <v>45763</v>
      </c>
      <c r="D874" s="43">
        <f t="shared" si="40"/>
        <v>349</v>
      </c>
      <c r="E874" s="76">
        <v>2</v>
      </c>
      <c r="F874" s="50">
        <v>15</v>
      </c>
      <c r="G874" s="49">
        <v>9943</v>
      </c>
      <c r="H874" s="73">
        <v>15</v>
      </c>
      <c r="I874" s="52">
        <v>15</v>
      </c>
      <c r="J874" s="51">
        <v>0</v>
      </c>
      <c r="K874" s="52"/>
      <c r="L874" s="51"/>
      <c r="M874" s="52">
        <v>22</v>
      </c>
      <c r="N874" s="49">
        <v>9971.8799999999992</v>
      </c>
      <c r="O874" s="75">
        <v>18</v>
      </c>
      <c r="P874" s="54">
        <v>28.88</v>
      </c>
      <c r="Q874" s="54">
        <v>28.88</v>
      </c>
      <c r="R874" s="53">
        <f t="shared" si="41"/>
        <v>497.15000000000003</v>
      </c>
      <c r="S874" s="51"/>
    </row>
    <row r="875" spans="1:19" ht="15" x14ac:dyDescent="0.25">
      <c r="A875" s="28"/>
      <c r="B875" s="45" t="str">
        <f t="shared" si="39"/>
        <v>Apr-2025</v>
      </c>
      <c r="C875" s="57">
        <v>45764</v>
      </c>
      <c r="D875" s="43">
        <f t="shared" si="40"/>
        <v>348</v>
      </c>
      <c r="E875" s="76">
        <v>4</v>
      </c>
      <c r="F875" s="50">
        <v>11</v>
      </c>
      <c r="G875" s="49">
        <v>5650</v>
      </c>
      <c r="H875" s="73">
        <v>11</v>
      </c>
      <c r="I875" s="52">
        <v>11</v>
      </c>
      <c r="J875" s="51">
        <v>2024.56</v>
      </c>
      <c r="K875" s="52"/>
      <c r="L875" s="51"/>
      <c r="M875" s="52">
        <v>6</v>
      </c>
      <c r="N875" s="49">
        <v>3811.99</v>
      </c>
      <c r="O875" s="75">
        <v>6</v>
      </c>
      <c r="P875" s="54">
        <v>186.55</v>
      </c>
      <c r="Q875" s="54">
        <v>11.99</v>
      </c>
      <c r="R875" s="53">
        <f t="shared" si="41"/>
        <v>282.5</v>
      </c>
      <c r="S875" s="51">
        <v>2024.56</v>
      </c>
    </row>
    <row r="876" spans="1:19" ht="15" x14ac:dyDescent="0.25">
      <c r="A876" s="28"/>
      <c r="B876" s="45" t="str">
        <f t="shared" si="39"/>
        <v>Apr-2025</v>
      </c>
      <c r="C876" s="57">
        <v>45765</v>
      </c>
      <c r="D876" s="43">
        <f t="shared" si="40"/>
        <v>347</v>
      </c>
      <c r="E876" s="76">
        <v>6</v>
      </c>
      <c r="F876" s="50">
        <v>10</v>
      </c>
      <c r="G876" s="49">
        <v>3400</v>
      </c>
      <c r="H876" s="73">
        <v>10</v>
      </c>
      <c r="I876" s="52">
        <v>10</v>
      </c>
      <c r="J876" s="51">
        <v>442.36</v>
      </c>
      <c r="K876" s="52"/>
      <c r="L876" s="51"/>
      <c r="M876" s="52">
        <v>6</v>
      </c>
      <c r="N876" s="49">
        <v>3053.87</v>
      </c>
      <c r="O876" s="75">
        <v>6</v>
      </c>
      <c r="P876" s="54">
        <v>96.22999999999999</v>
      </c>
      <c r="Q876" s="54">
        <v>53.870000000000005</v>
      </c>
      <c r="R876" s="53">
        <f t="shared" si="41"/>
        <v>170</v>
      </c>
      <c r="S876" s="51">
        <v>442.36</v>
      </c>
    </row>
    <row r="877" spans="1:19" ht="15" x14ac:dyDescent="0.25">
      <c r="A877" s="28"/>
      <c r="B877" s="45" t="str">
        <f t="shared" si="39"/>
        <v>Apr-2025</v>
      </c>
      <c r="C877" s="57">
        <v>45766</v>
      </c>
      <c r="D877" s="43">
        <f t="shared" si="40"/>
        <v>346</v>
      </c>
      <c r="E877" s="76">
        <v>4</v>
      </c>
      <c r="F877" s="50">
        <v>14</v>
      </c>
      <c r="G877" s="49">
        <v>8000</v>
      </c>
      <c r="H877" s="73">
        <v>14</v>
      </c>
      <c r="I877" s="52">
        <v>14</v>
      </c>
      <c r="J877" s="51">
        <v>2839.53</v>
      </c>
      <c r="K877" s="52"/>
      <c r="L877" s="51"/>
      <c r="M877" s="52">
        <v>14</v>
      </c>
      <c r="N877" s="49">
        <v>5420.11</v>
      </c>
      <c r="O877" s="75">
        <v>12</v>
      </c>
      <c r="P877" s="54">
        <v>259.64</v>
      </c>
      <c r="Q877" s="54">
        <v>20.11</v>
      </c>
      <c r="R877" s="53">
        <f t="shared" si="41"/>
        <v>400</v>
      </c>
      <c r="S877" s="51">
        <v>2839.5299999999997</v>
      </c>
    </row>
    <row r="878" spans="1:19" ht="15" x14ac:dyDescent="0.25">
      <c r="A878" s="28"/>
      <c r="B878" s="45" t="str">
        <f t="shared" si="39"/>
        <v>Apr-2025</v>
      </c>
      <c r="C878" s="57">
        <v>45767</v>
      </c>
      <c r="D878" s="43">
        <f t="shared" si="40"/>
        <v>345</v>
      </c>
      <c r="E878" s="76">
        <v>4</v>
      </c>
      <c r="F878" s="50">
        <v>18</v>
      </c>
      <c r="G878" s="49">
        <v>9998</v>
      </c>
      <c r="H878" s="73">
        <v>18</v>
      </c>
      <c r="I878" s="52">
        <v>18</v>
      </c>
      <c r="J878" s="51">
        <v>2950.96</v>
      </c>
      <c r="K878" s="52">
        <v>3</v>
      </c>
      <c r="L878" s="51">
        <v>206</v>
      </c>
      <c r="M878" s="52">
        <v>28</v>
      </c>
      <c r="N878" s="49">
        <v>7315.39</v>
      </c>
      <c r="O878" s="75">
        <v>23</v>
      </c>
      <c r="P878" s="54">
        <v>268.34999999999997</v>
      </c>
      <c r="Q878" s="54">
        <v>17.39</v>
      </c>
      <c r="R878" s="53">
        <f t="shared" si="41"/>
        <v>499.90000000000003</v>
      </c>
      <c r="S878" s="51">
        <v>2950.96</v>
      </c>
    </row>
    <row r="879" spans="1:19" ht="15" x14ac:dyDescent="0.25">
      <c r="A879" s="28"/>
      <c r="B879" s="45" t="str">
        <f t="shared" si="39"/>
        <v>Apr-2025</v>
      </c>
      <c r="C879" s="57">
        <v>45768</v>
      </c>
      <c r="D879" s="43">
        <f t="shared" si="40"/>
        <v>344</v>
      </c>
      <c r="E879" s="76">
        <v>4</v>
      </c>
      <c r="F879" s="50">
        <v>11</v>
      </c>
      <c r="G879" s="49">
        <v>8550</v>
      </c>
      <c r="H879" s="73">
        <v>11</v>
      </c>
      <c r="I879" s="52">
        <v>11</v>
      </c>
      <c r="J879" s="51">
        <v>1312.7</v>
      </c>
      <c r="K879" s="52"/>
      <c r="L879" s="51"/>
      <c r="M879" s="52">
        <v>9</v>
      </c>
      <c r="N879" s="49">
        <v>7383.9</v>
      </c>
      <c r="O879" s="75">
        <v>7</v>
      </c>
      <c r="P879" s="54">
        <v>146.6</v>
      </c>
      <c r="Q879" s="54">
        <v>33.899999999999991</v>
      </c>
      <c r="R879" s="53">
        <f t="shared" si="41"/>
        <v>427.5</v>
      </c>
      <c r="S879" s="51">
        <v>1312.7</v>
      </c>
    </row>
    <row r="880" spans="1:19" ht="15" x14ac:dyDescent="0.25">
      <c r="A880" s="28"/>
      <c r="B880" s="45" t="str">
        <f t="shared" si="39"/>
        <v>Apr-2025</v>
      </c>
      <c r="C880" s="57">
        <v>45769</v>
      </c>
      <c r="D880" s="43">
        <f t="shared" si="40"/>
        <v>343</v>
      </c>
      <c r="E880" s="76">
        <v>5</v>
      </c>
      <c r="F880" s="50">
        <v>10</v>
      </c>
      <c r="G880" s="49">
        <v>4430</v>
      </c>
      <c r="H880" s="73">
        <v>10</v>
      </c>
      <c r="I880" s="52">
        <v>10</v>
      </c>
      <c r="J880" s="51">
        <v>823.59</v>
      </c>
      <c r="K880" s="52"/>
      <c r="L880" s="51"/>
      <c r="M880" s="52">
        <v>6</v>
      </c>
      <c r="N880" s="49">
        <v>3709.28</v>
      </c>
      <c r="O880" s="75">
        <v>6</v>
      </c>
      <c r="P880" s="54">
        <v>102.87</v>
      </c>
      <c r="Q880" s="54">
        <v>29.28</v>
      </c>
      <c r="R880" s="53">
        <f t="shared" si="41"/>
        <v>221.5</v>
      </c>
      <c r="S880" s="51">
        <v>823.59</v>
      </c>
    </row>
    <row r="881" spans="1:19" ht="15" x14ac:dyDescent="0.25">
      <c r="A881" s="28"/>
      <c r="B881" s="45" t="str">
        <f t="shared" si="39"/>
        <v>Apr-2025</v>
      </c>
      <c r="C881" s="57">
        <v>45770</v>
      </c>
      <c r="D881" s="43">
        <f t="shared" si="40"/>
        <v>342</v>
      </c>
      <c r="E881" s="76">
        <v>2</v>
      </c>
      <c r="F881" s="50">
        <v>13</v>
      </c>
      <c r="G881" s="49">
        <v>8800</v>
      </c>
      <c r="H881" s="73">
        <v>13</v>
      </c>
      <c r="I881" s="52">
        <v>13</v>
      </c>
      <c r="J881" s="51">
        <v>3055.8900000000003</v>
      </c>
      <c r="K881" s="52">
        <v>1</v>
      </c>
      <c r="L881" s="51">
        <v>500.11</v>
      </c>
      <c r="M881" s="52">
        <v>17</v>
      </c>
      <c r="N881" s="49">
        <v>6025.53</v>
      </c>
      <c r="O881" s="75">
        <v>12</v>
      </c>
      <c r="P881" s="54">
        <v>281.42000000000007</v>
      </c>
      <c r="Q881" s="54">
        <v>25.529999999999994</v>
      </c>
      <c r="R881" s="53">
        <f t="shared" si="41"/>
        <v>440</v>
      </c>
      <c r="S881" s="51">
        <v>3055.8900000000003</v>
      </c>
    </row>
    <row r="882" spans="1:19" ht="15" x14ac:dyDescent="0.25">
      <c r="A882" s="28"/>
      <c r="B882" s="45" t="str">
        <f t="shared" si="39"/>
        <v>Apr-2025</v>
      </c>
      <c r="C882" s="57">
        <v>45771</v>
      </c>
      <c r="D882" s="43">
        <f t="shared" si="40"/>
        <v>341</v>
      </c>
      <c r="E882" s="76">
        <v>3</v>
      </c>
      <c r="F882" s="50">
        <v>13</v>
      </c>
      <c r="G882" s="49">
        <v>8148</v>
      </c>
      <c r="H882" s="73">
        <v>13</v>
      </c>
      <c r="I882" s="52">
        <v>13</v>
      </c>
      <c r="J882" s="51">
        <v>1422.15</v>
      </c>
      <c r="K882" s="52">
        <v>1</v>
      </c>
      <c r="L882" s="51">
        <v>500.11</v>
      </c>
      <c r="M882" s="52">
        <v>10</v>
      </c>
      <c r="N882" s="49">
        <v>6892.58</v>
      </c>
      <c r="O882" s="75">
        <v>10</v>
      </c>
      <c r="P882" s="54">
        <v>166.73</v>
      </c>
      <c r="Q882" s="54">
        <v>44.58</v>
      </c>
      <c r="R882" s="53">
        <f t="shared" si="41"/>
        <v>407.40000000000003</v>
      </c>
      <c r="S882" s="51">
        <v>1422.15</v>
      </c>
    </row>
    <row r="883" spans="1:19" ht="15" x14ac:dyDescent="0.25">
      <c r="A883" s="28"/>
      <c r="B883" s="45" t="str">
        <f t="shared" si="39"/>
        <v>Apr-2025</v>
      </c>
      <c r="C883" s="57">
        <v>45772</v>
      </c>
      <c r="D883" s="43">
        <f t="shared" si="40"/>
        <v>340</v>
      </c>
      <c r="E883" s="76">
        <v>5</v>
      </c>
      <c r="F883" s="50">
        <v>13</v>
      </c>
      <c r="G883" s="49">
        <v>8050</v>
      </c>
      <c r="H883" s="73">
        <v>12</v>
      </c>
      <c r="I883" s="52">
        <v>13</v>
      </c>
      <c r="J883" s="51">
        <v>762.73</v>
      </c>
      <c r="K883" s="52">
        <v>1</v>
      </c>
      <c r="L883" s="51">
        <v>100.02</v>
      </c>
      <c r="M883" s="52">
        <v>23</v>
      </c>
      <c r="N883" s="49">
        <v>7377.55</v>
      </c>
      <c r="O883" s="75">
        <v>18</v>
      </c>
      <c r="P883" s="54">
        <v>90.279999999999987</v>
      </c>
      <c r="Q883" s="54">
        <v>27.55</v>
      </c>
      <c r="R883" s="53">
        <f t="shared" si="41"/>
        <v>402.5</v>
      </c>
      <c r="S883" s="51">
        <v>762.73</v>
      </c>
    </row>
    <row r="884" spans="1:19" ht="15" x14ac:dyDescent="0.25">
      <c r="A884" s="28"/>
      <c r="B884" s="45" t="str">
        <f t="shared" si="39"/>
        <v>Apr-2025</v>
      </c>
      <c r="C884" s="57">
        <v>45773</v>
      </c>
      <c r="D884" s="43">
        <f t="shared" si="40"/>
        <v>339</v>
      </c>
      <c r="E884" s="76">
        <v>3</v>
      </c>
      <c r="F884" s="50">
        <v>11</v>
      </c>
      <c r="G884" s="49">
        <v>7650</v>
      </c>
      <c r="H884" s="73">
        <v>11</v>
      </c>
      <c r="I884" s="52">
        <v>11</v>
      </c>
      <c r="J884" s="51">
        <v>872.9</v>
      </c>
      <c r="K884" s="52">
        <v>3</v>
      </c>
      <c r="L884" s="51">
        <v>450.09999999999997</v>
      </c>
      <c r="M884" s="52">
        <v>12</v>
      </c>
      <c r="N884" s="49">
        <v>6891.02</v>
      </c>
      <c r="O884" s="75">
        <v>11</v>
      </c>
      <c r="P884" s="54">
        <v>113.92</v>
      </c>
      <c r="Q884" s="54">
        <v>41.019999999999996</v>
      </c>
      <c r="R884" s="53">
        <f t="shared" si="41"/>
        <v>382.5</v>
      </c>
      <c r="S884" s="51">
        <v>872.9</v>
      </c>
    </row>
    <row r="885" spans="1:19" ht="15" x14ac:dyDescent="0.25">
      <c r="A885" s="28"/>
      <c r="B885" s="45" t="str">
        <f t="shared" si="39"/>
        <v>Apr-2025</v>
      </c>
      <c r="C885" s="57">
        <v>45774</v>
      </c>
      <c r="D885" s="43">
        <f t="shared" si="40"/>
        <v>338</v>
      </c>
      <c r="E885" s="76">
        <v>4</v>
      </c>
      <c r="F885" s="50">
        <v>11</v>
      </c>
      <c r="G885" s="49">
        <v>3800</v>
      </c>
      <c r="H885" s="73">
        <v>11</v>
      </c>
      <c r="I885" s="52">
        <v>11</v>
      </c>
      <c r="J885" s="51">
        <v>765.71</v>
      </c>
      <c r="K885" s="52"/>
      <c r="L885" s="51"/>
      <c r="M885" s="52">
        <v>10</v>
      </c>
      <c r="N885" s="49">
        <v>3150.27</v>
      </c>
      <c r="O885" s="75">
        <v>10</v>
      </c>
      <c r="P885" s="54">
        <v>115.98000000000002</v>
      </c>
      <c r="Q885" s="54">
        <v>50.269999999999996</v>
      </c>
      <c r="R885" s="53">
        <f t="shared" si="41"/>
        <v>190</v>
      </c>
      <c r="S885" s="51">
        <v>765.71</v>
      </c>
    </row>
    <row r="886" spans="1:19" ht="15" x14ac:dyDescent="0.25">
      <c r="A886" s="28"/>
      <c r="B886" s="45" t="str">
        <f t="shared" si="39"/>
        <v>Apr-2025</v>
      </c>
      <c r="C886" s="57">
        <v>45775</v>
      </c>
      <c r="D886" s="43">
        <f t="shared" si="40"/>
        <v>337</v>
      </c>
      <c r="E886" s="76">
        <v>1</v>
      </c>
      <c r="F886" s="50">
        <v>12</v>
      </c>
      <c r="G886" s="49">
        <v>5300</v>
      </c>
      <c r="H886" s="73">
        <v>11</v>
      </c>
      <c r="I886" s="52">
        <v>12</v>
      </c>
      <c r="J886" s="51">
        <v>110.39</v>
      </c>
      <c r="K886" s="52">
        <v>2</v>
      </c>
      <c r="L886" s="51">
        <v>200.04</v>
      </c>
      <c r="M886" s="52">
        <v>11</v>
      </c>
      <c r="N886" s="49">
        <v>5223.1899999999996</v>
      </c>
      <c r="O886" s="75">
        <v>11</v>
      </c>
      <c r="P886" s="54">
        <v>33.580000000000005</v>
      </c>
      <c r="Q886" s="54">
        <v>23.29</v>
      </c>
      <c r="R886" s="53">
        <f t="shared" si="41"/>
        <v>265</v>
      </c>
      <c r="S886" s="51">
        <v>110.39</v>
      </c>
    </row>
    <row r="887" spans="1:19" ht="15" x14ac:dyDescent="0.25">
      <c r="A887" s="28"/>
      <c r="B887" s="45" t="str">
        <f t="shared" si="39"/>
        <v>Apr-2025</v>
      </c>
      <c r="C887" s="57">
        <v>45776</v>
      </c>
      <c r="D887" s="43">
        <f t="shared" si="40"/>
        <v>336</v>
      </c>
      <c r="E887" s="76">
        <v>5</v>
      </c>
      <c r="F887" s="50">
        <v>18</v>
      </c>
      <c r="G887" s="49">
        <v>11298</v>
      </c>
      <c r="H887" s="73">
        <v>18</v>
      </c>
      <c r="I887" s="52">
        <v>18</v>
      </c>
      <c r="J887" s="51">
        <v>765.32999999999993</v>
      </c>
      <c r="K887" s="52">
        <v>1</v>
      </c>
      <c r="L887" s="51">
        <v>100.02</v>
      </c>
      <c r="M887" s="52">
        <v>19</v>
      </c>
      <c r="N887" s="49">
        <v>10643.41</v>
      </c>
      <c r="O887" s="75">
        <v>18</v>
      </c>
      <c r="P887" s="54">
        <v>110.74000000000001</v>
      </c>
      <c r="Q887" s="54">
        <v>45.410000000000004</v>
      </c>
      <c r="R887" s="53">
        <f t="shared" si="41"/>
        <v>564.9</v>
      </c>
      <c r="S887" s="51">
        <v>765.32999999999993</v>
      </c>
    </row>
    <row r="888" spans="1:19" ht="15" x14ac:dyDescent="0.25">
      <c r="A888" s="28"/>
      <c r="B888" s="45" t="str">
        <f t="shared" si="39"/>
        <v>Apr-2025</v>
      </c>
      <c r="C888" s="57">
        <v>45777</v>
      </c>
      <c r="D888" s="43">
        <f t="shared" si="40"/>
        <v>335</v>
      </c>
      <c r="E888" s="76">
        <v>3</v>
      </c>
      <c r="F888" s="50">
        <v>15</v>
      </c>
      <c r="G888" s="49">
        <v>10700</v>
      </c>
      <c r="H888" s="73">
        <v>15</v>
      </c>
      <c r="I888" s="52">
        <v>15</v>
      </c>
      <c r="J888" s="51">
        <v>220.46</v>
      </c>
      <c r="K888" s="52">
        <v>1</v>
      </c>
      <c r="L888" s="51">
        <v>61</v>
      </c>
      <c r="M888" s="52">
        <v>16</v>
      </c>
      <c r="N888" s="49">
        <v>10580.26</v>
      </c>
      <c r="O888" s="75">
        <v>16</v>
      </c>
      <c r="P888" s="54">
        <v>100.72</v>
      </c>
      <c r="Q888" s="54">
        <v>80.260000000000005</v>
      </c>
      <c r="R888" s="53">
        <f t="shared" si="41"/>
        <v>535</v>
      </c>
      <c r="S888" s="51">
        <v>220.46</v>
      </c>
    </row>
    <row r="889" spans="1:19" ht="15" x14ac:dyDescent="0.25">
      <c r="A889" s="28"/>
      <c r="B889" s="45" t="str">
        <f t="shared" si="39"/>
        <v>May-2025</v>
      </c>
      <c r="C889" s="57">
        <v>45778</v>
      </c>
      <c r="D889" s="43">
        <f t="shared" si="40"/>
        <v>334</v>
      </c>
      <c r="E889" s="76">
        <v>4</v>
      </c>
      <c r="F889" s="50">
        <v>14</v>
      </c>
      <c r="G889" s="49">
        <v>7100</v>
      </c>
      <c r="H889" s="73">
        <v>14</v>
      </c>
      <c r="I889" s="52">
        <v>14</v>
      </c>
      <c r="J889" s="51">
        <v>1366.25</v>
      </c>
      <c r="K889" s="52"/>
      <c r="L889" s="51"/>
      <c r="M889" s="52">
        <v>10</v>
      </c>
      <c r="N889" s="49">
        <v>5880.88</v>
      </c>
      <c r="O889" s="75">
        <v>10</v>
      </c>
      <c r="P889" s="54">
        <v>147.13</v>
      </c>
      <c r="Q889" s="54">
        <v>30.88</v>
      </c>
      <c r="R889" s="53">
        <f t="shared" si="41"/>
        <v>355</v>
      </c>
      <c r="S889" s="51">
        <v>1366.25</v>
      </c>
    </row>
    <row r="890" spans="1:19" ht="15" x14ac:dyDescent="0.25">
      <c r="A890" s="28"/>
      <c r="B890" s="45" t="str">
        <f t="shared" si="39"/>
        <v>May-2025</v>
      </c>
      <c r="C890" s="57">
        <v>45779</v>
      </c>
      <c r="D890" s="43">
        <f t="shared" si="40"/>
        <v>333</v>
      </c>
      <c r="E890" s="76">
        <v>1</v>
      </c>
      <c r="F890" s="50">
        <v>15</v>
      </c>
      <c r="G890" s="49">
        <v>9400</v>
      </c>
      <c r="H890" s="73">
        <v>15</v>
      </c>
      <c r="I890" s="52">
        <v>15</v>
      </c>
      <c r="J890" s="51">
        <v>1850.31</v>
      </c>
      <c r="K890" s="52">
        <v>1</v>
      </c>
      <c r="L890" s="51">
        <v>100.02</v>
      </c>
      <c r="M890" s="52">
        <v>22</v>
      </c>
      <c r="N890" s="49">
        <v>7827.79</v>
      </c>
      <c r="O890" s="75">
        <v>22</v>
      </c>
      <c r="P890" s="54">
        <v>278.10000000000002</v>
      </c>
      <c r="Q890" s="54">
        <v>127.78999999999999</v>
      </c>
      <c r="R890" s="53">
        <f t="shared" si="41"/>
        <v>470</v>
      </c>
      <c r="S890" s="51">
        <v>1850.31</v>
      </c>
    </row>
    <row r="891" spans="1:19" ht="15" x14ac:dyDescent="0.25">
      <c r="A891" s="28"/>
      <c r="B891" s="45" t="str">
        <f t="shared" si="39"/>
        <v>May-2025</v>
      </c>
      <c r="C891" s="57">
        <v>45780</v>
      </c>
      <c r="D891" s="43">
        <f t="shared" si="40"/>
        <v>332</v>
      </c>
      <c r="E891" s="76">
        <v>1</v>
      </c>
      <c r="F891" s="50">
        <v>10</v>
      </c>
      <c r="G891" s="49">
        <v>4000</v>
      </c>
      <c r="H891" s="73">
        <v>10</v>
      </c>
      <c r="I891" s="52">
        <v>10</v>
      </c>
      <c r="J891" s="51">
        <v>2177.16</v>
      </c>
      <c r="K891" s="52"/>
      <c r="L891" s="51"/>
      <c r="M891" s="52">
        <v>8</v>
      </c>
      <c r="N891" s="49">
        <v>2009.17</v>
      </c>
      <c r="O891" s="75">
        <v>7</v>
      </c>
      <c r="P891" s="54">
        <v>186.32999999999998</v>
      </c>
      <c r="Q891" s="54">
        <v>9.17</v>
      </c>
      <c r="R891" s="53">
        <f t="shared" si="41"/>
        <v>200</v>
      </c>
      <c r="S891" s="51">
        <v>2177.16</v>
      </c>
    </row>
    <row r="892" spans="1:19" ht="15" x14ac:dyDescent="0.25">
      <c r="A892" s="28"/>
      <c r="B892" s="45" t="str">
        <f t="shared" si="39"/>
        <v>May-2025</v>
      </c>
      <c r="C892" s="57">
        <v>45781</v>
      </c>
      <c r="D892" s="43">
        <f t="shared" si="40"/>
        <v>331</v>
      </c>
      <c r="F892" s="50">
        <v>7</v>
      </c>
      <c r="G892" s="49">
        <v>5888</v>
      </c>
      <c r="H892" s="73">
        <v>7</v>
      </c>
      <c r="I892" s="52">
        <v>7</v>
      </c>
      <c r="J892" s="51">
        <v>534.16</v>
      </c>
      <c r="K892" s="52"/>
      <c r="L892" s="51"/>
      <c r="M892" s="52">
        <v>7</v>
      </c>
      <c r="N892" s="49">
        <v>5406.4</v>
      </c>
      <c r="O892" s="75">
        <v>7</v>
      </c>
      <c r="P892" s="54">
        <v>52.56</v>
      </c>
      <c r="Q892" s="54">
        <v>8.4</v>
      </c>
      <c r="R892" s="53">
        <f t="shared" si="41"/>
        <v>294.40000000000003</v>
      </c>
      <c r="S892" s="51">
        <v>534.16</v>
      </c>
    </row>
    <row r="893" spans="1:19" ht="15" x14ac:dyDescent="0.25">
      <c r="A893" s="28"/>
      <c r="B893" s="45" t="str">
        <f t="shared" si="39"/>
        <v>May-2025</v>
      </c>
      <c r="C893" s="57">
        <v>45782</v>
      </c>
      <c r="D893" s="43">
        <f t="shared" si="40"/>
        <v>330</v>
      </c>
      <c r="E893" s="76">
        <v>5</v>
      </c>
      <c r="F893" s="50">
        <v>12</v>
      </c>
      <c r="G893" s="49">
        <v>10770</v>
      </c>
      <c r="H893" s="73">
        <v>12</v>
      </c>
      <c r="I893" s="52">
        <v>12</v>
      </c>
      <c r="J893" s="51">
        <v>2342.87</v>
      </c>
      <c r="K893" s="52"/>
      <c r="L893" s="51"/>
      <c r="M893" s="52">
        <v>8</v>
      </c>
      <c r="N893" s="49">
        <v>8662.18</v>
      </c>
      <c r="O893" s="75">
        <v>8</v>
      </c>
      <c r="P893" s="54">
        <v>235.05</v>
      </c>
      <c r="Q893" s="54">
        <v>42.18</v>
      </c>
      <c r="R893" s="53">
        <f t="shared" si="41"/>
        <v>538.5</v>
      </c>
      <c r="S893" s="51">
        <v>2342.87</v>
      </c>
    </row>
    <row r="894" spans="1:19" ht="15" x14ac:dyDescent="0.25">
      <c r="A894" s="28"/>
      <c r="B894" s="45" t="str">
        <f t="shared" si="39"/>
        <v>May-2025</v>
      </c>
      <c r="C894" s="57">
        <v>45783</v>
      </c>
      <c r="D894" s="43">
        <f t="shared" si="40"/>
        <v>329</v>
      </c>
      <c r="E894" s="76">
        <v>1</v>
      </c>
      <c r="F894" s="50">
        <v>15</v>
      </c>
      <c r="G894" s="49">
        <v>8300</v>
      </c>
      <c r="H894" s="73">
        <v>14</v>
      </c>
      <c r="I894" s="52">
        <v>15</v>
      </c>
      <c r="J894" s="51">
        <v>110.05</v>
      </c>
      <c r="K894" s="52">
        <v>1</v>
      </c>
      <c r="L894" s="51">
        <v>500.11</v>
      </c>
      <c r="M894" s="52">
        <v>28</v>
      </c>
      <c r="N894" s="49">
        <v>8243.7900000000009</v>
      </c>
      <c r="O894" s="75">
        <v>25</v>
      </c>
      <c r="P894" s="54">
        <v>53.840000000000011</v>
      </c>
      <c r="Q894" s="54">
        <v>43.79</v>
      </c>
      <c r="R894" s="53">
        <f t="shared" si="41"/>
        <v>415</v>
      </c>
      <c r="S894" s="51">
        <v>110.05</v>
      </c>
    </row>
    <row r="895" spans="1:19" ht="15" x14ac:dyDescent="0.25">
      <c r="A895" s="28"/>
      <c r="B895" s="45" t="str">
        <f t="shared" si="39"/>
        <v>May-2025</v>
      </c>
      <c r="C895" s="57">
        <v>45784</v>
      </c>
      <c r="D895" s="43">
        <f t="shared" si="40"/>
        <v>328</v>
      </c>
      <c r="E895" s="76">
        <v>3</v>
      </c>
      <c r="F895" s="50">
        <v>7</v>
      </c>
      <c r="G895" s="49">
        <v>9010</v>
      </c>
      <c r="H895" s="73">
        <v>7</v>
      </c>
      <c r="I895" s="52">
        <v>7</v>
      </c>
      <c r="J895" s="51">
        <v>760.57</v>
      </c>
      <c r="K895" s="52"/>
      <c r="L895" s="51"/>
      <c r="M895" s="52">
        <v>6</v>
      </c>
      <c r="N895" s="49">
        <v>8345.5499999999993</v>
      </c>
      <c r="O895" s="75">
        <v>6</v>
      </c>
      <c r="P895" s="54">
        <v>96.12</v>
      </c>
      <c r="Q895" s="54">
        <v>35.549999999999997</v>
      </c>
      <c r="R895" s="53">
        <f t="shared" si="41"/>
        <v>450.5</v>
      </c>
      <c r="S895" s="51">
        <v>760.57</v>
      </c>
    </row>
    <row r="896" spans="1:19" ht="15" x14ac:dyDescent="0.25">
      <c r="A896" s="28"/>
      <c r="B896" s="45" t="str">
        <f t="shared" si="39"/>
        <v>May-2025</v>
      </c>
      <c r="C896" s="57">
        <v>45785</v>
      </c>
      <c r="D896" s="43">
        <f t="shared" si="40"/>
        <v>327</v>
      </c>
      <c r="E896" s="76">
        <v>2</v>
      </c>
      <c r="F896" s="50">
        <v>8</v>
      </c>
      <c r="G896" s="49">
        <v>7198</v>
      </c>
      <c r="H896" s="73">
        <v>8</v>
      </c>
      <c r="I896" s="52">
        <v>8</v>
      </c>
      <c r="J896" s="51">
        <v>109.99</v>
      </c>
      <c r="K896" s="52">
        <v>1</v>
      </c>
      <c r="L896" s="51">
        <v>500.11</v>
      </c>
      <c r="M896" s="52">
        <v>10</v>
      </c>
      <c r="N896" s="49">
        <v>7143.97</v>
      </c>
      <c r="O896" s="75">
        <v>8</v>
      </c>
      <c r="P896" s="54">
        <v>55.96</v>
      </c>
      <c r="Q896" s="54">
        <v>45.97</v>
      </c>
      <c r="R896" s="53">
        <f t="shared" si="41"/>
        <v>359.90000000000003</v>
      </c>
      <c r="S896" s="51">
        <v>109.99</v>
      </c>
    </row>
    <row r="897" spans="1:19" ht="15" x14ac:dyDescent="0.25">
      <c r="A897" s="28"/>
      <c r="B897" s="45" t="str">
        <f t="shared" si="39"/>
        <v>May-2025</v>
      </c>
      <c r="C897" s="57">
        <v>45786</v>
      </c>
      <c r="D897" s="43">
        <f t="shared" si="40"/>
        <v>326</v>
      </c>
      <c r="E897" s="76">
        <v>1</v>
      </c>
      <c r="F897" s="50">
        <v>14</v>
      </c>
      <c r="G897" s="49">
        <v>12180</v>
      </c>
      <c r="H897" s="73">
        <v>14</v>
      </c>
      <c r="I897" s="52">
        <v>14</v>
      </c>
      <c r="J897" s="51">
        <v>2284</v>
      </c>
      <c r="K897" s="52"/>
      <c r="L897" s="51"/>
      <c r="M897" s="52">
        <v>12</v>
      </c>
      <c r="N897" s="49">
        <v>10187.36</v>
      </c>
      <c r="O897" s="75">
        <v>12</v>
      </c>
      <c r="P897" s="54">
        <v>291.36</v>
      </c>
      <c r="Q897" s="54">
        <v>107.36</v>
      </c>
      <c r="R897" s="53">
        <f t="shared" si="41"/>
        <v>609</v>
      </c>
      <c r="S897" s="51">
        <v>2284</v>
      </c>
    </row>
    <row r="898" spans="1:19" ht="15" x14ac:dyDescent="0.25">
      <c r="A898" s="28"/>
      <c r="B898" s="45" t="str">
        <f t="shared" si="39"/>
        <v>May-2025</v>
      </c>
      <c r="C898" s="57">
        <v>45787</v>
      </c>
      <c r="D898" s="43">
        <f t="shared" si="40"/>
        <v>325</v>
      </c>
      <c r="E898" s="76">
        <v>2</v>
      </c>
      <c r="F898" s="50">
        <v>7</v>
      </c>
      <c r="G898" s="49">
        <v>4480</v>
      </c>
      <c r="H898" s="73">
        <v>7</v>
      </c>
      <c r="I898" s="52">
        <v>7</v>
      </c>
      <c r="J898" s="51">
        <v>0</v>
      </c>
      <c r="K898" s="52"/>
      <c r="L898" s="51"/>
      <c r="M898" s="52">
        <v>10</v>
      </c>
      <c r="N898" s="49">
        <v>4532.26</v>
      </c>
      <c r="O898" s="75">
        <v>10</v>
      </c>
      <c r="P898" s="54">
        <v>52.260000000000005</v>
      </c>
      <c r="Q898" s="54">
        <v>52.260000000000005</v>
      </c>
      <c r="R898" s="53">
        <f t="shared" si="41"/>
        <v>224</v>
      </c>
      <c r="S898" s="51"/>
    </row>
    <row r="899" spans="1:19" ht="15" x14ac:dyDescent="0.25">
      <c r="A899" s="28"/>
      <c r="B899" s="45" t="str">
        <f t="shared" si="39"/>
        <v>May-2025</v>
      </c>
      <c r="C899" s="57">
        <v>45788</v>
      </c>
      <c r="D899" s="43">
        <f t="shared" si="40"/>
        <v>324</v>
      </c>
      <c r="E899" s="76">
        <v>1</v>
      </c>
      <c r="F899" s="50">
        <v>6</v>
      </c>
      <c r="G899" s="49">
        <v>3500</v>
      </c>
      <c r="H899" s="73">
        <v>6</v>
      </c>
      <c r="I899" s="52">
        <v>6</v>
      </c>
      <c r="J899" s="51">
        <v>543.25</v>
      </c>
      <c r="K899" s="52"/>
      <c r="L899" s="51"/>
      <c r="M899" s="52">
        <v>10</v>
      </c>
      <c r="N899" s="49">
        <v>3070.44</v>
      </c>
      <c r="O899" s="75">
        <v>10</v>
      </c>
      <c r="P899" s="54">
        <v>113.69000000000001</v>
      </c>
      <c r="Q899" s="54">
        <v>70.44</v>
      </c>
      <c r="R899" s="53">
        <f t="shared" si="41"/>
        <v>175</v>
      </c>
      <c r="S899" s="51">
        <v>543.25</v>
      </c>
    </row>
    <row r="900" spans="1:19" ht="15" x14ac:dyDescent="0.25">
      <c r="A900" s="28"/>
      <c r="B900" s="45" t="str">
        <f t="shared" si="39"/>
        <v>May-2025</v>
      </c>
      <c r="C900" s="57">
        <v>45789</v>
      </c>
      <c r="D900" s="43">
        <f t="shared" si="40"/>
        <v>323</v>
      </c>
      <c r="E900" s="76">
        <v>6</v>
      </c>
      <c r="F900" s="50">
        <v>15</v>
      </c>
      <c r="G900" s="49">
        <v>8998</v>
      </c>
      <c r="H900" s="73">
        <v>15</v>
      </c>
      <c r="I900" s="52">
        <v>15</v>
      </c>
      <c r="J900" s="51">
        <v>1415.85</v>
      </c>
      <c r="K900" s="52"/>
      <c r="L900" s="51"/>
      <c r="M900" s="52">
        <v>14</v>
      </c>
      <c r="N900" s="49">
        <v>7731.58</v>
      </c>
      <c r="O900" s="75">
        <v>11</v>
      </c>
      <c r="P900" s="54">
        <v>149.43</v>
      </c>
      <c r="Q900" s="54">
        <v>33.58</v>
      </c>
      <c r="R900" s="53">
        <f t="shared" si="41"/>
        <v>449.90000000000003</v>
      </c>
      <c r="S900" s="51">
        <v>1415.85</v>
      </c>
    </row>
    <row r="901" spans="1:19" ht="15" x14ac:dyDescent="0.25">
      <c r="A901" s="28"/>
      <c r="B901" s="45" t="str">
        <f t="shared" si="39"/>
        <v>May-2025</v>
      </c>
      <c r="C901" s="57">
        <v>45790</v>
      </c>
      <c r="D901" s="43">
        <f t="shared" si="40"/>
        <v>322</v>
      </c>
      <c r="E901" s="76">
        <v>8</v>
      </c>
      <c r="F901" s="50">
        <v>13</v>
      </c>
      <c r="G901" s="49">
        <v>3200</v>
      </c>
      <c r="H901" s="73">
        <v>13</v>
      </c>
      <c r="I901" s="52">
        <v>13</v>
      </c>
      <c r="J901" s="51">
        <v>988.56000000000017</v>
      </c>
      <c r="K901" s="52"/>
      <c r="L901" s="51"/>
      <c r="M901" s="52">
        <v>4</v>
      </c>
      <c r="N901" s="49">
        <v>2313.1999999999998</v>
      </c>
      <c r="O901" s="75">
        <v>4</v>
      </c>
      <c r="P901" s="54">
        <v>101.76000000000002</v>
      </c>
      <c r="Q901" s="54">
        <v>13.2</v>
      </c>
      <c r="R901" s="53">
        <f t="shared" si="41"/>
        <v>160</v>
      </c>
      <c r="S901" s="51">
        <v>988.56000000000017</v>
      </c>
    </row>
    <row r="902" spans="1:19" ht="15" x14ac:dyDescent="0.25">
      <c r="A902" s="28"/>
      <c r="B902" s="45" t="str">
        <f t="shared" si="39"/>
        <v>May-2025</v>
      </c>
      <c r="C902" s="57">
        <v>45791</v>
      </c>
      <c r="D902" s="43">
        <f t="shared" si="40"/>
        <v>321</v>
      </c>
      <c r="E902" s="76">
        <v>4</v>
      </c>
      <c r="F902" s="50">
        <v>9</v>
      </c>
      <c r="G902" s="49">
        <v>4250</v>
      </c>
      <c r="H902" s="73">
        <v>9</v>
      </c>
      <c r="I902" s="52">
        <v>9</v>
      </c>
      <c r="J902" s="51">
        <v>1738.3900000000003</v>
      </c>
      <c r="K902" s="52"/>
      <c r="L902" s="51"/>
      <c r="M902" s="52">
        <v>8</v>
      </c>
      <c r="N902" s="49">
        <v>2659.54</v>
      </c>
      <c r="O902" s="75">
        <v>7</v>
      </c>
      <c r="P902" s="54">
        <v>147.93</v>
      </c>
      <c r="Q902" s="54">
        <v>9.5399999999999991</v>
      </c>
      <c r="R902" s="53">
        <f t="shared" si="41"/>
        <v>212.5</v>
      </c>
      <c r="S902" s="51">
        <v>1738.3899999999999</v>
      </c>
    </row>
    <row r="903" spans="1:19" ht="15" x14ac:dyDescent="0.25">
      <c r="A903" s="28"/>
      <c r="B903" s="45" t="str">
        <f t="shared" si="39"/>
        <v>May-2025</v>
      </c>
      <c r="C903" s="57">
        <v>45792</v>
      </c>
      <c r="D903" s="43">
        <f t="shared" si="40"/>
        <v>320</v>
      </c>
      <c r="E903" s="76">
        <v>3</v>
      </c>
      <c r="F903" s="50">
        <v>13</v>
      </c>
      <c r="G903" s="49">
        <v>9530</v>
      </c>
      <c r="H903" s="73">
        <v>13</v>
      </c>
      <c r="I903" s="52">
        <v>13</v>
      </c>
      <c r="J903" s="51">
        <v>3039.83</v>
      </c>
      <c r="K903" s="52"/>
      <c r="L903" s="51"/>
      <c r="M903" s="52">
        <v>9</v>
      </c>
      <c r="N903" s="49">
        <v>6757.22</v>
      </c>
      <c r="O903" s="75">
        <v>9</v>
      </c>
      <c r="P903" s="54">
        <v>267.04999999999995</v>
      </c>
      <c r="Q903" s="54">
        <v>27.22</v>
      </c>
      <c r="R903" s="53">
        <f t="shared" si="41"/>
        <v>476.5</v>
      </c>
      <c r="S903" s="51">
        <v>3039.83</v>
      </c>
    </row>
    <row r="904" spans="1:19" ht="15" x14ac:dyDescent="0.25">
      <c r="A904" s="28"/>
      <c r="B904" s="45" t="str">
        <f t="shared" ref="B904:B967" si="42">TEXT(C904,"MMM-YYYY")</f>
        <v>May-2025</v>
      </c>
      <c r="C904" s="57">
        <v>45793</v>
      </c>
      <c r="D904" s="43">
        <f t="shared" ref="D904:D967" si="43">$A$1-C904</f>
        <v>319</v>
      </c>
      <c r="E904" s="76">
        <v>3</v>
      </c>
      <c r="F904" s="50">
        <v>14</v>
      </c>
      <c r="G904" s="49">
        <v>11498</v>
      </c>
      <c r="H904" s="73">
        <v>14</v>
      </c>
      <c r="I904" s="52">
        <v>14</v>
      </c>
      <c r="J904" s="51">
        <v>1847.3000000000002</v>
      </c>
      <c r="K904" s="52">
        <v>1</v>
      </c>
      <c r="L904" s="51">
        <v>100.02</v>
      </c>
      <c r="M904" s="52">
        <v>15</v>
      </c>
      <c r="N904" s="49">
        <v>9848.83</v>
      </c>
      <c r="O904" s="75">
        <v>14</v>
      </c>
      <c r="P904" s="54">
        <v>198.13</v>
      </c>
      <c r="Q904" s="54">
        <v>50.83</v>
      </c>
      <c r="R904" s="53">
        <f t="shared" ref="R904:R967" si="44">G904*5%</f>
        <v>574.9</v>
      </c>
      <c r="S904" s="51">
        <v>1847.3000000000002</v>
      </c>
    </row>
    <row r="905" spans="1:19" ht="15" x14ac:dyDescent="0.25">
      <c r="A905" s="28"/>
      <c r="B905" s="45" t="str">
        <f t="shared" si="42"/>
        <v>May-2025</v>
      </c>
      <c r="C905" s="57">
        <v>45794</v>
      </c>
      <c r="D905" s="43">
        <f t="shared" si="43"/>
        <v>318</v>
      </c>
      <c r="E905" s="76">
        <v>3</v>
      </c>
      <c r="F905" s="50">
        <v>3</v>
      </c>
      <c r="G905" s="49">
        <v>1800</v>
      </c>
      <c r="H905" s="73">
        <v>3</v>
      </c>
      <c r="I905" s="52">
        <v>3</v>
      </c>
      <c r="J905" s="51">
        <v>758.77</v>
      </c>
      <c r="K905" s="52"/>
      <c r="L905" s="51"/>
      <c r="M905" s="52">
        <v>9</v>
      </c>
      <c r="N905" s="49">
        <v>1121.06</v>
      </c>
      <c r="O905" s="75">
        <v>8</v>
      </c>
      <c r="P905" s="54">
        <v>79.83</v>
      </c>
      <c r="Q905" s="54">
        <v>21.06</v>
      </c>
      <c r="R905" s="53">
        <f t="shared" si="44"/>
        <v>90</v>
      </c>
      <c r="S905" s="51">
        <v>758.77</v>
      </c>
    </row>
    <row r="906" spans="1:19" ht="15" x14ac:dyDescent="0.25">
      <c r="A906" s="28"/>
      <c r="B906" s="45" t="str">
        <f t="shared" si="42"/>
        <v>May-2025</v>
      </c>
      <c r="C906" s="57">
        <v>45795</v>
      </c>
      <c r="D906" s="43">
        <f t="shared" si="43"/>
        <v>317</v>
      </c>
      <c r="E906" s="76">
        <v>2</v>
      </c>
      <c r="F906" s="50">
        <v>9</v>
      </c>
      <c r="G906" s="49">
        <v>3400</v>
      </c>
      <c r="H906" s="73">
        <v>9</v>
      </c>
      <c r="I906" s="52">
        <v>9</v>
      </c>
      <c r="J906" s="51">
        <v>652.03</v>
      </c>
      <c r="K906" s="52"/>
      <c r="L906" s="51"/>
      <c r="M906" s="52">
        <v>10</v>
      </c>
      <c r="N906" s="49">
        <v>2836.89</v>
      </c>
      <c r="O906" s="75">
        <v>10</v>
      </c>
      <c r="P906" s="54">
        <v>88.92</v>
      </c>
      <c r="Q906" s="54">
        <v>36.89</v>
      </c>
      <c r="R906" s="53">
        <f t="shared" si="44"/>
        <v>170</v>
      </c>
      <c r="S906" s="51">
        <v>652.03</v>
      </c>
    </row>
    <row r="907" spans="1:19" ht="15" x14ac:dyDescent="0.25">
      <c r="A907" s="28"/>
      <c r="B907" s="45" t="str">
        <f t="shared" si="42"/>
        <v>May-2025</v>
      </c>
      <c r="C907" s="57">
        <v>45796</v>
      </c>
      <c r="D907" s="43">
        <f t="shared" si="43"/>
        <v>316</v>
      </c>
      <c r="E907" s="76">
        <v>1</v>
      </c>
      <c r="F907" s="50">
        <v>10</v>
      </c>
      <c r="G907" s="49">
        <v>6635</v>
      </c>
      <c r="H907" s="73">
        <v>10</v>
      </c>
      <c r="I907" s="52">
        <v>10</v>
      </c>
      <c r="J907" s="51">
        <v>1894.42</v>
      </c>
      <c r="K907" s="52"/>
      <c r="L907" s="51"/>
      <c r="M907" s="52">
        <v>12</v>
      </c>
      <c r="N907" s="49">
        <v>4915.75</v>
      </c>
      <c r="O907" s="75">
        <v>12</v>
      </c>
      <c r="P907" s="54">
        <v>175.17000000000002</v>
      </c>
      <c r="Q907" s="54">
        <v>78.39</v>
      </c>
      <c r="R907" s="53">
        <f t="shared" si="44"/>
        <v>331.75</v>
      </c>
      <c r="S907" s="51">
        <v>1894.42</v>
      </c>
    </row>
    <row r="908" spans="1:19" ht="15" x14ac:dyDescent="0.25">
      <c r="A908" s="28"/>
      <c r="B908" s="45" t="str">
        <f t="shared" si="42"/>
        <v>May-2025</v>
      </c>
      <c r="C908" s="57">
        <v>45797</v>
      </c>
      <c r="D908" s="43">
        <f t="shared" si="43"/>
        <v>315</v>
      </c>
      <c r="E908" s="76">
        <v>2</v>
      </c>
      <c r="F908" s="50">
        <v>11</v>
      </c>
      <c r="G908" s="49">
        <v>7750</v>
      </c>
      <c r="H908" s="73">
        <v>11</v>
      </c>
      <c r="I908" s="52">
        <v>11</v>
      </c>
      <c r="J908" s="51">
        <v>1899.02</v>
      </c>
      <c r="K908" s="52">
        <v>1</v>
      </c>
      <c r="L908" s="51">
        <v>475</v>
      </c>
      <c r="M908" s="52">
        <v>8</v>
      </c>
      <c r="N908" s="49">
        <v>6013.41</v>
      </c>
      <c r="O908" s="75">
        <v>8</v>
      </c>
      <c r="P908" s="54">
        <v>162.42999999999998</v>
      </c>
      <c r="Q908" s="54">
        <v>13.670000000000002</v>
      </c>
      <c r="R908" s="53">
        <f t="shared" si="44"/>
        <v>387.5</v>
      </c>
      <c r="S908" s="51">
        <v>1899.02</v>
      </c>
    </row>
    <row r="909" spans="1:19" ht="15" x14ac:dyDescent="0.25">
      <c r="A909" s="28"/>
      <c r="B909" s="45" t="str">
        <f t="shared" si="42"/>
        <v>May-2025</v>
      </c>
      <c r="C909" s="57">
        <v>45798</v>
      </c>
      <c r="D909" s="43">
        <f t="shared" si="43"/>
        <v>314</v>
      </c>
      <c r="E909" s="76">
        <v>4</v>
      </c>
      <c r="F909" s="50">
        <v>12</v>
      </c>
      <c r="G909" s="49">
        <v>9398</v>
      </c>
      <c r="H909" s="73">
        <v>12</v>
      </c>
      <c r="I909" s="52">
        <v>12</v>
      </c>
      <c r="J909" s="51">
        <v>977.4</v>
      </c>
      <c r="K909" s="52"/>
      <c r="L909" s="51"/>
      <c r="M909" s="52">
        <v>31</v>
      </c>
      <c r="N909" s="49">
        <v>8535.6299999999992</v>
      </c>
      <c r="O909" s="75">
        <v>20</v>
      </c>
      <c r="P909" s="54">
        <v>115.03</v>
      </c>
      <c r="Q909" s="54">
        <v>37.629999999999995</v>
      </c>
      <c r="R909" s="53">
        <f t="shared" si="44"/>
        <v>469.90000000000003</v>
      </c>
      <c r="S909" s="51">
        <v>977.4</v>
      </c>
    </row>
    <row r="910" spans="1:19" ht="15" x14ac:dyDescent="0.25">
      <c r="A910" s="28"/>
      <c r="B910" s="45" t="str">
        <f t="shared" si="42"/>
        <v>May-2025</v>
      </c>
      <c r="C910" s="57">
        <v>45799</v>
      </c>
      <c r="D910" s="43">
        <f t="shared" si="43"/>
        <v>313</v>
      </c>
      <c r="E910" s="76">
        <v>3</v>
      </c>
      <c r="F910" s="50">
        <v>8</v>
      </c>
      <c r="G910" s="49">
        <v>9850</v>
      </c>
      <c r="H910" s="73">
        <v>8</v>
      </c>
      <c r="I910" s="52">
        <v>8</v>
      </c>
      <c r="J910" s="51">
        <v>651.3900000000001</v>
      </c>
      <c r="K910" s="52"/>
      <c r="L910" s="51"/>
      <c r="M910" s="52">
        <v>8</v>
      </c>
      <c r="N910" s="49">
        <v>9304.2000000000007</v>
      </c>
      <c r="O910" s="75">
        <v>7</v>
      </c>
      <c r="P910" s="54">
        <v>105.59</v>
      </c>
      <c r="Q910" s="54">
        <v>54.2</v>
      </c>
      <c r="R910" s="53">
        <f t="shared" si="44"/>
        <v>492.5</v>
      </c>
      <c r="S910" s="51">
        <v>651.3900000000001</v>
      </c>
    </row>
    <row r="911" spans="1:19" ht="15" x14ac:dyDescent="0.25">
      <c r="A911" s="28"/>
      <c r="B911" s="45" t="str">
        <f t="shared" si="42"/>
        <v>May-2025</v>
      </c>
      <c r="C911" s="57">
        <v>45800</v>
      </c>
      <c r="D911" s="43">
        <f t="shared" si="43"/>
        <v>312</v>
      </c>
      <c r="E911" s="76">
        <v>2</v>
      </c>
      <c r="F911" s="50">
        <v>15</v>
      </c>
      <c r="G911" s="49">
        <v>10428</v>
      </c>
      <c r="H911" s="73">
        <v>15</v>
      </c>
      <c r="I911" s="52">
        <v>15</v>
      </c>
      <c r="J911" s="51">
        <v>877.33</v>
      </c>
      <c r="K911" s="52"/>
      <c r="L911" s="51"/>
      <c r="M911" s="52">
        <v>18</v>
      </c>
      <c r="N911" s="49">
        <v>9687.01</v>
      </c>
      <c r="O911" s="75">
        <v>15</v>
      </c>
      <c r="P911" s="54">
        <v>136.34</v>
      </c>
      <c r="Q911" s="54">
        <v>69.11</v>
      </c>
      <c r="R911" s="53">
        <f t="shared" si="44"/>
        <v>521.4</v>
      </c>
      <c r="S911" s="51">
        <v>877.33</v>
      </c>
    </row>
    <row r="912" spans="1:19" ht="15" x14ac:dyDescent="0.25">
      <c r="A912" s="28"/>
      <c r="B912" s="45" t="str">
        <f t="shared" si="42"/>
        <v>May-2025</v>
      </c>
      <c r="C912" s="57">
        <v>45801</v>
      </c>
      <c r="D912" s="43">
        <f t="shared" si="43"/>
        <v>311</v>
      </c>
      <c r="E912" s="76">
        <v>4</v>
      </c>
      <c r="F912" s="50">
        <v>16</v>
      </c>
      <c r="G912" s="49">
        <v>10300</v>
      </c>
      <c r="H912" s="73">
        <v>16</v>
      </c>
      <c r="I912" s="52">
        <v>16</v>
      </c>
      <c r="J912" s="51">
        <v>1421.9699999999998</v>
      </c>
      <c r="K912" s="52">
        <v>1</v>
      </c>
      <c r="L912" s="51">
        <v>120</v>
      </c>
      <c r="M912" s="52">
        <v>22</v>
      </c>
      <c r="N912" s="49">
        <v>9057.59</v>
      </c>
      <c r="O912" s="75">
        <v>19</v>
      </c>
      <c r="P912" s="54">
        <v>179.56</v>
      </c>
      <c r="Q912" s="54">
        <v>67.91</v>
      </c>
      <c r="R912" s="53">
        <f t="shared" si="44"/>
        <v>515</v>
      </c>
      <c r="S912" s="51">
        <v>1421.9699999999998</v>
      </c>
    </row>
    <row r="913" spans="1:19" ht="15" x14ac:dyDescent="0.25">
      <c r="A913" s="28"/>
      <c r="B913" s="45" t="str">
        <f t="shared" si="42"/>
        <v>May-2025</v>
      </c>
      <c r="C913" s="57">
        <v>45802</v>
      </c>
      <c r="D913" s="43">
        <f t="shared" si="43"/>
        <v>310</v>
      </c>
      <c r="E913" s="76">
        <v>7</v>
      </c>
      <c r="F913" s="50">
        <v>6</v>
      </c>
      <c r="G913" s="49">
        <v>3820</v>
      </c>
      <c r="H913" s="73">
        <v>6</v>
      </c>
      <c r="I913" s="52">
        <v>6</v>
      </c>
      <c r="J913" s="51">
        <v>661.73</v>
      </c>
      <c r="K913" s="52"/>
      <c r="L913" s="51"/>
      <c r="M913" s="52">
        <v>7</v>
      </c>
      <c r="N913" s="49">
        <v>3241.65</v>
      </c>
      <c r="O913" s="75">
        <v>7</v>
      </c>
      <c r="P913" s="54">
        <v>83.38</v>
      </c>
      <c r="Q913" s="54">
        <v>45.62</v>
      </c>
      <c r="R913" s="53">
        <f t="shared" si="44"/>
        <v>191</v>
      </c>
      <c r="S913" s="51">
        <v>661.73</v>
      </c>
    </row>
    <row r="914" spans="1:19" ht="15" x14ac:dyDescent="0.25">
      <c r="A914" s="28"/>
      <c r="B914" s="45" t="str">
        <f t="shared" si="42"/>
        <v>May-2025</v>
      </c>
      <c r="C914" s="57">
        <v>45803</v>
      </c>
      <c r="D914" s="43">
        <f t="shared" si="43"/>
        <v>309</v>
      </c>
      <c r="E914" s="76">
        <v>2</v>
      </c>
      <c r="F914" s="50">
        <v>5</v>
      </c>
      <c r="G914" s="49">
        <v>3998</v>
      </c>
      <c r="H914" s="73">
        <v>5</v>
      </c>
      <c r="I914" s="52">
        <v>5</v>
      </c>
      <c r="J914" s="51">
        <v>541.29999999999995</v>
      </c>
      <c r="K914" s="52"/>
      <c r="L914" s="51"/>
      <c r="M914" s="52">
        <v>7</v>
      </c>
      <c r="N914" s="49">
        <v>3504.83</v>
      </c>
      <c r="O914" s="75">
        <v>5</v>
      </c>
      <c r="P914" s="54">
        <v>48.129999999999995</v>
      </c>
      <c r="Q914" s="54">
        <v>6.83</v>
      </c>
      <c r="R914" s="53">
        <f t="shared" si="44"/>
        <v>199.9</v>
      </c>
      <c r="S914" s="51">
        <v>541.29999999999995</v>
      </c>
    </row>
    <row r="915" spans="1:19" ht="15" x14ac:dyDescent="0.25">
      <c r="A915" s="28"/>
      <c r="B915" s="45" t="str">
        <f t="shared" si="42"/>
        <v>May-2025</v>
      </c>
      <c r="C915" s="57">
        <v>45804</v>
      </c>
      <c r="D915" s="43">
        <f t="shared" si="43"/>
        <v>308</v>
      </c>
      <c r="E915" s="76">
        <v>5</v>
      </c>
      <c r="F915" s="50">
        <v>10</v>
      </c>
      <c r="G915" s="49">
        <v>6960</v>
      </c>
      <c r="H915" s="73">
        <v>10</v>
      </c>
      <c r="I915" s="52">
        <v>10</v>
      </c>
      <c r="J915" s="51">
        <v>136.71</v>
      </c>
      <c r="K915" s="52">
        <v>1</v>
      </c>
      <c r="L915" s="51">
        <v>476</v>
      </c>
      <c r="M915" s="52">
        <v>9</v>
      </c>
      <c r="N915" s="49">
        <v>6851.09</v>
      </c>
      <c r="O915" s="75">
        <v>9</v>
      </c>
      <c r="P915" s="54">
        <v>27.8</v>
      </c>
      <c r="Q915" s="54">
        <v>15.200000000000003</v>
      </c>
      <c r="R915" s="53">
        <f t="shared" si="44"/>
        <v>348</v>
      </c>
      <c r="S915" s="51">
        <v>136.71</v>
      </c>
    </row>
    <row r="916" spans="1:19" ht="15" x14ac:dyDescent="0.25">
      <c r="A916" s="28"/>
      <c r="B916" s="45" t="str">
        <f t="shared" si="42"/>
        <v>May-2025</v>
      </c>
      <c r="C916" s="57">
        <v>45805</v>
      </c>
      <c r="D916" s="43">
        <f t="shared" si="43"/>
        <v>307</v>
      </c>
      <c r="E916" s="76">
        <v>8</v>
      </c>
      <c r="F916" s="50">
        <v>11</v>
      </c>
      <c r="G916" s="49">
        <v>4998</v>
      </c>
      <c r="H916" s="73">
        <v>11</v>
      </c>
      <c r="I916" s="52">
        <v>11</v>
      </c>
      <c r="J916" s="51">
        <v>2060.6799999999998</v>
      </c>
      <c r="K916" s="52"/>
      <c r="L916" s="51"/>
      <c r="M916" s="52">
        <v>8</v>
      </c>
      <c r="N916" s="49">
        <v>3105.36</v>
      </c>
      <c r="O916" s="75">
        <v>6</v>
      </c>
      <c r="P916" s="54">
        <v>168.04</v>
      </c>
      <c r="Q916" s="54">
        <v>7.36</v>
      </c>
      <c r="R916" s="53">
        <f t="shared" si="44"/>
        <v>249.9</v>
      </c>
      <c r="S916" s="51">
        <v>2060.6800000000003</v>
      </c>
    </row>
    <row r="917" spans="1:19" ht="15" x14ac:dyDescent="0.25">
      <c r="A917" s="28"/>
      <c r="B917" s="45" t="str">
        <f t="shared" si="42"/>
        <v>May-2025</v>
      </c>
      <c r="C917" s="57">
        <v>45806</v>
      </c>
      <c r="D917" s="43">
        <f t="shared" si="43"/>
        <v>306</v>
      </c>
      <c r="E917" s="76">
        <v>7</v>
      </c>
      <c r="F917" s="50">
        <v>11</v>
      </c>
      <c r="G917" s="49">
        <v>8950</v>
      </c>
      <c r="H917" s="73">
        <v>11</v>
      </c>
      <c r="I917" s="52">
        <v>11</v>
      </c>
      <c r="J917" s="51">
        <v>4436.6399999999994</v>
      </c>
      <c r="K917" s="52"/>
      <c r="L917" s="51"/>
      <c r="M917" s="52">
        <v>7</v>
      </c>
      <c r="N917" s="49">
        <v>4870.34</v>
      </c>
      <c r="O917" s="75">
        <v>6</v>
      </c>
      <c r="P917" s="54">
        <v>356.98</v>
      </c>
      <c r="Q917" s="54">
        <v>20.34</v>
      </c>
      <c r="R917" s="53">
        <f t="shared" si="44"/>
        <v>447.5</v>
      </c>
      <c r="S917" s="51">
        <v>4436.6399999999994</v>
      </c>
    </row>
    <row r="918" spans="1:19" ht="15" x14ac:dyDescent="0.25">
      <c r="A918" s="28"/>
      <c r="B918" s="45" t="str">
        <f t="shared" si="42"/>
        <v>May-2025</v>
      </c>
      <c r="C918" s="57">
        <v>45807</v>
      </c>
      <c r="D918" s="43">
        <f t="shared" si="43"/>
        <v>305</v>
      </c>
      <c r="E918" s="76">
        <v>12</v>
      </c>
      <c r="F918" s="50">
        <v>15</v>
      </c>
      <c r="G918" s="49">
        <v>7198</v>
      </c>
      <c r="H918" s="73">
        <v>15</v>
      </c>
      <c r="I918" s="52">
        <v>15</v>
      </c>
      <c r="J918" s="51">
        <v>2709.7699999999995</v>
      </c>
      <c r="K918" s="52"/>
      <c r="L918" s="51"/>
      <c r="M918" s="52">
        <v>11</v>
      </c>
      <c r="N918" s="49">
        <v>4728.8</v>
      </c>
      <c r="O918" s="75">
        <v>7</v>
      </c>
      <c r="P918" s="54">
        <v>240.57000000000008</v>
      </c>
      <c r="Q918" s="54">
        <v>30.799999999999997</v>
      </c>
      <c r="R918" s="53">
        <f t="shared" si="44"/>
        <v>359.90000000000003</v>
      </c>
      <c r="S918" s="51">
        <v>2709.7699999999995</v>
      </c>
    </row>
    <row r="919" spans="1:19" ht="15" x14ac:dyDescent="0.25">
      <c r="A919" s="28"/>
      <c r="B919" s="45" t="str">
        <f t="shared" si="42"/>
        <v>May-2025</v>
      </c>
      <c r="C919" s="57">
        <v>45808</v>
      </c>
      <c r="D919" s="43">
        <f t="shared" si="43"/>
        <v>304</v>
      </c>
      <c r="E919" s="76">
        <v>3</v>
      </c>
      <c r="F919" s="50">
        <v>15</v>
      </c>
      <c r="G919" s="49">
        <v>8500</v>
      </c>
      <c r="H919" s="73">
        <v>15</v>
      </c>
      <c r="I919" s="52">
        <v>15</v>
      </c>
      <c r="J919" s="51">
        <v>2381.0499999999997</v>
      </c>
      <c r="K919" s="52"/>
      <c r="L919" s="51"/>
      <c r="M919" s="52">
        <v>9</v>
      </c>
      <c r="N919" s="49">
        <v>6332.25</v>
      </c>
      <c r="O919" s="75">
        <v>9</v>
      </c>
      <c r="P919" s="54">
        <v>213.3</v>
      </c>
      <c r="Q919" s="54">
        <v>32.25</v>
      </c>
      <c r="R919" s="53">
        <f t="shared" si="44"/>
        <v>425</v>
      </c>
      <c r="S919" s="51">
        <v>2381.0500000000002</v>
      </c>
    </row>
    <row r="920" spans="1:19" ht="15" x14ac:dyDescent="0.25">
      <c r="A920" s="28"/>
      <c r="B920" s="45" t="str">
        <f t="shared" si="42"/>
        <v>Jun-2025</v>
      </c>
      <c r="C920" s="57">
        <v>45809</v>
      </c>
      <c r="D920" s="43">
        <f t="shared" si="43"/>
        <v>303</v>
      </c>
      <c r="F920" s="50">
        <v>14</v>
      </c>
      <c r="G920" s="49">
        <v>7900</v>
      </c>
      <c r="H920" s="73">
        <v>14</v>
      </c>
      <c r="I920" s="52">
        <v>14</v>
      </c>
      <c r="J920" s="51">
        <v>2466.8999999999996</v>
      </c>
      <c r="K920" s="52">
        <v>3</v>
      </c>
      <c r="L920" s="51">
        <v>141.01999999999998</v>
      </c>
      <c r="M920" s="52">
        <v>12</v>
      </c>
      <c r="N920" s="49">
        <v>5662.5</v>
      </c>
      <c r="O920" s="75">
        <v>10</v>
      </c>
      <c r="P920" s="54">
        <v>229.39999999999998</v>
      </c>
      <c r="Q920" s="54">
        <v>42.78</v>
      </c>
      <c r="R920" s="53">
        <f t="shared" si="44"/>
        <v>395</v>
      </c>
      <c r="S920" s="51">
        <v>2466.8999999999996</v>
      </c>
    </row>
    <row r="921" spans="1:19" ht="15" x14ac:dyDescent="0.25">
      <c r="A921" s="28"/>
      <c r="B921" s="45" t="str">
        <f t="shared" si="42"/>
        <v>Jun-2025</v>
      </c>
      <c r="C921" s="57">
        <v>45810</v>
      </c>
      <c r="D921" s="43">
        <f t="shared" si="43"/>
        <v>302</v>
      </c>
      <c r="E921" s="76">
        <v>8</v>
      </c>
      <c r="F921" s="50">
        <v>10</v>
      </c>
      <c r="G921" s="49">
        <v>4900</v>
      </c>
      <c r="H921" s="73">
        <v>10</v>
      </c>
      <c r="I921" s="52">
        <v>10</v>
      </c>
      <c r="J921" s="51">
        <v>868.1099999999999</v>
      </c>
      <c r="K921" s="52"/>
      <c r="L921" s="51"/>
      <c r="M921" s="52">
        <v>11</v>
      </c>
      <c r="N921" s="49">
        <v>4127.93</v>
      </c>
      <c r="O921" s="75">
        <v>10</v>
      </c>
      <c r="P921" s="54">
        <v>96.04</v>
      </c>
      <c r="Q921" s="54">
        <v>27.93</v>
      </c>
      <c r="R921" s="53">
        <f t="shared" si="44"/>
        <v>245</v>
      </c>
      <c r="S921" s="51">
        <v>868.11</v>
      </c>
    </row>
    <row r="922" spans="1:19" ht="15" x14ac:dyDescent="0.25">
      <c r="A922" s="28"/>
      <c r="B922" s="45" t="str">
        <f t="shared" si="42"/>
        <v>Jun-2025</v>
      </c>
      <c r="C922" s="57">
        <v>45811</v>
      </c>
      <c r="D922" s="43">
        <f t="shared" si="43"/>
        <v>301</v>
      </c>
      <c r="E922" s="76">
        <v>2</v>
      </c>
      <c r="F922" s="50">
        <v>10</v>
      </c>
      <c r="G922" s="49">
        <v>4500</v>
      </c>
      <c r="H922" s="73">
        <v>9</v>
      </c>
      <c r="I922" s="52">
        <v>10</v>
      </c>
      <c r="J922" s="51">
        <v>436.84</v>
      </c>
      <c r="K922" s="52">
        <v>2</v>
      </c>
      <c r="L922" s="51">
        <v>600.11</v>
      </c>
      <c r="M922" s="52">
        <v>7</v>
      </c>
      <c r="N922" s="49">
        <v>4111.18</v>
      </c>
      <c r="O922" s="75">
        <v>7</v>
      </c>
      <c r="P922" s="54">
        <v>48.019999999999989</v>
      </c>
      <c r="Q922" s="54">
        <v>11.18</v>
      </c>
      <c r="R922" s="53">
        <f t="shared" si="44"/>
        <v>225</v>
      </c>
      <c r="S922" s="51">
        <v>436.84</v>
      </c>
    </row>
    <row r="923" spans="1:19" ht="15" x14ac:dyDescent="0.25">
      <c r="A923" s="28"/>
      <c r="B923" s="45" t="str">
        <f t="shared" si="42"/>
        <v>Jun-2025</v>
      </c>
      <c r="C923" s="57">
        <v>45812</v>
      </c>
      <c r="D923" s="43">
        <f t="shared" si="43"/>
        <v>300</v>
      </c>
      <c r="E923" s="76">
        <v>4</v>
      </c>
      <c r="F923" s="50">
        <v>15</v>
      </c>
      <c r="G923" s="49">
        <v>9498</v>
      </c>
      <c r="H923" s="73">
        <v>15</v>
      </c>
      <c r="I923" s="52">
        <v>15</v>
      </c>
      <c r="J923" s="51">
        <v>2076.61</v>
      </c>
      <c r="K923" s="52">
        <v>1</v>
      </c>
      <c r="L923" s="51">
        <v>10</v>
      </c>
      <c r="M923" s="52">
        <v>14</v>
      </c>
      <c r="N923" s="49">
        <v>7635.66</v>
      </c>
      <c r="O923" s="75">
        <v>12</v>
      </c>
      <c r="P923" s="54">
        <v>214.26999999999998</v>
      </c>
      <c r="Q923" s="54">
        <v>59.709999999999994</v>
      </c>
      <c r="R923" s="53">
        <f t="shared" si="44"/>
        <v>474.90000000000003</v>
      </c>
      <c r="S923" s="51">
        <v>2076.61</v>
      </c>
    </row>
    <row r="924" spans="1:19" ht="15" x14ac:dyDescent="0.25">
      <c r="A924" s="28"/>
      <c r="B924" s="45" t="str">
        <f t="shared" si="42"/>
        <v>Jun-2025</v>
      </c>
      <c r="C924" s="57">
        <v>45813</v>
      </c>
      <c r="D924" s="43">
        <f t="shared" si="43"/>
        <v>299</v>
      </c>
      <c r="E924" s="76">
        <v>2</v>
      </c>
      <c r="F924" s="50">
        <v>14</v>
      </c>
      <c r="G924" s="49">
        <v>12940</v>
      </c>
      <c r="H924" s="73">
        <v>13</v>
      </c>
      <c r="I924" s="52">
        <v>14</v>
      </c>
      <c r="J924" s="51">
        <v>2699.85</v>
      </c>
      <c r="K924" s="52">
        <v>1</v>
      </c>
      <c r="L924" s="51">
        <v>500.11</v>
      </c>
      <c r="M924" s="52">
        <v>9</v>
      </c>
      <c r="N924" s="49">
        <v>10483.69</v>
      </c>
      <c r="O924" s="75">
        <v>9</v>
      </c>
      <c r="P924" s="54">
        <v>243.54000000000002</v>
      </c>
      <c r="Q924" s="54">
        <v>43.69</v>
      </c>
      <c r="R924" s="53">
        <f t="shared" si="44"/>
        <v>647</v>
      </c>
      <c r="S924" s="51">
        <v>2699.85</v>
      </c>
    </row>
    <row r="925" spans="1:19" ht="15" x14ac:dyDescent="0.25">
      <c r="A925" s="28"/>
      <c r="B925" s="45" t="str">
        <f t="shared" si="42"/>
        <v>Jun-2025</v>
      </c>
      <c r="C925" s="57">
        <v>45814</v>
      </c>
      <c r="D925" s="43">
        <f t="shared" si="43"/>
        <v>298</v>
      </c>
      <c r="E925" s="76">
        <v>4</v>
      </c>
      <c r="F925" s="50">
        <v>7</v>
      </c>
      <c r="G925" s="49">
        <v>3400</v>
      </c>
      <c r="H925" s="73">
        <v>6</v>
      </c>
      <c r="I925" s="52">
        <v>7</v>
      </c>
      <c r="J925" s="51">
        <v>109.12</v>
      </c>
      <c r="K925" s="52">
        <v>1</v>
      </c>
      <c r="L925" s="51">
        <v>500.11</v>
      </c>
      <c r="M925" s="52">
        <v>10</v>
      </c>
      <c r="N925" s="49">
        <v>3327.01</v>
      </c>
      <c r="O925" s="75">
        <v>10</v>
      </c>
      <c r="P925" s="54">
        <v>36.129999999999995</v>
      </c>
      <c r="Q925" s="54">
        <v>27.009999999999998</v>
      </c>
      <c r="R925" s="53">
        <f t="shared" si="44"/>
        <v>170</v>
      </c>
      <c r="S925" s="51">
        <v>109.12</v>
      </c>
    </row>
    <row r="926" spans="1:19" ht="15" x14ac:dyDescent="0.25">
      <c r="A926" s="28"/>
      <c r="B926" s="45" t="str">
        <f t="shared" si="42"/>
        <v>Jun-2025</v>
      </c>
      <c r="C926" s="57">
        <v>45815</v>
      </c>
      <c r="D926" s="43">
        <f t="shared" si="43"/>
        <v>297</v>
      </c>
      <c r="E926" s="76">
        <v>4</v>
      </c>
      <c r="F926" s="50">
        <v>13</v>
      </c>
      <c r="G926" s="49">
        <v>7200</v>
      </c>
      <c r="H926" s="73">
        <v>13</v>
      </c>
      <c r="I926" s="52">
        <v>13</v>
      </c>
      <c r="J926" s="51">
        <v>2486.2300000000005</v>
      </c>
      <c r="K926" s="52">
        <v>1</v>
      </c>
      <c r="L926" s="51">
        <v>3</v>
      </c>
      <c r="M926" s="52">
        <v>9</v>
      </c>
      <c r="N926" s="49">
        <v>4934.28</v>
      </c>
      <c r="O926" s="75">
        <v>8</v>
      </c>
      <c r="P926" s="54">
        <v>220.50999999999996</v>
      </c>
      <c r="Q926" s="54">
        <v>34.28</v>
      </c>
      <c r="R926" s="53">
        <f t="shared" si="44"/>
        <v>360</v>
      </c>
      <c r="S926" s="51">
        <v>2486.2300000000005</v>
      </c>
    </row>
    <row r="927" spans="1:19" ht="15" x14ac:dyDescent="0.25">
      <c r="A927" s="28"/>
      <c r="B927" s="45" t="str">
        <f t="shared" si="42"/>
        <v>Jun-2025</v>
      </c>
      <c r="C927" s="57">
        <v>45816</v>
      </c>
      <c r="D927" s="43">
        <f t="shared" si="43"/>
        <v>296</v>
      </c>
      <c r="E927" s="76">
        <v>2</v>
      </c>
      <c r="F927" s="50">
        <v>13</v>
      </c>
      <c r="G927" s="49">
        <v>8900</v>
      </c>
      <c r="H927" s="73">
        <v>12</v>
      </c>
      <c r="I927" s="52">
        <v>13</v>
      </c>
      <c r="J927" s="51">
        <v>539.61</v>
      </c>
      <c r="K927" s="52">
        <v>1</v>
      </c>
      <c r="L927" s="51">
        <v>500.11</v>
      </c>
      <c r="M927" s="52">
        <v>19</v>
      </c>
      <c r="N927" s="49">
        <v>8450.14</v>
      </c>
      <c r="O927" s="75">
        <v>16</v>
      </c>
      <c r="P927" s="54">
        <v>89.749999999999986</v>
      </c>
      <c r="Q927" s="54">
        <v>50.14</v>
      </c>
      <c r="R927" s="53">
        <f t="shared" si="44"/>
        <v>445</v>
      </c>
      <c r="S927" s="51">
        <v>539.61</v>
      </c>
    </row>
    <row r="928" spans="1:19" ht="15" x14ac:dyDescent="0.25">
      <c r="A928" s="28"/>
      <c r="B928" s="45" t="str">
        <f t="shared" si="42"/>
        <v>Jun-2025</v>
      </c>
      <c r="C928" s="57">
        <v>45817</v>
      </c>
      <c r="D928" s="43">
        <f t="shared" si="43"/>
        <v>295</v>
      </c>
      <c r="E928" s="76">
        <v>4</v>
      </c>
      <c r="F928" s="50">
        <v>9</v>
      </c>
      <c r="G928" s="49">
        <v>5200</v>
      </c>
      <c r="H928" s="73">
        <v>7</v>
      </c>
      <c r="I928" s="52">
        <v>9</v>
      </c>
      <c r="J928" s="51">
        <v>1078.96</v>
      </c>
      <c r="K928" s="52">
        <v>2</v>
      </c>
      <c r="L928" s="51">
        <v>1000.22</v>
      </c>
      <c r="M928" s="52">
        <v>7</v>
      </c>
      <c r="N928" s="49">
        <v>4217.88</v>
      </c>
      <c r="O928" s="75">
        <v>7</v>
      </c>
      <c r="P928" s="54">
        <v>96.839999999999975</v>
      </c>
      <c r="Q928" s="54">
        <v>17.880000000000003</v>
      </c>
      <c r="R928" s="53">
        <f t="shared" si="44"/>
        <v>260</v>
      </c>
      <c r="S928" s="51">
        <v>1078.96</v>
      </c>
    </row>
    <row r="929" spans="1:19" ht="15" x14ac:dyDescent="0.25">
      <c r="A929" s="28"/>
      <c r="B929" s="45" t="str">
        <f t="shared" si="42"/>
        <v>Jun-2025</v>
      </c>
      <c r="C929" s="57">
        <v>45818</v>
      </c>
      <c r="D929" s="43">
        <f t="shared" si="43"/>
        <v>294</v>
      </c>
      <c r="E929" s="76">
        <v>6</v>
      </c>
      <c r="F929" s="50">
        <v>16</v>
      </c>
      <c r="G929" s="49">
        <v>8000</v>
      </c>
      <c r="H929" s="73">
        <v>14</v>
      </c>
      <c r="I929" s="52">
        <v>16</v>
      </c>
      <c r="J929" s="51">
        <v>2805.75</v>
      </c>
      <c r="K929" s="52">
        <v>2</v>
      </c>
      <c r="L929" s="51">
        <v>1000.22</v>
      </c>
      <c r="M929" s="52">
        <v>14</v>
      </c>
      <c r="N929" s="49">
        <v>5426.19</v>
      </c>
      <c r="O929" s="75">
        <v>13</v>
      </c>
      <c r="P929" s="54">
        <v>231.93999999999997</v>
      </c>
      <c r="Q929" s="54">
        <v>26.189999999999998</v>
      </c>
      <c r="R929" s="53">
        <f t="shared" si="44"/>
        <v>400</v>
      </c>
      <c r="S929" s="51">
        <v>2805.75</v>
      </c>
    </row>
    <row r="930" spans="1:19" ht="15" x14ac:dyDescent="0.25">
      <c r="A930" s="28"/>
      <c r="B930" s="45" t="str">
        <f t="shared" si="42"/>
        <v>Jun-2025</v>
      </c>
      <c r="C930" s="57">
        <v>45819</v>
      </c>
      <c r="D930" s="43">
        <f t="shared" si="43"/>
        <v>293</v>
      </c>
      <c r="E930" s="76">
        <v>2</v>
      </c>
      <c r="F930" s="50">
        <v>12</v>
      </c>
      <c r="G930" s="49">
        <v>6498</v>
      </c>
      <c r="H930" s="73">
        <v>11</v>
      </c>
      <c r="I930" s="52">
        <v>12</v>
      </c>
      <c r="J930" s="51">
        <v>1835.6000000000001</v>
      </c>
      <c r="K930" s="52">
        <v>2</v>
      </c>
      <c r="L930" s="51">
        <v>750.11</v>
      </c>
      <c r="M930" s="52">
        <v>10</v>
      </c>
      <c r="N930" s="49">
        <v>4805.45</v>
      </c>
      <c r="O930" s="75">
        <v>8</v>
      </c>
      <c r="P930" s="54">
        <v>143.05000000000001</v>
      </c>
      <c r="Q930" s="54">
        <v>7.45</v>
      </c>
      <c r="R930" s="53">
        <f t="shared" si="44"/>
        <v>324.90000000000003</v>
      </c>
      <c r="S930" s="51">
        <v>1835.6000000000001</v>
      </c>
    </row>
    <row r="931" spans="1:19" ht="15" x14ac:dyDescent="0.25">
      <c r="A931" s="28"/>
      <c r="B931" s="45" t="str">
        <f t="shared" si="42"/>
        <v>Jun-2025</v>
      </c>
      <c r="C931" s="57">
        <v>45820</v>
      </c>
      <c r="D931" s="43">
        <f t="shared" si="43"/>
        <v>292</v>
      </c>
      <c r="E931" s="76">
        <v>5</v>
      </c>
      <c r="F931" s="50">
        <v>17</v>
      </c>
      <c r="G931" s="49">
        <v>8180</v>
      </c>
      <c r="H931" s="73">
        <v>14</v>
      </c>
      <c r="I931" s="52">
        <v>17</v>
      </c>
      <c r="J931" s="51">
        <v>1837.88</v>
      </c>
      <c r="K931" s="52">
        <v>3</v>
      </c>
      <c r="L931" s="51">
        <v>1500.33</v>
      </c>
      <c r="M931" s="52">
        <v>10</v>
      </c>
      <c r="N931" s="49">
        <v>6530.15</v>
      </c>
      <c r="O931" s="75">
        <v>10</v>
      </c>
      <c r="P931" s="54">
        <v>188.03000000000003</v>
      </c>
      <c r="Q931" s="54">
        <v>50.149999999999991</v>
      </c>
      <c r="R931" s="53">
        <f t="shared" si="44"/>
        <v>409</v>
      </c>
      <c r="S931" s="51">
        <v>1837.88</v>
      </c>
    </row>
    <row r="932" spans="1:19" ht="15" x14ac:dyDescent="0.25">
      <c r="A932" s="28"/>
      <c r="B932" s="45" t="str">
        <f t="shared" si="42"/>
        <v>Jun-2025</v>
      </c>
      <c r="C932" s="57">
        <v>45821</v>
      </c>
      <c r="D932" s="43">
        <f t="shared" si="43"/>
        <v>291</v>
      </c>
      <c r="E932" s="76">
        <v>2</v>
      </c>
      <c r="F932" s="50">
        <v>14</v>
      </c>
      <c r="G932" s="49">
        <v>8898</v>
      </c>
      <c r="H932" s="73">
        <v>13</v>
      </c>
      <c r="I932" s="52">
        <v>14</v>
      </c>
      <c r="J932" s="51">
        <v>2479.6999999999998</v>
      </c>
      <c r="K932" s="52">
        <v>1</v>
      </c>
      <c r="L932" s="51">
        <v>500.11</v>
      </c>
      <c r="M932" s="52">
        <v>13</v>
      </c>
      <c r="N932" s="49">
        <v>6630.5</v>
      </c>
      <c r="O932" s="75">
        <v>11</v>
      </c>
      <c r="P932" s="54">
        <v>212.20000000000002</v>
      </c>
      <c r="Q932" s="54">
        <v>32.5</v>
      </c>
      <c r="R932" s="53">
        <f t="shared" si="44"/>
        <v>444.90000000000003</v>
      </c>
      <c r="S932" s="51">
        <v>2479.6999999999998</v>
      </c>
    </row>
    <row r="933" spans="1:19" ht="15" x14ac:dyDescent="0.25">
      <c r="A933" s="28"/>
      <c r="B933" s="45" t="str">
        <f t="shared" si="42"/>
        <v>Jun-2025</v>
      </c>
      <c r="C933" s="57">
        <v>45822</v>
      </c>
      <c r="D933" s="43">
        <f t="shared" si="43"/>
        <v>290</v>
      </c>
      <c r="E933" s="76">
        <v>5</v>
      </c>
      <c r="F933" s="50">
        <v>11</v>
      </c>
      <c r="G933" s="49">
        <v>8100</v>
      </c>
      <c r="H933" s="73">
        <v>9</v>
      </c>
      <c r="I933" s="52">
        <v>11</v>
      </c>
      <c r="J933" s="51">
        <v>647.71</v>
      </c>
      <c r="K933" s="52">
        <v>3</v>
      </c>
      <c r="L933" s="51">
        <v>1008.22</v>
      </c>
      <c r="M933" s="52">
        <v>17</v>
      </c>
      <c r="N933" s="49">
        <v>7525.5</v>
      </c>
      <c r="O933" s="75">
        <v>13</v>
      </c>
      <c r="P933" s="54">
        <v>73.20999999999998</v>
      </c>
      <c r="Q933" s="54">
        <v>25.5</v>
      </c>
      <c r="R933" s="53">
        <f t="shared" si="44"/>
        <v>405</v>
      </c>
      <c r="S933" s="51">
        <v>647.71</v>
      </c>
    </row>
    <row r="934" spans="1:19" ht="15" x14ac:dyDescent="0.25">
      <c r="A934" s="28"/>
      <c r="B934" s="45" t="str">
        <f t="shared" si="42"/>
        <v>Jun-2025</v>
      </c>
      <c r="C934" s="57">
        <v>45823</v>
      </c>
      <c r="D934" s="43">
        <f t="shared" si="43"/>
        <v>289</v>
      </c>
      <c r="E934" s="76">
        <v>4</v>
      </c>
      <c r="F934" s="50">
        <v>13</v>
      </c>
      <c r="G934" s="49">
        <v>6730</v>
      </c>
      <c r="H934" s="73">
        <v>12</v>
      </c>
      <c r="I934" s="52">
        <v>13</v>
      </c>
      <c r="J934" s="51">
        <v>3017.2</v>
      </c>
      <c r="K934" s="52">
        <v>1</v>
      </c>
      <c r="L934" s="51">
        <v>500.11</v>
      </c>
      <c r="M934" s="52">
        <v>7</v>
      </c>
      <c r="N934" s="49">
        <v>3943.59</v>
      </c>
      <c r="O934" s="75">
        <v>7</v>
      </c>
      <c r="P934" s="54">
        <v>230.79000000000002</v>
      </c>
      <c r="Q934" s="54">
        <v>13.590000000000002</v>
      </c>
      <c r="R934" s="53">
        <f t="shared" si="44"/>
        <v>336.5</v>
      </c>
      <c r="S934" s="51">
        <v>3017.2</v>
      </c>
    </row>
    <row r="935" spans="1:19" ht="15" x14ac:dyDescent="0.25">
      <c r="A935" s="28"/>
      <c r="B935" s="45" t="str">
        <f t="shared" si="42"/>
        <v>Jun-2025</v>
      </c>
      <c r="C935" s="57">
        <v>45824</v>
      </c>
      <c r="D935" s="43">
        <f t="shared" si="43"/>
        <v>288</v>
      </c>
      <c r="E935" s="76">
        <v>2</v>
      </c>
      <c r="F935" s="50">
        <v>13</v>
      </c>
      <c r="G935" s="49">
        <v>9480</v>
      </c>
      <c r="H935" s="73">
        <v>12</v>
      </c>
      <c r="I935" s="52">
        <v>13</v>
      </c>
      <c r="J935" s="51">
        <v>1592.8700000000003</v>
      </c>
      <c r="K935" s="52">
        <v>1</v>
      </c>
      <c r="L935" s="51">
        <v>500.11</v>
      </c>
      <c r="M935" s="52">
        <v>10</v>
      </c>
      <c r="N935" s="49">
        <v>8053.29</v>
      </c>
      <c r="O935" s="75">
        <v>10</v>
      </c>
      <c r="P935" s="54">
        <v>166.16000000000005</v>
      </c>
      <c r="Q935" s="54">
        <v>53.289999999999992</v>
      </c>
      <c r="R935" s="53">
        <f t="shared" si="44"/>
        <v>474</v>
      </c>
      <c r="S935" s="51">
        <v>1592.8700000000003</v>
      </c>
    </row>
    <row r="936" spans="1:19" ht="15" x14ac:dyDescent="0.25">
      <c r="A936" s="28"/>
      <c r="B936" s="45" t="str">
        <f t="shared" si="42"/>
        <v>Jun-2025</v>
      </c>
      <c r="C936" s="57">
        <v>45825</v>
      </c>
      <c r="D936" s="43">
        <f t="shared" si="43"/>
        <v>287</v>
      </c>
      <c r="E936" s="76">
        <v>4</v>
      </c>
      <c r="F936" s="50">
        <v>11</v>
      </c>
      <c r="G936" s="49">
        <v>6600</v>
      </c>
      <c r="H936" s="73">
        <v>7</v>
      </c>
      <c r="I936" s="52">
        <v>11</v>
      </c>
      <c r="J936" s="51">
        <v>1076.8800000000001</v>
      </c>
      <c r="K936" s="52">
        <v>4</v>
      </c>
      <c r="L936" s="51">
        <v>2000.44</v>
      </c>
      <c r="M936" s="52">
        <v>13</v>
      </c>
      <c r="N936" s="49">
        <v>5612.55</v>
      </c>
      <c r="O936" s="75">
        <v>12</v>
      </c>
      <c r="P936" s="54">
        <v>89.429999999999993</v>
      </c>
      <c r="Q936" s="54">
        <v>12.55</v>
      </c>
      <c r="R936" s="53">
        <f t="shared" si="44"/>
        <v>330</v>
      </c>
      <c r="S936" s="51">
        <v>1076.8800000000001</v>
      </c>
    </row>
    <row r="937" spans="1:19" ht="15" x14ac:dyDescent="0.25">
      <c r="A937" s="28"/>
      <c r="B937" s="45" t="str">
        <f t="shared" si="42"/>
        <v>Jun-2025</v>
      </c>
      <c r="C937" s="57">
        <v>45826</v>
      </c>
      <c r="D937" s="43">
        <f t="shared" si="43"/>
        <v>286</v>
      </c>
      <c r="E937" s="76">
        <v>1</v>
      </c>
      <c r="F937" s="50">
        <v>16</v>
      </c>
      <c r="G937" s="49">
        <v>9200</v>
      </c>
      <c r="H937" s="73">
        <v>9</v>
      </c>
      <c r="I937" s="52">
        <v>16</v>
      </c>
      <c r="J937" s="51">
        <v>647.06999999999994</v>
      </c>
      <c r="K937" s="52">
        <v>7</v>
      </c>
      <c r="L937" s="51">
        <v>3500.7700000000004</v>
      </c>
      <c r="M937" s="52">
        <v>16</v>
      </c>
      <c r="N937" s="49">
        <v>8618.85</v>
      </c>
      <c r="O937" s="75">
        <v>15</v>
      </c>
      <c r="P937" s="54">
        <v>65.92</v>
      </c>
      <c r="Q937" s="54">
        <v>18.850000000000001</v>
      </c>
      <c r="R937" s="53">
        <f t="shared" si="44"/>
        <v>460</v>
      </c>
      <c r="S937" s="51">
        <v>647.06999999999994</v>
      </c>
    </row>
    <row r="938" spans="1:19" ht="15" x14ac:dyDescent="0.25">
      <c r="A938" s="28"/>
      <c r="B938" s="45" t="str">
        <f t="shared" si="42"/>
        <v>Jun-2025</v>
      </c>
      <c r="C938" s="57">
        <v>45827</v>
      </c>
      <c r="D938" s="43">
        <f t="shared" si="43"/>
        <v>285</v>
      </c>
      <c r="E938" s="76">
        <v>4</v>
      </c>
      <c r="F938" s="50">
        <v>13</v>
      </c>
      <c r="G938" s="49">
        <v>8510</v>
      </c>
      <c r="H938" s="73">
        <v>6</v>
      </c>
      <c r="I938" s="52">
        <v>13</v>
      </c>
      <c r="J938" s="51">
        <v>0</v>
      </c>
      <c r="K938" s="52">
        <v>7</v>
      </c>
      <c r="L938" s="51">
        <v>3500.7700000000004</v>
      </c>
      <c r="M938" s="52">
        <v>15</v>
      </c>
      <c r="N938" s="49">
        <v>8531.4</v>
      </c>
      <c r="O938" s="75">
        <v>14</v>
      </c>
      <c r="P938" s="54">
        <v>21.4</v>
      </c>
      <c r="Q938" s="54">
        <v>21.4</v>
      </c>
      <c r="R938" s="53">
        <f t="shared" si="44"/>
        <v>425.5</v>
      </c>
      <c r="S938" s="51"/>
    </row>
    <row r="939" spans="1:19" ht="15" x14ac:dyDescent="0.25">
      <c r="A939" s="28"/>
      <c r="B939" s="45" t="str">
        <f t="shared" si="42"/>
        <v>Jun-2025</v>
      </c>
      <c r="C939" s="57">
        <v>45828</v>
      </c>
      <c r="D939" s="43">
        <f t="shared" si="43"/>
        <v>284</v>
      </c>
      <c r="F939" s="50">
        <v>10</v>
      </c>
      <c r="G939" s="49">
        <v>7198</v>
      </c>
      <c r="H939" s="73">
        <v>8</v>
      </c>
      <c r="I939" s="52">
        <v>10</v>
      </c>
      <c r="J939" s="51">
        <v>538.04999999999995</v>
      </c>
      <c r="K939" s="52">
        <v>2</v>
      </c>
      <c r="L939" s="51">
        <v>1000.22</v>
      </c>
      <c r="M939" s="52">
        <v>13</v>
      </c>
      <c r="N939" s="49">
        <v>6710.89</v>
      </c>
      <c r="O939" s="75">
        <v>10</v>
      </c>
      <c r="P939" s="54">
        <v>50.940000000000005</v>
      </c>
      <c r="Q939" s="54">
        <v>12.89</v>
      </c>
      <c r="R939" s="53">
        <f t="shared" si="44"/>
        <v>359.90000000000003</v>
      </c>
      <c r="S939" s="51">
        <v>538.04999999999995</v>
      </c>
    </row>
    <row r="940" spans="1:19" ht="15" x14ac:dyDescent="0.25">
      <c r="A940" s="28"/>
      <c r="B940" s="45" t="str">
        <f t="shared" si="42"/>
        <v>Jun-2025</v>
      </c>
      <c r="C940" s="57">
        <v>45829</v>
      </c>
      <c r="D940" s="43">
        <f t="shared" si="43"/>
        <v>283</v>
      </c>
      <c r="E940" s="76">
        <v>2</v>
      </c>
      <c r="F940" s="50">
        <v>8</v>
      </c>
      <c r="G940" s="49">
        <v>5600</v>
      </c>
      <c r="H940" s="73">
        <v>7</v>
      </c>
      <c r="I940" s="52">
        <v>8</v>
      </c>
      <c r="J940" s="51">
        <v>0</v>
      </c>
      <c r="K940" s="52">
        <v>2</v>
      </c>
      <c r="L940" s="51">
        <v>1000.22</v>
      </c>
      <c r="M940" s="52">
        <v>8</v>
      </c>
      <c r="N940" s="49">
        <v>5615.97</v>
      </c>
      <c r="O940" s="75">
        <v>8</v>
      </c>
      <c r="P940" s="54">
        <v>15.969999999999999</v>
      </c>
      <c r="Q940" s="54">
        <v>15.969999999999999</v>
      </c>
      <c r="R940" s="53">
        <f t="shared" si="44"/>
        <v>280</v>
      </c>
      <c r="S940" s="51"/>
    </row>
    <row r="941" spans="1:19" ht="15" x14ac:dyDescent="0.25">
      <c r="A941" s="28"/>
      <c r="B941" s="45" t="str">
        <f t="shared" si="42"/>
        <v>Jun-2025</v>
      </c>
      <c r="C941" s="57">
        <v>45830</v>
      </c>
      <c r="D941" s="43">
        <f t="shared" si="43"/>
        <v>282</v>
      </c>
      <c r="E941" s="76">
        <v>2</v>
      </c>
      <c r="F941" s="50">
        <v>9</v>
      </c>
      <c r="G941" s="49">
        <v>9860</v>
      </c>
      <c r="H941" s="73">
        <v>8</v>
      </c>
      <c r="I941" s="52">
        <v>9</v>
      </c>
      <c r="J941" s="51">
        <v>2365.66</v>
      </c>
      <c r="K941" s="52">
        <v>1</v>
      </c>
      <c r="L941" s="51">
        <v>500.11</v>
      </c>
      <c r="M941" s="52">
        <v>7</v>
      </c>
      <c r="N941" s="49">
        <v>7717.03</v>
      </c>
      <c r="O941" s="75">
        <v>7</v>
      </c>
      <c r="P941" s="54">
        <v>222.69</v>
      </c>
      <c r="Q941" s="54">
        <v>57.03</v>
      </c>
      <c r="R941" s="53">
        <f t="shared" si="44"/>
        <v>493</v>
      </c>
      <c r="S941" s="51">
        <v>2365.66</v>
      </c>
    </row>
    <row r="942" spans="1:19" ht="15" x14ac:dyDescent="0.25">
      <c r="A942" s="28"/>
      <c r="B942" s="45" t="str">
        <f t="shared" si="42"/>
        <v>Jun-2025</v>
      </c>
      <c r="C942" s="57">
        <v>45831</v>
      </c>
      <c r="D942" s="43">
        <f t="shared" si="43"/>
        <v>281</v>
      </c>
      <c r="E942" s="76">
        <v>5</v>
      </c>
      <c r="F942" s="50">
        <v>10</v>
      </c>
      <c r="G942" s="49">
        <v>4630</v>
      </c>
      <c r="H942" s="73">
        <v>10</v>
      </c>
      <c r="I942" s="52">
        <v>10</v>
      </c>
      <c r="J942" s="51">
        <v>537.66</v>
      </c>
      <c r="K942" s="52">
        <v>2</v>
      </c>
      <c r="L942" s="51">
        <v>700.15</v>
      </c>
      <c r="M942" s="52">
        <v>13</v>
      </c>
      <c r="N942" s="49">
        <v>4169.5</v>
      </c>
      <c r="O942" s="75">
        <v>12</v>
      </c>
      <c r="P942" s="54">
        <v>77.16</v>
      </c>
      <c r="Q942" s="54">
        <v>39.5</v>
      </c>
      <c r="R942" s="53">
        <f t="shared" si="44"/>
        <v>231.5</v>
      </c>
      <c r="S942" s="51">
        <v>537.66</v>
      </c>
    </row>
    <row r="943" spans="1:19" ht="15" x14ac:dyDescent="0.25">
      <c r="A943" s="28"/>
      <c r="B943" s="45" t="str">
        <f t="shared" si="42"/>
        <v>Jun-2025</v>
      </c>
      <c r="C943" s="57">
        <v>45832</v>
      </c>
      <c r="D943" s="43">
        <f t="shared" si="43"/>
        <v>280</v>
      </c>
      <c r="E943" s="76">
        <v>4</v>
      </c>
      <c r="F943" s="50">
        <v>11</v>
      </c>
      <c r="G943" s="49">
        <v>11548</v>
      </c>
      <c r="H943" s="73">
        <v>11</v>
      </c>
      <c r="I943" s="52">
        <v>11</v>
      </c>
      <c r="J943" s="51">
        <v>537.53</v>
      </c>
      <c r="K943" s="52"/>
      <c r="L943" s="51"/>
      <c r="M943" s="52">
        <v>19</v>
      </c>
      <c r="N943" s="49">
        <v>11096.7</v>
      </c>
      <c r="O943" s="75">
        <v>14</v>
      </c>
      <c r="P943" s="54">
        <v>86.229999999999961</v>
      </c>
      <c r="Q943" s="54">
        <v>48.699999999999996</v>
      </c>
      <c r="R943" s="53">
        <f t="shared" si="44"/>
        <v>577.4</v>
      </c>
      <c r="S943" s="51">
        <v>537.53</v>
      </c>
    </row>
    <row r="944" spans="1:19" ht="15" x14ac:dyDescent="0.25">
      <c r="A944" s="28"/>
      <c r="B944" s="45" t="str">
        <f t="shared" si="42"/>
        <v>Jun-2025</v>
      </c>
      <c r="C944" s="57">
        <v>45833</v>
      </c>
      <c r="D944" s="43">
        <f t="shared" si="43"/>
        <v>279</v>
      </c>
      <c r="E944" s="76">
        <v>1</v>
      </c>
      <c r="F944" s="50">
        <v>12</v>
      </c>
      <c r="G944" s="49">
        <v>5580</v>
      </c>
      <c r="H944" s="73">
        <v>11</v>
      </c>
      <c r="I944" s="52">
        <v>12</v>
      </c>
      <c r="J944" s="51">
        <v>1291.8999999999999</v>
      </c>
      <c r="K944" s="52">
        <v>1</v>
      </c>
      <c r="L944" s="51">
        <v>500.11</v>
      </c>
      <c r="M944" s="52">
        <v>8</v>
      </c>
      <c r="N944" s="49">
        <v>4394.47</v>
      </c>
      <c r="O944" s="75">
        <v>8</v>
      </c>
      <c r="P944" s="54">
        <v>106.36999999999999</v>
      </c>
      <c r="Q944" s="54">
        <v>14.469999999999999</v>
      </c>
      <c r="R944" s="53">
        <f t="shared" si="44"/>
        <v>279</v>
      </c>
      <c r="S944" s="51">
        <v>1291.8999999999999</v>
      </c>
    </row>
    <row r="945" spans="1:19" ht="15" x14ac:dyDescent="0.25">
      <c r="A945" s="28"/>
      <c r="B945" s="45" t="str">
        <f t="shared" si="42"/>
        <v>Jun-2025</v>
      </c>
      <c r="C945" s="57">
        <v>45834</v>
      </c>
      <c r="D945" s="43">
        <f t="shared" si="43"/>
        <v>278</v>
      </c>
      <c r="E945" s="76">
        <v>1</v>
      </c>
      <c r="F945" s="50">
        <v>6</v>
      </c>
      <c r="G945" s="49">
        <v>3200</v>
      </c>
      <c r="H945" s="73">
        <v>4</v>
      </c>
      <c r="I945" s="52">
        <v>6</v>
      </c>
      <c r="J945" s="51">
        <v>1288.8400000000001</v>
      </c>
      <c r="K945" s="52">
        <v>2</v>
      </c>
      <c r="L945" s="51">
        <v>1000.22</v>
      </c>
      <c r="M945" s="52">
        <v>4</v>
      </c>
      <c r="N945" s="49">
        <v>2007.55</v>
      </c>
      <c r="O945" s="75">
        <v>4</v>
      </c>
      <c r="P945" s="54">
        <v>96.39</v>
      </c>
      <c r="Q945" s="54">
        <v>7.55</v>
      </c>
      <c r="R945" s="53">
        <f t="shared" si="44"/>
        <v>160</v>
      </c>
      <c r="S945" s="51">
        <v>1288.8400000000001</v>
      </c>
    </row>
    <row r="946" spans="1:19" ht="15" x14ac:dyDescent="0.25">
      <c r="A946" s="28"/>
      <c r="B946" s="45" t="str">
        <f t="shared" si="42"/>
        <v>Jun-2025</v>
      </c>
      <c r="C946" s="57">
        <v>45835</v>
      </c>
      <c r="D946" s="43">
        <f t="shared" si="43"/>
        <v>277</v>
      </c>
      <c r="E946" s="76">
        <v>4</v>
      </c>
      <c r="F946" s="50">
        <v>11</v>
      </c>
      <c r="G946" s="49">
        <v>6480</v>
      </c>
      <c r="H946" s="73">
        <v>9</v>
      </c>
      <c r="I946" s="52">
        <v>11</v>
      </c>
      <c r="J946" s="51">
        <v>108.49</v>
      </c>
      <c r="K946" s="52">
        <v>2</v>
      </c>
      <c r="L946" s="51">
        <v>1000.22</v>
      </c>
      <c r="M946" s="52">
        <v>21</v>
      </c>
      <c r="N946" s="49">
        <v>6403.65</v>
      </c>
      <c r="O946" s="75">
        <v>16</v>
      </c>
      <c r="P946" s="54">
        <v>32.14</v>
      </c>
      <c r="Q946" s="54">
        <v>23.65</v>
      </c>
      <c r="R946" s="53">
        <f t="shared" si="44"/>
        <v>324</v>
      </c>
      <c r="S946" s="51">
        <v>108.49</v>
      </c>
    </row>
    <row r="947" spans="1:19" ht="15" x14ac:dyDescent="0.25">
      <c r="A947" s="28"/>
      <c r="B947" s="45" t="str">
        <f t="shared" si="42"/>
        <v>Jun-2025</v>
      </c>
      <c r="C947" s="57">
        <v>45836</v>
      </c>
      <c r="D947" s="43">
        <f t="shared" si="43"/>
        <v>276</v>
      </c>
      <c r="E947" s="76">
        <v>1</v>
      </c>
      <c r="F947" s="50">
        <v>5</v>
      </c>
      <c r="G947" s="49">
        <v>4898</v>
      </c>
      <c r="H947" s="73">
        <v>4</v>
      </c>
      <c r="I947" s="52">
        <v>5</v>
      </c>
      <c r="J947" s="51">
        <v>0</v>
      </c>
      <c r="K947" s="52">
        <v>1</v>
      </c>
      <c r="L947" s="51">
        <v>500.11</v>
      </c>
      <c r="M947" s="52">
        <v>7</v>
      </c>
      <c r="N947" s="49">
        <v>4911.28</v>
      </c>
      <c r="O947" s="75">
        <v>6</v>
      </c>
      <c r="P947" s="54">
        <v>13.280000000000001</v>
      </c>
      <c r="Q947" s="54">
        <v>13.280000000000001</v>
      </c>
      <c r="R947" s="53">
        <f t="shared" si="44"/>
        <v>244.9</v>
      </c>
      <c r="S947" s="51"/>
    </row>
    <row r="948" spans="1:19" ht="15" x14ac:dyDescent="0.25">
      <c r="A948" s="28"/>
      <c r="B948" s="45" t="str">
        <f t="shared" si="42"/>
        <v>Jun-2025</v>
      </c>
      <c r="C948" s="57">
        <v>45837</v>
      </c>
      <c r="D948" s="43">
        <f t="shared" si="43"/>
        <v>275</v>
      </c>
      <c r="E948" s="76">
        <v>4</v>
      </c>
      <c r="F948" s="50">
        <v>4</v>
      </c>
      <c r="G948" s="49">
        <v>2400</v>
      </c>
      <c r="H948" s="73">
        <v>4</v>
      </c>
      <c r="I948" s="52">
        <v>4</v>
      </c>
      <c r="J948" s="51">
        <v>0</v>
      </c>
      <c r="K948" s="52">
        <v>2</v>
      </c>
      <c r="L948" s="51">
        <v>505.11</v>
      </c>
      <c r="M948" s="52">
        <v>11</v>
      </c>
      <c r="N948" s="49">
        <v>2405.8000000000002</v>
      </c>
      <c r="O948" s="75">
        <v>8</v>
      </c>
      <c r="P948" s="54">
        <v>5.8000000000000007</v>
      </c>
      <c r="Q948" s="54">
        <v>5.8000000000000007</v>
      </c>
      <c r="R948" s="53">
        <f t="shared" si="44"/>
        <v>120</v>
      </c>
      <c r="S948" s="51"/>
    </row>
    <row r="949" spans="1:19" ht="15" x14ac:dyDescent="0.25">
      <c r="A949" s="28"/>
      <c r="B949" s="45" t="str">
        <f t="shared" si="42"/>
        <v>Jun-2025</v>
      </c>
      <c r="C949" s="57">
        <v>45838</v>
      </c>
      <c r="D949" s="43">
        <f t="shared" si="43"/>
        <v>274</v>
      </c>
      <c r="F949" s="50">
        <v>4</v>
      </c>
      <c r="G949" s="49">
        <v>1970</v>
      </c>
      <c r="H949" s="73">
        <v>2</v>
      </c>
      <c r="I949" s="52">
        <v>4</v>
      </c>
      <c r="J949" s="51">
        <v>503.9</v>
      </c>
      <c r="K949" s="52">
        <v>2</v>
      </c>
      <c r="L949" s="51">
        <v>1000.22</v>
      </c>
      <c r="M949" s="52">
        <v>3</v>
      </c>
      <c r="N949" s="49">
        <v>1500.44</v>
      </c>
      <c r="O949" s="75">
        <v>3</v>
      </c>
      <c r="P949" s="54">
        <v>34.339999999999996</v>
      </c>
      <c r="Q949" s="54">
        <v>0.44</v>
      </c>
      <c r="R949" s="53">
        <f t="shared" si="44"/>
        <v>98.5</v>
      </c>
      <c r="S949" s="51">
        <v>503.9</v>
      </c>
    </row>
    <row r="950" spans="1:19" ht="15" x14ac:dyDescent="0.25">
      <c r="A950" s="28"/>
      <c r="B950" s="45" t="str">
        <f t="shared" si="42"/>
        <v>Jul-2025</v>
      </c>
      <c r="C950" s="57">
        <v>45839</v>
      </c>
      <c r="D950" s="43">
        <f t="shared" si="43"/>
        <v>273</v>
      </c>
      <c r="F950" s="50">
        <v>7</v>
      </c>
      <c r="G950" s="49">
        <v>3950</v>
      </c>
      <c r="H950" s="73">
        <v>7</v>
      </c>
      <c r="I950" s="52">
        <v>7</v>
      </c>
      <c r="J950" s="51">
        <v>0</v>
      </c>
      <c r="K950" s="52"/>
      <c r="L950" s="51"/>
      <c r="M950" s="52">
        <v>9</v>
      </c>
      <c r="N950" s="49">
        <v>3959.16</v>
      </c>
      <c r="O950" s="75">
        <v>9</v>
      </c>
      <c r="P950" s="54">
        <v>9.16</v>
      </c>
      <c r="Q950" s="54">
        <v>9.16</v>
      </c>
      <c r="R950" s="53">
        <f t="shared" si="44"/>
        <v>197.5</v>
      </c>
      <c r="S950" s="51"/>
    </row>
    <row r="951" spans="1:19" ht="15" x14ac:dyDescent="0.25">
      <c r="A951" s="28"/>
      <c r="B951" s="45" t="str">
        <f t="shared" si="42"/>
        <v>Jul-2025</v>
      </c>
      <c r="C951" s="57">
        <v>45840</v>
      </c>
      <c r="D951" s="43">
        <f t="shared" si="43"/>
        <v>272</v>
      </c>
      <c r="E951" s="76">
        <v>2</v>
      </c>
      <c r="F951" s="50">
        <v>9</v>
      </c>
      <c r="G951" s="49">
        <v>8898</v>
      </c>
      <c r="H951" s="73">
        <v>9</v>
      </c>
      <c r="I951" s="52">
        <v>9</v>
      </c>
      <c r="J951" s="51">
        <v>0</v>
      </c>
      <c r="K951" s="52"/>
      <c r="L951" s="51"/>
      <c r="M951" s="52">
        <v>19</v>
      </c>
      <c r="N951" s="49">
        <v>8944.89</v>
      </c>
      <c r="O951" s="75">
        <v>15</v>
      </c>
      <c r="P951" s="54">
        <v>46.889999999999993</v>
      </c>
      <c r="Q951" s="54">
        <v>46.889999999999993</v>
      </c>
      <c r="R951" s="53">
        <f t="shared" si="44"/>
        <v>444.90000000000003</v>
      </c>
      <c r="S951" s="51"/>
    </row>
    <row r="952" spans="1:19" ht="15" x14ac:dyDescent="0.25">
      <c r="A952" s="28"/>
      <c r="B952" s="45" t="str">
        <f t="shared" si="42"/>
        <v>Jul-2025</v>
      </c>
      <c r="C952" s="57">
        <v>45841</v>
      </c>
      <c r="D952" s="43">
        <f t="shared" si="43"/>
        <v>271</v>
      </c>
      <c r="F952" s="50">
        <v>11</v>
      </c>
      <c r="G952" s="49">
        <v>8650</v>
      </c>
      <c r="H952" s="73">
        <v>11</v>
      </c>
      <c r="I952" s="52">
        <v>11</v>
      </c>
      <c r="J952" s="51">
        <v>0</v>
      </c>
      <c r="K952" s="52">
        <v>2</v>
      </c>
      <c r="L952" s="51">
        <v>800.18</v>
      </c>
      <c r="M952" s="52">
        <v>14</v>
      </c>
      <c r="N952" s="49">
        <v>8682.44</v>
      </c>
      <c r="O952" s="75">
        <v>13</v>
      </c>
      <c r="P952" s="54">
        <v>32.44</v>
      </c>
      <c r="Q952" s="54">
        <v>32.44</v>
      </c>
      <c r="R952" s="53">
        <f t="shared" si="44"/>
        <v>432.5</v>
      </c>
      <c r="S952" s="51"/>
    </row>
    <row r="953" spans="1:19" ht="15" x14ac:dyDescent="0.25">
      <c r="A953" s="28"/>
      <c r="B953" s="45" t="str">
        <f t="shared" si="42"/>
        <v>Jul-2025</v>
      </c>
      <c r="C953" s="57">
        <v>45842</v>
      </c>
      <c r="D953" s="43">
        <f t="shared" si="43"/>
        <v>270</v>
      </c>
      <c r="E953" s="76">
        <v>1</v>
      </c>
      <c r="F953" s="50">
        <v>5</v>
      </c>
      <c r="G953" s="49">
        <v>2100</v>
      </c>
      <c r="H953" s="73">
        <v>5</v>
      </c>
      <c r="I953" s="52">
        <v>5</v>
      </c>
      <c r="J953" s="51">
        <v>1180.74</v>
      </c>
      <c r="K953" s="52"/>
      <c r="L953" s="51"/>
      <c r="M953" s="52">
        <v>2</v>
      </c>
      <c r="N953" s="49">
        <v>1006.68</v>
      </c>
      <c r="O953" s="75">
        <v>2</v>
      </c>
      <c r="P953" s="54">
        <v>87.419999999999987</v>
      </c>
      <c r="Q953" s="54">
        <v>6.68</v>
      </c>
      <c r="R953" s="53">
        <f t="shared" si="44"/>
        <v>105</v>
      </c>
      <c r="S953" s="51">
        <v>1180.74</v>
      </c>
    </row>
    <row r="954" spans="1:19" ht="15" x14ac:dyDescent="0.25">
      <c r="A954" s="28"/>
      <c r="B954" s="45" t="str">
        <f t="shared" si="42"/>
        <v>Jul-2025</v>
      </c>
      <c r="C954" s="57">
        <v>45843</v>
      </c>
      <c r="D954" s="43">
        <f t="shared" si="43"/>
        <v>269</v>
      </c>
      <c r="E954" s="76">
        <v>3</v>
      </c>
      <c r="F954" s="50">
        <v>6</v>
      </c>
      <c r="G954" s="49">
        <v>5198</v>
      </c>
      <c r="H954" s="73">
        <v>6</v>
      </c>
      <c r="I954" s="52">
        <v>6</v>
      </c>
      <c r="J954" s="51">
        <v>536.1</v>
      </c>
      <c r="K954" s="52"/>
      <c r="L954" s="51"/>
      <c r="M954" s="52">
        <v>9</v>
      </c>
      <c r="N954" s="49">
        <v>4707.42</v>
      </c>
      <c r="O954" s="75">
        <v>7</v>
      </c>
      <c r="P954" s="54">
        <v>45.519999999999989</v>
      </c>
      <c r="Q954" s="54">
        <v>9.4200000000000017</v>
      </c>
      <c r="R954" s="53">
        <f t="shared" si="44"/>
        <v>259.90000000000003</v>
      </c>
      <c r="S954" s="51">
        <v>536.1</v>
      </c>
    </row>
    <row r="955" spans="1:19" ht="15" x14ac:dyDescent="0.25">
      <c r="A955" s="28"/>
      <c r="B955" s="45" t="str">
        <f t="shared" si="42"/>
        <v>Jul-2025</v>
      </c>
      <c r="C955" s="57">
        <v>45844</v>
      </c>
      <c r="D955" s="43">
        <f t="shared" si="43"/>
        <v>268</v>
      </c>
      <c r="F955" s="50">
        <v>5</v>
      </c>
      <c r="G955" s="49">
        <v>4460</v>
      </c>
      <c r="H955" s="73">
        <v>5</v>
      </c>
      <c r="I955" s="52">
        <v>5</v>
      </c>
      <c r="J955" s="51">
        <v>535.97</v>
      </c>
      <c r="K955" s="52"/>
      <c r="L955" s="51"/>
      <c r="M955" s="52">
        <v>19</v>
      </c>
      <c r="N955" s="49">
        <v>3980.61</v>
      </c>
      <c r="O955" s="75">
        <v>14</v>
      </c>
      <c r="P955" s="54">
        <v>56.579999999999991</v>
      </c>
      <c r="Q955" s="54">
        <v>20.61</v>
      </c>
      <c r="R955" s="53">
        <f t="shared" si="44"/>
        <v>223</v>
      </c>
      <c r="S955" s="51">
        <v>535.97</v>
      </c>
    </row>
    <row r="956" spans="1:19" ht="15" x14ac:dyDescent="0.25">
      <c r="A956" s="28"/>
      <c r="B956" s="45" t="str">
        <f t="shared" si="42"/>
        <v>Jul-2025</v>
      </c>
      <c r="C956" s="57">
        <v>45845</v>
      </c>
      <c r="D956" s="43">
        <f t="shared" si="43"/>
        <v>267</v>
      </c>
      <c r="E956" s="76">
        <v>3</v>
      </c>
      <c r="F956" s="50">
        <v>8</v>
      </c>
      <c r="G956" s="49">
        <v>4450</v>
      </c>
      <c r="H956" s="73">
        <v>8</v>
      </c>
      <c r="I956" s="52">
        <v>8</v>
      </c>
      <c r="J956" s="51">
        <v>1982.39</v>
      </c>
      <c r="K956" s="52"/>
      <c r="L956" s="51"/>
      <c r="M956" s="52">
        <v>9</v>
      </c>
      <c r="N956" s="49">
        <v>2619.6</v>
      </c>
      <c r="O956" s="75">
        <v>9</v>
      </c>
      <c r="P956" s="54">
        <v>151.98999999999998</v>
      </c>
      <c r="Q956" s="54">
        <v>19.600000000000001</v>
      </c>
      <c r="R956" s="53">
        <f t="shared" si="44"/>
        <v>222.5</v>
      </c>
      <c r="S956" s="51">
        <v>1982.3900000000003</v>
      </c>
    </row>
    <row r="957" spans="1:19" ht="15" x14ac:dyDescent="0.25">
      <c r="A957" s="28"/>
      <c r="B957" s="45" t="str">
        <f t="shared" si="42"/>
        <v>Jul-2025</v>
      </c>
      <c r="C957" s="57">
        <v>45846</v>
      </c>
      <c r="D957" s="43">
        <f t="shared" si="43"/>
        <v>266</v>
      </c>
      <c r="E957" s="76">
        <v>1</v>
      </c>
      <c r="F957" s="50">
        <v>6</v>
      </c>
      <c r="G957" s="49">
        <v>4800</v>
      </c>
      <c r="H957" s="73">
        <v>6</v>
      </c>
      <c r="I957" s="52">
        <v>6</v>
      </c>
      <c r="J957" s="51">
        <v>535.71</v>
      </c>
      <c r="K957" s="52"/>
      <c r="L957" s="51"/>
      <c r="M957" s="52">
        <v>5</v>
      </c>
      <c r="N957" s="49">
        <v>4310.08</v>
      </c>
      <c r="O957" s="75">
        <v>5</v>
      </c>
      <c r="P957" s="54">
        <v>45.79</v>
      </c>
      <c r="Q957" s="54">
        <v>10.079999999999998</v>
      </c>
      <c r="R957" s="53">
        <f t="shared" si="44"/>
        <v>240</v>
      </c>
      <c r="S957" s="51">
        <v>535.71</v>
      </c>
    </row>
    <row r="958" spans="1:19" ht="15" x14ac:dyDescent="0.25">
      <c r="A958" s="28"/>
      <c r="B958" s="45" t="str">
        <f t="shared" si="42"/>
        <v>Jul-2025</v>
      </c>
      <c r="C958" s="57">
        <v>45847</v>
      </c>
      <c r="D958" s="43">
        <f t="shared" si="43"/>
        <v>265</v>
      </c>
      <c r="E958" s="76">
        <v>1</v>
      </c>
      <c r="F958" s="50">
        <v>12</v>
      </c>
      <c r="G958" s="49">
        <v>7300</v>
      </c>
      <c r="H958" s="73">
        <v>12</v>
      </c>
      <c r="I958" s="52">
        <v>12</v>
      </c>
      <c r="J958" s="51">
        <v>154.72</v>
      </c>
      <c r="K958" s="52"/>
      <c r="L958" s="51"/>
      <c r="M958" s="52">
        <v>13</v>
      </c>
      <c r="N958" s="49">
        <v>7205.75</v>
      </c>
      <c r="O958" s="75">
        <v>13</v>
      </c>
      <c r="P958" s="54">
        <v>60.469999999999992</v>
      </c>
      <c r="Q958" s="54">
        <v>51.21</v>
      </c>
      <c r="R958" s="53">
        <f t="shared" si="44"/>
        <v>365</v>
      </c>
      <c r="S958" s="51">
        <v>154.72</v>
      </c>
    </row>
    <row r="959" spans="1:19" ht="15" x14ac:dyDescent="0.25">
      <c r="A959" s="28"/>
      <c r="B959" s="45" t="str">
        <f t="shared" si="42"/>
        <v>Jul-2025</v>
      </c>
      <c r="C959" s="57">
        <v>45848</v>
      </c>
      <c r="D959" s="43">
        <f t="shared" si="43"/>
        <v>264</v>
      </c>
      <c r="E959" s="76">
        <v>2</v>
      </c>
      <c r="F959" s="50">
        <v>10</v>
      </c>
      <c r="G959" s="49">
        <v>7548</v>
      </c>
      <c r="H959" s="73">
        <v>10</v>
      </c>
      <c r="I959" s="52">
        <v>10</v>
      </c>
      <c r="J959" s="51">
        <v>0</v>
      </c>
      <c r="K959" s="52"/>
      <c r="L959" s="51"/>
      <c r="M959" s="52">
        <v>13</v>
      </c>
      <c r="N959" s="49">
        <v>7595.47</v>
      </c>
      <c r="O959" s="75">
        <v>13</v>
      </c>
      <c r="P959" s="54">
        <v>47.47</v>
      </c>
      <c r="Q959" s="54">
        <v>47.47</v>
      </c>
      <c r="R959" s="53">
        <f t="shared" si="44"/>
        <v>377.40000000000003</v>
      </c>
      <c r="S959" s="51"/>
    </row>
    <row r="960" spans="1:19" ht="15" x14ac:dyDescent="0.25">
      <c r="A960" s="28"/>
      <c r="B960" s="45" t="str">
        <f t="shared" si="42"/>
        <v>Jul-2025</v>
      </c>
      <c r="C960" s="57">
        <v>45849</v>
      </c>
      <c r="D960" s="43">
        <f t="shared" si="43"/>
        <v>263</v>
      </c>
      <c r="F960" s="50">
        <v>5</v>
      </c>
      <c r="G960" s="49">
        <v>2440</v>
      </c>
      <c r="H960" s="73">
        <v>5</v>
      </c>
      <c r="I960" s="52">
        <v>5</v>
      </c>
      <c r="J960" s="51">
        <v>0</v>
      </c>
      <c r="K960" s="52"/>
      <c r="L960" s="51"/>
      <c r="M960" s="52">
        <v>6</v>
      </c>
      <c r="N960" s="49">
        <v>2447.94</v>
      </c>
      <c r="O960" s="75">
        <v>6</v>
      </c>
      <c r="P960" s="54">
        <v>7.9400000000000013</v>
      </c>
      <c r="Q960" s="54">
        <v>7.9400000000000013</v>
      </c>
      <c r="R960" s="53">
        <f t="shared" si="44"/>
        <v>122</v>
      </c>
      <c r="S960" s="51"/>
    </row>
    <row r="961" spans="1:19" ht="15" x14ac:dyDescent="0.25">
      <c r="A961" s="28"/>
      <c r="B961" s="45" t="str">
        <f t="shared" si="42"/>
        <v>Jul-2025</v>
      </c>
      <c r="C961" s="57">
        <v>45850</v>
      </c>
      <c r="D961" s="43">
        <f t="shared" si="43"/>
        <v>262</v>
      </c>
      <c r="E961" s="76">
        <v>5</v>
      </c>
      <c r="F961" s="50">
        <v>6</v>
      </c>
      <c r="G961" s="49">
        <v>5580</v>
      </c>
      <c r="H961" s="73">
        <v>6</v>
      </c>
      <c r="I961" s="52">
        <v>6</v>
      </c>
      <c r="J961" s="51">
        <v>0</v>
      </c>
      <c r="K961" s="52"/>
      <c r="L961" s="51"/>
      <c r="M961" s="52">
        <v>6</v>
      </c>
      <c r="N961" s="49">
        <v>5619.79</v>
      </c>
      <c r="O961" s="75">
        <v>6</v>
      </c>
      <c r="P961" s="54">
        <v>39.79</v>
      </c>
      <c r="Q961" s="54">
        <v>39.79</v>
      </c>
      <c r="R961" s="53">
        <f t="shared" si="44"/>
        <v>279</v>
      </c>
      <c r="S961" s="51"/>
    </row>
    <row r="962" spans="1:19" ht="15" x14ac:dyDescent="0.25">
      <c r="A962" s="28"/>
      <c r="B962" s="45" t="str">
        <f t="shared" si="42"/>
        <v>Jul-2025</v>
      </c>
      <c r="C962" s="57">
        <v>45851</v>
      </c>
      <c r="D962" s="43">
        <f t="shared" si="43"/>
        <v>261</v>
      </c>
      <c r="F962" s="50">
        <v>8</v>
      </c>
      <c r="G962" s="49">
        <v>4500</v>
      </c>
      <c r="H962" s="73">
        <v>8</v>
      </c>
      <c r="I962" s="52">
        <v>8</v>
      </c>
      <c r="J962" s="51">
        <v>1818.6299999999999</v>
      </c>
      <c r="K962" s="52"/>
      <c r="L962" s="51"/>
      <c r="M962" s="52">
        <v>7</v>
      </c>
      <c r="N962" s="49">
        <v>2812.23</v>
      </c>
      <c r="O962" s="75">
        <v>7</v>
      </c>
      <c r="P962" s="54">
        <v>130.86000000000001</v>
      </c>
      <c r="Q962" s="54">
        <v>12.23</v>
      </c>
      <c r="R962" s="53">
        <f t="shared" si="44"/>
        <v>225</v>
      </c>
      <c r="S962" s="51">
        <v>1818.6299999999999</v>
      </c>
    </row>
    <row r="963" spans="1:19" ht="15" x14ac:dyDescent="0.25">
      <c r="A963" s="28"/>
      <c r="B963" s="45" t="str">
        <f t="shared" si="42"/>
        <v>Jul-2025</v>
      </c>
      <c r="C963" s="57">
        <v>45852</v>
      </c>
      <c r="D963" s="43">
        <f t="shared" si="43"/>
        <v>260</v>
      </c>
      <c r="F963" s="50">
        <v>10</v>
      </c>
      <c r="G963" s="49">
        <v>8050</v>
      </c>
      <c r="H963" s="73">
        <v>10</v>
      </c>
      <c r="I963" s="52">
        <v>10</v>
      </c>
      <c r="J963" s="51">
        <v>430.57</v>
      </c>
      <c r="K963" s="52"/>
      <c r="L963" s="51"/>
      <c r="M963" s="52">
        <v>22</v>
      </c>
      <c r="N963" s="49">
        <v>7699.62</v>
      </c>
      <c r="O963" s="75">
        <v>21</v>
      </c>
      <c r="P963" s="54">
        <v>80.19</v>
      </c>
      <c r="Q963" s="54">
        <v>56.209999999999994</v>
      </c>
      <c r="R963" s="53">
        <f t="shared" si="44"/>
        <v>402.5</v>
      </c>
      <c r="S963" s="51">
        <v>430.57</v>
      </c>
    </row>
    <row r="964" spans="1:19" ht="15" x14ac:dyDescent="0.25">
      <c r="A964" s="28"/>
      <c r="B964" s="45" t="str">
        <f t="shared" si="42"/>
        <v>Jul-2025</v>
      </c>
      <c r="C964" s="57">
        <v>45853</v>
      </c>
      <c r="D964" s="43">
        <f t="shared" si="43"/>
        <v>259</v>
      </c>
      <c r="E964" s="76">
        <v>1</v>
      </c>
      <c r="F964" s="50">
        <v>6</v>
      </c>
      <c r="G964" s="49">
        <v>4648</v>
      </c>
      <c r="H964" s="73">
        <v>6</v>
      </c>
      <c r="I964" s="52">
        <v>6</v>
      </c>
      <c r="J964" s="51">
        <v>0</v>
      </c>
      <c r="K964" s="52"/>
      <c r="L964" s="51"/>
      <c r="M964" s="52">
        <v>14</v>
      </c>
      <c r="N964" s="49">
        <v>4668.12</v>
      </c>
      <c r="O964" s="75">
        <v>11</v>
      </c>
      <c r="P964" s="54">
        <v>20.119999999999997</v>
      </c>
      <c r="Q964" s="54">
        <v>20.119999999999997</v>
      </c>
      <c r="R964" s="53">
        <f t="shared" si="44"/>
        <v>232.4</v>
      </c>
      <c r="S964" s="51"/>
    </row>
    <row r="965" spans="1:19" ht="15" x14ac:dyDescent="0.25">
      <c r="A965" s="28"/>
      <c r="B965" s="45" t="str">
        <f t="shared" si="42"/>
        <v>Jul-2025</v>
      </c>
      <c r="C965" s="57">
        <v>45854</v>
      </c>
      <c r="D965" s="43">
        <f t="shared" si="43"/>
        <v>258</v>
      </c>
      <c r="E965" s="76">
        <v>3</v>
      </c>
      <c r="F965" s="50">
        <v>3</v>
      </c>
      <c r="G965" s="49">
        <v>1400</v>
      </c>
      <c r="H965" s="73">
        <v>3</v>
      </c>
      <c r="I965" s="52">
        <v>3</v>
      </c>
      <c r="J965" s="51">
        <v>534.66999999999996</v>
      </c>
      <c r="K965" s="52">
        <v>1</v>
      </c>
      <c r="L965" s="51">
        <v>100.02</v>
      </c>
      <c r="M965" s="52">
        <v>2</v>
      </c>
      <c r="N965" s="49">
        <v>930.02</v>
      </c>
      <c r="O965" s="75">
        <v>2</v>
      </c>
      <c r="P965" s="54">
        <v>64.69</v>
      </c>
      <c r="Q965" s="54">
        <v>30.02</v>
      </c>
      <c r="R965" s="53">
        <f t="shared" si="44"/>
        <v>70</v>
      </c>
      <c r="S965" s="51">
        <v>534.66999999999996</v>
      </c>
    </row>
    <row r="966" spans="1:19" ht="15" x14ac:dyDescent="0.25">
      <c r="A966" s="28"/>
      <c r="B966" s="45" t="str">
        <f t="shared" si="42"/>
        <v>Jul-2025</v>
      </c>
      <c r="C966" s="57">
        <v>45855</v>
      </c>
      <c r="D966" s="43">
        <f t="shared" si="43"/>
        <v>257</v>
      </c>
      <c r="F966" s="50">
        <v>12</v>
      </c>
      <c r="G966" s="49">
        <v>6900</v>
      </c>
      <c r="H966" s="73">
        <v>12</v>
      </c>
      <c r="I966" s="52">
        <v>12</v>
      </c>
      <c r="J966" s="51">
        <v>1924.9099999999999</v>
      </c>
      <c r="K966" s="52"/>
      <c r="L966" s="51"/>
      <c r="M966" s="52">
        <v>12</v>
      </c>
      <c r="N966" s="49">
        <v>5134.57</v>
      </c>
      <c r="O966" s="75">
        <v>11</v>
      </c>
      <c r="P966" s="54">
        <v>159.48000000000005</v>
      </c>
      <c r="Q966" s="54">
        <v>34.57</v>
      </c>
      <c r="R966" s="53">
        <f t="shared" si="44"/>
        <v>345</v>
      </c>
      <c r="S966" s="51">
        <v>1924.9099999999999</v>
      </c>
    </row>
    <row r="967" spans="1:19" ht="15" x14ac:dyDescent="0.25">
      <c r="A967" s="28"/>
      <c r="B967" s="45" t="str">
        <f t="shared" si="42"/>
        <v>Jul-2025</v>
      </c>
      <c r="C967" s="57">
        <v>45856</v>
      </c>
      <c r="D967" s="43">
        <f t="shared" si="43"/>
        <v>256</v>
      </c>
      <c r="E967" s="76">
        <v>2</v>
      </c>
      <c r="F967" s="50">
        <v>11</v>
      </c>
      <c r="G967" s="49">
        <v>9500</v>
      </c>
      <c r="H967" s="73">
        <v>11</v>
      </c>
      <c r="I967" s="52">
        <v>11</v>
      </c>
      <c r="J967" s="51">
        <v>1176.6799999999998</v>
      </c>
      <c r="K967" s="52"/>
      <c r="L967" s="51"/>
      <c r="M967" s="52">
        <v>8</v>
      </c>
      <c r="N967" s="49">
        <v>8476.02</v>
      </c>
      <c r="O967" s="75">
        <v>8</v>
      </c>
      <c r="P967" s="54">
        <v>152.70000000000002</v>
      </c>
      <c r="Q967" s="54">
        <v>76.02</v>
      </c>
      <c r="R967" s="53">
        <f t="shared" si="44"/>
        <v>475</v>
      </c>
      <c r="S967" s="51">
        <v>1176.6799999999998</v>
      </c>
    </row>
    <row r="968" spans="1:19" ht="15" x14ac:dyDescent="0.25">
      <c r="A968" s="28"/>
      <c r="B968" s="45" t="str">
        <f t="shared" ref="B968:B1031" si="45">TEXT(C968,"MMM-YYYY")</f>
        <v>Jul-2025</v>
      </c>
      <c r="C968" s="57">
        <v>45857</v>
      </c>
      <c r="D968" s="43">
        <f t="shared" ref="D968:D1031" si="46">$A$1-C968</f>
        <v>255</v>
      </c>
      <c r="F968" s="50">
        <v>12</v>
      </c>
      <c r="G968" s="49">
        <v>11800</v>
      </c>
      <c r="H968" s="73">
        <v>12</v>
      </c>
      <c r="I968" s="52">
        <v>12</v>
      </c>
      <c r="J968" s="51">
        <v>1068.56</v>
      </c>
      <c r="K968" s="52"/>
      <c r="L968" s="51"/>
      <c r="M968" s="52">
        <v>16</v>
      </c>
      <c r="N968" s="49">
        <v>10856.81</v>
      </c>
      <c r="O968" s="75">
        <v>13</v>
      </c>
      <c r="P968" s="54">
        <v>125.36999999999999</v>
      </c>
      <c r="Q968" s="54">
        <v>56.809999999999995</v>
      </c>
      <c r="R968" s="53">
        <f t="shared" ref="R968:R1031" si="47">G968*5%</f>
        <v>590</v>
      </c>
      <c r="S968" s="51">
        <v>1068.56</v>
      </c>
    </row>
    <row r="969" spans="1:19" ht="15" x14ac:dyDescent="0.25">
      <c r="A969" s="28"/>
      <c r="B969" s="45" t="str">
        <f t="shared" si="45"/>
        <v>Aug-2025</v>
      </c>
      <c r="C969" s="57">
        <v>45874</v>
      </c>
      <c r="D969" s="43">
        <f t="shared" si="46"/>
        <v>238</v>
      </c>
      <c r="F969" s="50">
        <v>27</v>
      </c>
      <c r="G969" s="49">
        <v>33108</v>
      </c>
      <c r="H969" s="73">
        <v>27</v>
      </c>
      <c r="I969" s="52">
        <v>27</v>
      </c>
      <c r="J969" s="51">
        <v>7015.47</v>
      </c>
      <c r="K969" s="52"/>
      <c r="L969" s="51"/>
      <c r="M969" s="52">
        <v>35</v>
      </c>
      <c r="N969" s="49">
        <v>26646.03</v>
      </c>
      <c r="O969" s="75">
        <v>32</v>
      </c>
      <c r="P969" s="54">
        <v>553.5</v>
      </c>
      <c r="Q969" s="54">
        <v>135.08000000000001</v>
      </c>
      <c r="R969" s="53">
        <f t="shared" si="47"/>
        <v>1655.4</v>
      </c>
      <c r="S969" s="51">
        <v>7015.4699999999993</v>
      </c>
    </row>
    <row r="970" spans="1:19" ht="15" x14ac:dyDescent="0.25">
      <c r="A970" s="28"/>
      <c r="B970" s="45" t="str">
        <f t="shared" si="45"/>
        <v>Aug-2025</v>
      </c>
      <c r="C970" s="57">
        <v>45875</v>
      </c>
      <c r="D970" s="43">
        <f t="shared" si="46"/>
        <v>237</v>
      </c>
      <c r="E970" s="76">
        <v>1</v>
      </c>
      <c r="F970" s="50">
        <v>11</v>
      </c>
      <c r="G970" s="49">
        <v>8620</v>
      </c>
      <c r="H970" s="73">
        <v>11</v>
      </c>
      <c r="I970" s="52">
        <v>11</v>
      </c>
      <c r="J970" s="51">
        <v>1063.8800000000001</v>
      </c>
      <c r="K970" s="52"/>
      <c r="L970" s="51"/>
      <c r="M970" s="52">
        <v>11</v>
      </c>
      <c r="N970" s="49">
        <v>7676.66</v>
      </c>
      <c r="O970" s="75">
        <v>11</v>
      </c>
      <c r="P970" s="54">
        <v>120.53999999999998</v>
      </c>
      <c r="Q970" s="54">
        <v>56.66</v>
      </c>
      <c r="R970" s="53">
        <f t="shared" si="47"/>
        <v>431</v>
      </c>
      <c r="S970" s="51">
        <v>1063.8800000000001</v>
      </c>
    </row>
    <row r="971" spans="1:19" ht="15" x14ac:dyDescent="0.25">
      <c r="A971" s="28"/>
      <c r="B971" s="45" t="str">
        <f t="shared" si="45"/>
        <v>Aug-2025</v>
      </c>
      <c r="C971" s="57">
        <v>45876</v>
      </c>
      <c r="D971" s="43">
        <f t="shared" si="46"/>
        <v>236</v>
      </c>
      <c r="E971" s="76">
        <v>1</v>
      </c>
      <c r="F971" s="50">
        <v>8</v>
      </c>
      <c r="G971" s="49">
        <v>5500</v>
      </c>
      <c r="H971" s="73">
        <v>8</v>
      </c>
      <c r="I971" s="52">
        <v>8</v>
      </c>
      <c r="J971" s="51">
        <v>2525.96</v>
      </c>
      <c r="K971" s="52"/>
      <c r="L971" s="51"/>
      <c r="M971" s="52">
        <v>7</v>
      </c>
      <c r="N971" s="49">
        <v>3140.03</v>
      </c>
      <c r="O971" s="75">
        <v>7</v>
      </c>
      <c r="P971" s="54">
        <v>165.99</v>
      </c>
      <c r="Q971" s="54">
        <v>19.14</v>
      </c>
      <c r="R971" s="53">
        <f t="shared" si="47"/>
        <v>275</v>
      </c>
      <c r="S971" s="51">
        <v>2525.96</v>
      </c>
    </row>
    <row r="972" spans="1:19" ht="15" x14ac:dyDescent="0.25">
      <c r="A972" s="28"/>
      <c r="B972" s="45" t="str">
        <f t="shared" si="45"/>
        <v>Aug-2025</v>
      </c>
      <c r="C972" s="57">
        <v>45877</v>
      </c>
      <c r="D972" s="43">
        <f t="shared" si="46"/>
        <v>235</v>
      </c>
      <c r="F972" s="50">
        <v>7</v>
      </c>
      <c r="G972" s="49">
        <v>3805</v>
      </c>
      <c r="H972" s="73">
        <v>7</v>
      </c>
      <c r="I972" s="52">
        <v>7</v>
      </c>
      <c r="J972" s="51">
        <v>1063.3599999999999</v>
      </c>
      <c r="K972" s="52"/>
      <c r="L972" s="51"/>
      <c r="M972" s="52">
        <v>18</v>
      </c>
      <c r="N972" s="49">
        <v>2813.7</v>
      </c>
      <c r="O972" s="75">
        <v>17</v>
      </c>
      <c r="P972" s="54">
        <v>72.06</v>
      </c>
      <c r="Q972" s="54">
        <v>8.6999999999999993</v>
      </c>
      <c r="R972" s="53">
        <f t="shared" si="47"/>
        <v>190.25</v>
      </c>
      <c r="S972" s="51">
        <v>1063.3599999999999</v>
      </c>
    </row>
    <row r="973" spans="1:19" ht="15" x14ac:dyDescent="0.25">
      <c r="A973" s="28"/>
      <c r="B973" s="45" t="str">
        <f t="shared" si="45"/>
        <v>Aug-2025</v>
      </c>
      <c r="C973" s="57">
        <v>45878</v>
      </c>
      <c r="D973" s="43">
        <f t="shared" si="46"/>
        <v>234</v>
      </c>
      <c r="E973" s="76">
        <v>3</v>
      </c>
      <c r="F973" s="50">
        <v>21</v>
      </c>
      <c r="G973" s="49">
        <v>15900</v>
      </c>
      <c r="H973" s="73">
        <v>19</v>
      </c>
      <c r="I973" s="52">
        <v>21</v>
      </c>
      <c r="J973" s="51">
        <v>2949.05</v>
      </c>
      <c r="K973" s="52">
        <v>4</v>
      </c>
      <c r="L973" s="51">
        <v>1005.22</v>
      </c>
      <c r="M973" s="52">
        <v>28</v>
      </c>
      <c r="N973" s="49">
        <v>13276.41</v>
      </c>
      <c r="O973" s="75">
        <v>23</v>
      </c>
      <c r="P973" s="54">
        <v>325.46000000000009</v>
      </c>
      <c r="Q973" s="54">
        <v>175.67</v>
      </c>
      <c r="R973" s="53">
        <f t="shared" si="47"/>
        <v>795</v>
      </c>
      <c r="S973" s="51">
        <v>2949.05</v>
      </c>
    </row>
    <row r="974" spans="1:19" ht="15" x14ac:dyDescent="0.25">
      <c r="A974" s="28"/>
      <c r="B974" s="45" t="str">
        <f t="shared" si="45"/>
        <v>Aug-2025</v>
      </c>
      <c r="C974" s="57">
        <v>45879</v>
      </c>
      <c r="D974" s="43">
        <f t="shared" si="46"/>
        <v>233</v>
      </c>
      <c r="E974" s="76">
        <v>1</v>
      </c>
      <c r="F974" s="50">
        <v>8</v>
      </c>
      <c r="G974" s="49">
        <v>3560</v>
      </c>
      <c r="H974" s="73">
        <v>8</v>
      </c>
      <c r="I974" s="52">
        <v>8</v>
      </c>
      <c r="J974" s="51">
        <v>531.41999999999996</v>
      </c>
      <c r="K974" s="52"/>
      <c r="L974" s="51"/>
      <c r="M974" s="52">
        <v>8</v>
      </c>
      <c r="N974" s="49">
        <v>3073.15</v>
      </c>
      <c r="O974" s="75">
        <v>7</v>
      </c>
      <c r="P974" s="54">
        <v>44.57</v>
      </c>
      <c r="Q974" s="54">
        <v>13.149999999999999</v>
      </c>
      <c r="R974" s="53">
        <f t="shared" si="47"/>
        <v>178</v>
      </c>
      <c r="S974" s="51">
        <v>531.41999999999996</v>
      </c>
    </row>
    <row r="975" spans="1:19" ht="15" x14ac:dyDescent="0.25">
      <c r="A975" s="28"/>
      <c r="B975" s="45" t="str">
        <f t="shared" si="45"/>
        <v>Aug-2025</v>
      </c>
      <c r="C975" s="57">
        <v>45880</v>
      </c>
      <c r="D975" s="43">
        <f t="shared" si="46"/>
        <v>232</v>
      </c>
      <c r="E975" s="76">
        <v>4</v>
      </c>
      <c r="F975" s="50">
        <v>10</v>
      </c>
      <c r="G975" s="49">
        <v>6828</v>
      </c>
      <c r="H975" s="73">
        <v>10</v>
      </c>
      <c r="I975" s="52">
        <v>10</v>
      </c>
      <c r="J975" s="51">
        <v>1701.01</v>
      </c>
      <c r="K975" s="52"/>
      <c r="L975" s="51"/>
      <c r="M975" s="52">
        <v>12</v>
      </c>
      <c r="N975" s="49">
        <v>5258.61</v>
      </c>
      <c r="O975" s="75">
        <v>10</v>
      </c>
      <c r="P975" s="54">
        <v>131.62000000000003</v>
      </c>
      <c r="Q975" s="54">
        <v>30.610000000000003</v>
      </c>
      <c r="R975" s="53">
        <f t="shared" si="47"/>
        <v>341.40000000000003</v>
      </c>
      <c r="S975" s="51">
        <v>1701.01</v>
      </c>
    </row>
    <row r="976" spans="1:19" ht="15" x14ac:dyDescent="0.25">
      <c r="A976" s="28"/>
      <c r="B976" s="45" t="str">
        <f t="shared" si="45"/>
        <v>Aug-2025</v>
      </c>
      <c r="C976" s="57">
        <v>45881</v>
      </c>
      <c r="D976" s="43">
        <f t="shared" si="46"/>
        <v>231</v>
      </c>
      <c r="E976" s="76">
        <v>4</v>
      </c>
      <c r="F976" s="50">
        <v>9</v>
      </c>
      <c r="G976" s="49">
        <v>5700</v>
      </c>
      <c r="H976" s="73">
        <v>9</v>
      </c>
      <c r="I976" s="52">
        <v>9</v>
      </c>
      <c r="J976" s="51">
        <v>0</v>
      </c>
      <c r="K976" s="52"/>
      <c r="L976" s="51"/>
      <c r="M976" s="52">
        <v>13</v>
      </c>
      <c r="N976" s="49">
        <v>5728.57</v>
      </c>
      <c r="O976" s="75">
        <v>11</v>
      </c>
      <c r="P976" s="54">
        <v>28.57</v>
      </c>
      <c r="Q976" s="54">
        <v>28.57</v>
      </c>
      <c r="R976" s="53">
        <f t="shared" si="47"/>
        <v>285</v>
      </c>
      <c r="S976" s="51"/>
    </row>
    <row r="977" spans="1:19" ht="15" x14ac:dyDescent="0.25">
      <c r="A977" s="28"/>
      <c r="B977" s="45" t="str">
        <f t="shared" si="45"/>
        <v>Aug-2025</v>
      </c>
      <c r="C977" s="57">
        <v>45882</v>
      </c>
      <c r="D977" s="43">
        <f t="shared" si="46"/>
        <v>230</v>
      </c>
      <c r="E977" s="76">
        <v>1</v>
      </c>
      <c r="F977" s="50">
        <v>5</v>
      </c>
      <c r="G977" s="49">
        <v>2400</v>
      </c>
      <c r="H977" s="73">
        <v>5</v>
      </c>
      <c r="I977" s="52">
        <v>5</v>
      </c>
      <c r="J977" s="51">
        <v>0</v>
      </c>
      <c r="K977" s="52"/>
      <c r="L977" s="51"/>
      <c r="M977" s="52">
        <v>9</v>
      </c>
      <c r="N977" s="49">
        <v>2426.3200000000002</v>
      </c>
      <c r="O977" s="75">
        <v>7</v>
      </c>
      <c r="P977" s="54">
        <v>26.32</v>
      </c>
      <c r="Q977" s="54">
        <v>26.32</v>
      </c>
      <c r="R977" s="53">
        <f t="shared" si="47"/>
        <v>120</v>
      </c>
      <c r="S977" s="51"/>
    </row>
    <row r="978" spans="1:19" ht="15" x14ac:dyDescent="0.25">
      <c r="A978" s="28"/>
      <c r="B978" s="45" t="str">
        <f t="shared" si="45"/>
        <v>Aug-2025</v>
      </c>
      <c r="C978" s="57">
        <v>45883</v>
      </c>
      <c r="D978" s="43">
        <f t="shared" si="46"/>
        <v>229</v>
      </c>
      <c r="E978" s="76">
        <v>3</v>
      </c>
      <c r="F978" s="50">
        <v>5</v>
      </c>
      <c r="G978" s="49">
        <v>2400</v>
      </c>
      <c r="H978" s="73">
        <v>5</v>
      </c>
      <c r="I978" s="52">
        <v>5</v>
      </c>
      <c r="J978" s="51">
        <v>1168.8499999999999</v>
      </c>
      <c r="K978" s="52"/>
      <c r="L978" s="51"/>
      <c r="M978" s="52">
        <v>2</v>
      </c>
      <c r="N978" s="49">
        <v>1310.67</v>
      </c>
      <c r="O978" s="75">
        <v>2</v>
      </c>
      <c r="P978" s="54">
        <v>79.52</v>
      </c>
      <c r="Q978" s="54">
        <v>10.67</v>
      </c>
      <c r="R978" s="53">
        <f t="shared" si="47"/>
        <v>120</v>
      </c>
      <c r="S978" s="51">
        <v>1168.8499999999999</v>
      </c>
    </row>
    <row r="979" spans="1:19" ht="15" x14ac:dyDescent="0.25">
      <c r="A979" s="28"/>
      <c r="B979" s="45" t="str">
        <f t="shared" si="45"/>
        <v>Aug-2025</v>
      </c>
      <c r="C979" s="57">
        <v>45884</v>
      </c>
      <c r="D979" s="43">
        <f t="shared" si="46"/>
        <v>228</v>
      </c>
      <c r="F979" s="50">
        <v>11</v>
      </c>
      <c r="G979" s="49">
        <v>7668</v>
      </c>
      <c r="H979" s="73">
        <v>11</v>
      </c>
      <c r="I979" s="52">
        <v>11</v>
      </c>
      <c r="J979" s="51">
        <v>849.58999999999992</v>
      </c>
      <c r="K979" s="52"/>
      <c r="L979" s="51"/>
      <c r="M979" s="52">
        <v>13</v>
      </c>
      <c r="N979" s="49">
        <v>6898.8</v>
      </c>
      <c r="O979" s="75">
        <v>13</v>
      </c>
      <c r="P979" s="54">
        <v>80.39</v>
      </c>
      <c r="Q979" s="54">
        <v>30.799999999999997</v>
      </c>
      <c r="R979" s="53">
        <f t="shared" si="47"/>
        <v>383.40000000000003</v>
      </c>
      <c r="S979" s="51">
        <v>849.58999999999992</v>
      </c>
    </row>
    <row r="980" spans="1:19" ht="15" x14ac:dyDescent="0.25">
      <c r="A980" s="28"/>
      <c r="B980" s="45" t="str">
        <f t="shared" si="45"/>
        <v>Aug-2025</v>
      </c>
      <c r="C980" s="57">
        <v>45885</v>
      </c>
      <c r="D980" s="43">
        <f t="shared" si="46"/>
        <v>227</v>
      </c>
      <c r="E980" s="76">
        <v>3</v>
      </c>
      <c r="F980" s="50">
        <v>5</v>
      </c>
      <c r="G980" s="49">
        <v>1600</v>
      </c>
      <c r="H980" s="73">
        <v>5</v>
      </c>
      <c r="I980" s="52">
        <v>5</v>
      </c>
      <c r="J980" s="51">
        <v>744.62</v>
      </c>
      <c r="K980" s="52"/>
      <c r="L980" s="51"/>
      <c r="M980" s="52">
        <v>4</v>
      </c>
      <c r="N980" s="49">
        <v>906.67</v>
      </c>
      <c r="O980" s="75">
        <v>3</v>
      </c>
      <c r="P980" s="54">
        <v>51.29</v>
      </c>
      <c r="Q980" s="54">
        <v>6.67</v>
      </c>
      <c r="R980" s="53">
        <f t="shared" si="47"/>
        <v>80</v>
      </c>
      <c r="S980" s="51">
        <v>744.62</v>
      </c>
    </row>
    <row r="981" spans="1:19" ht="15" x14ac:dyDescent="0.25">
      <c r="A981" s="28"/>
      <c r="B981" s="45" t="str">
        <f t="shared" si="45"/>
        <v>Aug-2025</v>
      </c>
      <c r="C981" s="57">
        <v>45886</v>
      </c>
      <c r="D981" s="43">
        <f t="shared" si="46"/>
        <v>226</v>
      </c>
      <c r="E981" s="76">
        <v>6</v>
      </c>
      <c r="F981" s="50">
        <v>12</v>
      </c>
      <c r="G981" s="49">
        <v>6200</v>
      </c>
      <c r="H981" s="73">
        <v>12</v>
      </c>
      <c r="I981" s="52">
        <v>12</v>
      </c>
      <c r="J981" s="51">
        <v>2124.2600000000002</v>
      </c>
      <c r="K981" s="52"/>
      <c r="L981" s="51"/>
      <c r="M981" s="52">
        <v>12</v>
      </c>
      <c r="N981" s="49">
        <v>4213.8</v>
      </c>
      <c r="O981" s="75">
        <v>11</v>
      </c>
      <c r="P981" s="54">
        <v>138.06</v>
      </c>
      <c r="Q981" s="54">
        <v>13.8</v>
      </c>
      <c r="R981" s="53">
        <f t="shared" si="47"/>
        <v>310</v>
      </c>
      <c r="S981" s="51">
        <v>2124.2600000000002</v>
      </c>
    </row>
    <row r="982" spans="1:19" ht="15" x14ac:dyDescent="0.25">
      <c r="A982" s="28"/>
      <c r="B982" s="45" t="str">
        <f t="shared" si="45"/>
        <v>Aug-2025</v>
      </c>
      <c r="C982" s="57">
        <v>45887</v>
      </c>
      <c r="D982" s="43">
        <f t="shared" si="46"/>
        <v>225</v>
      </c>
      <c r="E982" s="76">
        <v>4</v>
      </c>
      <c r="F982" s="50">
        <v>12</v>
      </c>
      <c r="G982" s="49">
        <v>10880</v>
      </c>
      <c r="H982" s="73">
        <v>12</v>
      </c>
      <c r="I982" s="52">
        <v>12</v>
      </c>
      <c r="J982" s="51">
        <v>3637.9399999999996</v>
      </c>
      <c r="K982" s="52"/>
      <c r="L982" s="51"/>
      <c r="M982" s="52">
        <v>8</v>
      </c>
      <c r="N982" s="49">
        <v>7482.39</v>
      </c>
      <c r="O982" s="75">
        <v>8</v>
      </c>
      <c r="P982" s="54">
        <v>240.32999999999998</v>
      </c>
      <c r="Q982" s="54">
        <v>32.39</v>
      </c>
      <c r="R982" s="53">
        <f t="shared" si="47"/>
        <v>544</v>
      </c>
      <c r="S982" s="51">
        <v>3637.94</v>
      </c>
    </row>
    <row r="983" spans="1:19" ht="15" x14ac:dyDescent="0.25">
      <c r="A983" s="28"/>
      <c r="B983" s="45" t="str">
        <f t="shared" si="45"/>
        <v>Aug-2025</v>
      </c>
      <c r="C983" s="57">
        <v>45888</v>
      </c>
      <c r="D983" s="43">
        <f t="shared" si="46"/>
        <v>224</v>
      </c>
      <c r="F983" s="50">
        <v>7</v>
      </c>
      <c r="G983" s="49">
        <v>4000</v>
      </c>
      <c r="H983" s="73">
        <v>7</v>
      </c>
      <c r="I983" s="52">
        <v>7</v>
      </c>
      <c r="J983" s="51">
        <v>1060.5</v>
      </c>
      <c r="K983" s="52"/>
      <c r="L983" s="51"/>
      <c r="M983" s="52">
        <v>5</v>
      </c>
      <c r="N983" s="49">
        <v>3035.6</v>
      </c>
      <c r="O983" s="75">
        <v>5</v>
      </c>
      <c r="P983" s="54">
        <v>96.1</v>
      </c>
      <c r="Q983" s="54">
        <v>35.599999999999994</v>
      </c>
      <c r="R983" s="53">
        <f t="shared" si="47"/>
        <v>200</v>
      </c>
      <c r="S983" s="51">
        <v>1060.5</v>
      </c>
    </row>
    <row r="984" spans="1:19" ht="15" x14ac:dyDescent="0.25">
      <c r="A984" s="28"/>
      <c r="B984" s="45" t="str">
        <f t="shared" si="45"/>
        <v>Aug-2025</v>
      </c>
      <c r="C984" s="57">
        <v>45889</v>
      </c>
      <c r="D984" s="43">
        <f t="shared" si="46"/>
        <v>223</v>
      </c>
      <c r="E984" s="76">
        <v>3</v>
      </c>
      <c r="F984" s="50">
        <v>11</v>
      </c>
      <c r="G984" s="49">
        <v>5700</v>
      </c>
      <c r="H984" s="73">
        <v>11</v>
      </c>
      <c r="I984" s="52">
        <v>11</v>
      </c>
      <c r="J984" s="51">
        <v>1484.15</v>
      </c>
      <c r="K984" s="52"/>
      <c r="L984" s="51"/>
      <c r="M984" s="52">
        <v>11</v>
      </c>
      <c r="N984" s="49">
        <v>4324.32</v>
      </c>
      <c r="O984" s="75">
        <v>10</v>
      </c>
      <c r="P984" s="54">
        <v>108.47</v>
      </c>
      <c r="Q984" s="54">
        <v>24.319999999999997</v>
      </c>
      <c r="R984" s="53">
        <f t="shared" si="47"/>
        <v>285</v>
      </c>
      <c r="S984" s="51">
        <v>1484.15</v>
      </c>
    </row>
    <row r="985" spans="1:19" ht="15" x14ac:dyDescent="0.25">
      <c r="A985" s="28"/>
      <c r="B985" s="45" t="str">
        <f t="shared" si="45"/>
        <v>Aug-2025</v>
      </c>
      <c r="C985" s="57">
        <v>45890</v>
      </c>
      <c r="D985" s="43">
        <f t="shared" si="46"/>
        <v>222</v>
      </c>
      <c r="E985" s="76">
        <v>4</v>
      </c>
      <c r="F985" s="50">
        <v>8</v>
      </c>
      <c r="G985" s="49">
        <v>4600</v>
      </c>
      <c r="H985" s="73">
        <v>8</v>
      </c>
      <c r="I985" s="52">
        <v>8</v>
      </c>
      <c r="J985" s="51">
        <v>2545.1400000000003</v>
      </c>
      <c r="K985" s="52"/>
      <c r="L985" s="51"/>
      <c r="M985" s="52">
        <v>6</v>
      </c>
      <c r="N985" s="49">
        <v>2238.92</v>
      </c>
      <c r="O985" s="75">
        <v>6</v>
      </c>
      <c r="P985" s="54">
        <v>184.06000000000003</v>
      </c>
      <c r="Q985" s="54">
        <v>38.92</v>
      </c>
      <c r="R985" s="53">
        <f t="shared" si="47"/>
        <v>230</v>
      </c>
      <c r="S985" s="51">
        <v>2545.1400000000003</v>
      </c>
    </row>
    <row r="986" spans="1:19" ht="15" x14ac:dyDescent="0.25">
      <c r="A986" s="28"/>
      <c r="B986" s="45" t="str">
        <f t="shared" si="45"/>
        <v>Aug-2025</v>
      </c>
      <c r="C986" s="57">
        <v>45891</v>
      </c>
      <c r="D986" s="43">
        <f t="shared" si="46"/>
        <v>221</v>
      </c>
      <c r="E986" s="76">
        <v>2</v>
      </c>
      <c r="F986" s="50">
        <v>11</v>
      </c>
      <c r="G986" s="49">
        <v>9440</v>
      </c>
      <c r="H986" s="73">
        <v>11</v>
      </c>
      <c r="I986" s="52">
        <v>11</v>
      </c>
      <c r="J986" s="51">
        <v>1589.58</v>
      </c>
      <c r="K986" s="52"/>
      <c r="L986" s="51"/>
      <c r="M986" s="52">
        <v>16</v>
      </c>
      <c r="N986" s="49">
        <v>7975.57</v>
      </c>
      <c r="O986" s="75">
        <v>16</v>
      </c>
      <c r="P986" s="54">
        <v>125.15</v>
      </c>
      <c r="Q986" s="54">
        <v>35.57</v>
      </c>
      <c r="R986" s="53">
        <f t="shared" si="47"/>
        <v>472</v>
      </c>
      <c r="S986" s="51">
        <v>1589.58</v>
      </c>
    </row>
    <row r="987" spans="1:19" ht="15" x14ac:dyDescent="0.25">
      <c r="A987" s="28"/>
      <c r="B987" s="45" t="str">
        <f t="shared" si="45"/>
        <v>Aug-2025</v>
      </c>
      <c r="C987" s="57">
        <v>45892</v>
      </c>
      <c r="D987" s="43">
        <f t="shared" si="46"/>
        <v>220</v>
      </c>
      <c r="E987" s="76">
        <v>1</v>
      </c>
      <c r="F987" s="50">
        <v>5</v>
      </c>
      <c r="G987" s="49">
        <v>3700</v>
      </c>
      <c r="H987" s="73">
        <v>5</v>
      </c>
      <c r="I987" s="52">
        <v>5</v>
      </c>
      <c r="J987" s="51">
        <v>529.73</v>
      </c>
      <c r="K987" s="52"/>
      <c r="L987" s="51"/>
      <c r="M987" s="52">
        <v>4</v>
      </c>
      <c r="N987" s="49">
        <v>3207.55</v>
      </c>
      <c r="O987" s="75">
        <v>4</v>
      </c>
      <c r="P987" s="54">
        <v>37.279999999999994</v>
      </c>
      <c r="Q987" s="54">
        <v>7.5499999999999989</v>
      </c>
      <c r="R987" s="53">
        <f t="shared" si="47"/>
        <v>185</v>
      </c>
      <c r="S987" s="51">
        <v>529.73</v>
      </c>
    </row>
    <row r="988" spans="1:19" ht="15" x14ac:dyDescent="0.25">
      <c r="A988" s="28"/>
      <c r="B988" s="45" t="str">
        <f t="shared" si="45"/>
        <v>Aug-2025</v>
      </c>
      <c r="C988" s="57">
        <v>45893</v>
      </c>
      <c r="D988" s="43">
        <f t="shared" si="46"/>
        <v>219</v>
      </c>
      <c r="E988" s="76">
        <v>3</v>
      </c>
      <c r="F988" s="50">
        <v>12</v>
      </c>
      <c r="G988" s="49">
        <v>5550</v>
      </c>
      <c r="H988" s="73">
        <v>11</v>
      </c>
      <c r="I988" s="52">
        <v>12</v>
      </c>
      <c r="J988" s="51">
        <v>1167.95</v>
      </c>
      <c r="K988" s="52">
        <v>1</v>
      </c>
      <c r="L988" s="51">
        <v>500.11</v>
      </c>
      <c r="M988" s="52">
        <v>14</v>
      </c>
      <c r="N988" s="49">
        <v>4461.71</v>
      </c>
      <c r="O988" s="75">
        <v>11</v>
      </c>
      <c r="P988" s="54">
        <v>79.660000000000011</v>
      </c>
      <c r="Q988" s="54">
        <v>11.71</v>
      </c>
      <c r="R988" s="53">
        <f t="shared" si="47"/>
        <v>277.5</v>
      </c>
      <c r="S988" s="51">
        <v>1167.95</v>
      </c>
    </row>
    <row r="989" spans="1:19" ht="15" x14ac:dyDescent="0.25">
      <c r="A989" s="28"/>
      <c r="B989" s="45" t="str">
        <f t="shared" si="45"/>
        <v>Aug-2025</v>
      </c>
      <c r="C989" s="57">
        <v>45894</v>
      </c>
      <c r="D989" s="43">
        <f t="shared" si="46"/>
        <v>218</v>
      </c>
      <c r="E989" s="76">
        <v>1</v>
      </c>
      <c r="F989" s="50">
        <v>8</v>
      </c>
      <c r="G989" s="49">
        <v>3500</v>
      </c>
      <c r="H989" s="73">
        <v>7</v>
      </c>
      <c r="I989" s="52">
        <v>8</v>
      </c>
      <c r="J989" s="51">
        <v>1165.6600000000001</v>
      </c>
      <c r="K989" s="52">
        <v>1</v>
      </c>
      <c r="L989" s="51">
        <v>100.02</v>
      </c>
      <c r="M989" s="52">
        <v>5</v>
      </c>
      <c r="N989" s="49">
        <v>2410.17</v>
      </c>
      <c r="O989" s="75">
        <v>5</v>
      </c>
      <c r="P989" s="54">
        <v>75.83</v>
      </c>
      <c r="Q989" s="54">
        <v>10.170000000000002</v>
      </c>
      <c r="R989" s="53">
        <f t="shared" si="47"/>
        <v>175</v>
      </c>
      <c r="S989" s="51">
        <v>1165.6600000000001</v>
      </c>
    </row>
    <row r="990" spans="1:19" ht="15" x14ac:dyDescent="0.25">
      <c r="A990" s="28"/>
      <c r="B990" s="45" t="str">
        <f t="shared" si="45"/>
        <v>Aug-2025</v>
      </c>
      <c r="C990" s="57">
        <v>45895</v>
      </c>
      <c r="D990" s="43">
        <f t="shared" si="46"/>
        <v>217</v>
      </c>
      <c r="E990" s="76">
        <v>2</v>
      </c>
      <c r="F990" s="50">
        <v>5</v>
      </c>
      <c r="G990" s="49">
        <v>2720</v>
      </c>
      <c r="H990" s="73">
        <v>5</v>
      </c>
      <c r="I990" s="52">
        <v>5</v>
      </c>
      <c r="J990" s="51">
        <v>1821.5500000000002</v>
      </c>
      <c r="K990" s="52"/>
      <c r="L990" s="51"/>
      <c r="M990" s="52">
        <v>2</v>
      </c>
      <c r="N990" s="49">
        <v>1000.66</v>
      </c>
      <c r="O990" s="75">
        <v>2</v>
      </c>
      <c r="P990" s="54">
        <v>102.21000000000001</v>
      </c>
      <c r="Q990" s="54">
        <v>0.66</v>
      </c>
      <c r="R990" s="53">
        <f t="shared" si="47"/>
        <v>136</v>
      </c>
      <c r="S990" s="51">
        <v>1821.5500000000002</v>
      </c>
    </row>
    <row r="991" spans="1:19" ht="15" x14ac:dyDescent="0.25">
      <c r="A991" s="28"/>
      <c r="B991" s="45" t="str">
        <f t="shared" si="45"/>
        <v>Aug-2025</v>
      </c>
      <c r="C991" s="57">
        <v>45896</v>
      </c>
      <c r="D991" s="43">
        <f t="shared" si="46"/>
        <v>216</v>
      </c>
      <c r="E991" s="76">
        <v>2</v>
      </c>
      <c r="F991" s="50">
        <v>8</v>
      </c>
      <c r="G991" s="49">
        <v>7300</v>
      </c>
      <c r="H991" s="73">
        <v>8</v>
      </c>
      <c r="I991" s="52">
        <v>8</v>
      </c>
      <c r="J991" s="51">
        <v>1269.6199999999999</v>
      </c>
      <c r="K991" s="52"/>
      <c r="L991" s="51"/>
      <c r="M991" s="52">
        <v>7</v>
      </c>
      <c r="N991" s="49">
        <v>6139.14</v>
      </c>
      <c r="O991" s="75">
        <v>7</v>
      </c>
      <c r="P991" s="54">
        <v>108.76</v>
      </c>
      <c r="Q991" s="54">
        <v>39.14</v>
      </c>
      <c r="R991" s="53">
        <f t="shared" si="47"/>
        <v>365</v>
      </c>
      <c r="S991" s="51">
        <v>1269.6199999999999</v>
      </c>
    </row>
    <row r="992" spans="1:19" ht="15" x14ac:dyDescent="0.25">
      <c r="A992" s="28"/>
      <c r="B992" s="45" t="str">
        <f t="shared" si="45"/>
        <v>Aug-2025</v>
      </c>
      <c r="C992" s="57">
        <v>45897</v>
      </c>
      <c r="D992" s="43">
        <f t="shared" si="46"/>
        <v>215</v>
      </c>
      <c r="F992" s="50">
        <v>6</v>
      </c>
      <c r="G992" s="49">
        <v>2700</v>
      </c>
      <c r="H992" s="73">
        <v>6</v>
      </c>
      <c r="I992" s="52">
        <v>6</v>
      </c>
      <c r="J992" s="51">
        <v>214.04999999999998</v>
      </c>
      <c r="K992" s="52"/>
      <c r="L992" s="51"/>
      <c r="M992" s="52">
        <v>15</v>
      </c>
      <c r="N992" s="49">
        <v>2509.63</v>
      </c>
      <c r="O992" s="75">
        <v>14</v>
      </c>
      <c r="P992" s="54">
        <v>23.68</v>
      </c>
      <c r="Q992" s="54">
        <v>10.42</v>
      </c>
      <c r="R992" s="53">
        <f t="shared" si="47"/>
        <v>135</v>
      </c>
      <c r="S992" s="51">
        <v>214.05</v>
      </c>
    </row>
    <row r="993" spans="1:19" ht="15" x14ac:dyDescent="0.25">
      <c r="A993" s="28"/>
      <c r="B993" s="45" t="str">
        <f t="shared" si="45"/>
        <v>Aug-2025</v>
      </c>
      <c r="C993" s="57">
        <v>45898</v>
      </c>
      <c r="D993" s="43">
        <f t="shared" si="46"/>
        <v>214</v>
      </c>
      <c r="F993" s="50">
        <v>8</v>
      </c>
      <c r="G993" s="49">
        <v>9587</v>
      </c>
      <c r="H993" s="73">
        <v>8</v>
      </c>
      <c r="I993" s="52">
        <v>8</v>
      </c>
      <c r="J993" s="51">
        <v>0</v>
      </c>
      <c r="K993" s="52"/>
      <c r="L993" s="51"/>
      <c r="M993" s="52">
        <v>13</v>
      </c>
      <c r="N993" s="49">
        <v>9634.82</v>
      </c>
      <c r="O993" s="75">
        <v>11</v>
      </c>
      <c r="P993" s="54">
        <v>47.82</v>
      </c>
      <c r="Q993" s="54">
        <v>47.82</v>
      </c>
      <c r="R993" s="53">
        <f t="shared" si="47"/>
        <v>479.35</v>
      </c>
      <c r="S993" s="51"/>
    </row>
    <row r="994" spans="1:19" ht="15" x14ac:dyDescent="0.25">
      <c r="A994" s="28"/>
      <c r="B994" s="45" t="str">
        <f t="shared" si="45"/>
        <v>Aug-2025</v>
      </c>
      <c r="C994" s="57">
        <v>45899</v>
      </c>
      <c r="D994" s="43">
        <f t="shared" si="46"/>
        <v>213</v>
      </c>
      <c r="E994" s="76">
        <v>1</v>
      </c>
      <c r="F994" s="50">
        <v>10</v>
      </c>
      <c r="G994" s="49">
        <v>6000</v>
      </c>
      <c r="H994" s="73">
        <v>10</v>
      </c>
      <c r="I994" s="52">
        <v>10</v>
      </c>
      <c r="J994" s="51">
        <v>0</v>
      </c>
      <c r="K994" s="52">
        <v>1</v>
      </c>
      <c r="L994" s="51">
        <v>5</v>
      </c>
      <c r="M994" s="52">
        <v>14</v>
      </c>
      <c r="N994" s="49">
        <v>6021.64</v>
      </c>
      <c r="O994" s="75">
        <v>14</v>
      </c>
      <c r="P994" s="54">
        <v>21.64</v>
      </c>
      <c r="Q994" s="54">
        <v>21.64</v>
      </c>
      <c r="R994" s="53">
        <f t="shared" si="47"/>
        <v>300</v>
      </c>
      <c r="S994" s="51"/>
    </row>
    <row r="995" spans="1:19" ht="15" x14ac:dyDescent="0.25">
      <c r="A995" s="28"/>
      <c r="B995" s="45" t="str">
        <f t="shared" si="45"/>
        <v>Aug-2025</v>
      </c>
      <c r="C995" s="57">
        <v>45900</v>
      </c>
      <c r="D995" s="43">
        <f t="shared" si="46"/>
        <v>212</v>
      </c>
      <c r="E995" s="76">
        <v>1</v>
      </c>
      <c r="F995" s="50">
        <v>7</v>
      </c>
      <c r="G995" s="49">
        <v>3600</v>
      </c>
      <c r="H995" s="73">
        <v>6</v>
      </c>
      <c r="I995" s="52">
        <v>7</v>
      </c>
      <c r="J995" s="51">
        <v>846.23</v>
      </c>
      <c r="K995" s="52">
        <v>1</v>
      </c>
      <c r="L995" s="51">
        <v>500.11</v>
      </c>
      <c r="M995" s="52">
        <v>6</v>
      </c>
      <c r="N995" s="49">
        <v>2809.29</v>
      </c>
      <c r="O995" s="75">
        <v>6</v>
      </c>
      <c r="P995" s="54">
        <v>55.52</v>
      </c>
      <c r="Q995" s="54">
        <v>9.2899999999999991</v>
      </c>
      <c r="R995" s="53">
        <f t="shared" si="47"/>
        <v>180</v>
      </c>
      <c r="S995" s="51">
        <v>846.23</v>
      </c>
    </row>
    <row r="996" spans="1:19" ht="15" x14ac:dyDescent="0.25">
      <c r="A996" s="28"/>
      <c r="B996" s="45" t="str">
        <f t="shared" si="45"/>
        <v>Sep-2025</v>
      </c>
      <c r="C996" s="57">
        <v>45901</v>
      </c>
      <c r="D996" s="43">
        <f t="shared" si="46"/>
        <v>211</v>
      </c>
      <c r="E996" s="76">
        <v>1</v>
      </c>
      <c r="F996" s="50">
        <v>14</v>
      </c>
      <c r="G996" s="49">
        <v>9240</v>
      </c>
      <c r="H996" s="73">
        <v>14</v>
      </c>
      <c r="I996" s="52">
        <v>14</v>
      </c>
      <c r="J996" s="51">
        <v>1163.6299999999999</v>
      </c>
      <c r="K996" s="52"/>
      <c r="L996" s="51"/>
      <c r="M996" s="52">
        <v>16</v>
      </c>
      <c r="N996" s="49">
        <v>8183.27</v>
      </c>
      <c r="O996" s="75">
        <v>12</v>
      </c>
      <c r="P996" s="54">
        <v>106.9</v>
      </c>
      <c r="Q996" s="54">
        <v>43.269999999999996</v>
      </c>
      <c r="R996" s="53">
        <f t="shared" si="47"/>
        <v>462</v>
      </c>
      <c r="S996" s="51">
        <v>1163.6299999999999</v>
      </c>
    </row>
    <row r="997" spans="1:19" ht="15" x14ac:dyDescent="0.25">
      <c r="A997" s="28"/>
      <c r="B997" s="45" t="str">
        <f t="shared" si="45"/>
        <v>Sep-2025</v>
      </c>
      <c r="C997" s="57">
        <v>45902</v>
      </c>
      <c r="D997" s="43">
        <f t="shared" si="46"/>
        <v>210</v>
      </c>
      <c r="F997" s="50">
        <v>3</v>
      </c>
      <c r="G997" s="49">
        <v>1800</v>
      </c>
      <c r="H997" s="73">
        <v>3</v>
      </c>
      <c r="I997" s="52">
        <v>3</v>
      </c>
      <c r="J997" s="51">
        <v>845.96</v>
      </c>
      <c r="K997" s="52"/>
      <c r="L997" s="51"/>
      <c r="M997" s="52">
        <v>2</v>
      </c>
      <c r="N997" s="49">
        <v>1002</v>
      </c>
      <c r="O997" s="75">
        <v>2</v>
      </c>
      <c r="P997" s="54">
        <v>47.96</v>
      </c>
      <c r="Q997" s="54">
        <v>2</v>
      </c>
      <c r="R997" s="53">
        <f t="shared" si="47"/>
        <v>90</v>
      </c>
      <c r="S997" s="51">
        <v>845.96</v>
      </c>
    </row>
    <row r="998" spans="1:19" ht="15" x14ac:dyDescent="0.25">
      <c r="A998" s="28"/>
      <c r="B998" s="45" t="str">
        <f t="shared" si="45"/>
        <v>Sep-2025</v>
      </c>
      <c r="C998" s="57">
        <v>45903</v>
      </c>
      <c r="D998" s="43">
        <f t="shared" si="46"/>
        <v>209</v>
      </c>
      <c r="E998" s="76">
        <v>1</v>
      </c>
      <c r="F998" s="50">
        <v>11</v>
      </c>
      <c r="G998" s="49">
        <v>8398</v>
      </c>
      <c r="H998" s="73">
        <v>11</v>
      </c>
      <c r="I998" s="52">
        <v>11</v>
      </c>
      <c r="J998" s="51">
        <v>528.29999999999995</v>
      </c>
      <c r="K998" s="52">
        <v>1</v>
      </c>
      <c r="L998" s="51">
        <v>1898.42</v>
      </c>
      <c r="M998" s="52">
        <v>13</v>
      </c>
      <c r="N998" s="49">
        <v>7925.94</v>
      </c>
      <c r="O998" s="75">
        <v>12</v>
      </c>
      <c r="P998" s="54">
        <v>56.239999999999995</v>
      </c>
      <c r="Q998" s="54">
        <v>27.939999999999998</v>
      </c>
      <c r="R998" s="53">
        <f t="shared" si="47"/>
        <v>419.90000000000003</v>
      </c>
      <c r="S998" s="51">
        <v>528.29999999999995</v>
      </c>
    </row>
    <row r="999" spans="1:19" ht="15" x14ac:dyDescent="0.25">
      <c r="A999" s="28"/>
      <c r="B999" s="45" t="str">
        <f t="shared" si="45"/>
        <v>Sep-2025</v>
      </c>
      <c r="C999" s="57">
        <v>45904</v>
      </c>
      <c r="D999" s="43">
        <f t="shared" si="46"/>
        <v>208</v>
      </c>
      <c r="F999" s="50">
        <v>12</v>
      </c>
      <c r="G999" s="49">
        <v>9798</v>
      </c>
      <c r="H999" s="73">
        <v>11</v>
      </c>
      <c r="I999" s="52">
        <v>12</v>
      </c>
      <c r="J999" s="51">
        <v>528.16999999999996</v>
      </c>
      <c r="K999" s="52">
        <v>3</v>
      </c>
      <c r="L999" s="51">
        <v>1003.22</v>
      </c>
      <c r="M999" s="52">
        <v>12</v>
      </c>
      <c r="N999" s="49">
        <v>9321.16</v>
      </c>
      <c r="O999" s="75">
        <v>12</v>
      </c>
      <c r="P999" s="54">
        <v>51.33</v>
      </c>
      <c r="Q999" s="54">
        <v>23.16</v>
      </c>
      <c r="R999" s="53">
        <f t="shared" si="47"/>
        <v>489.90000000000003</v>
      </c>
      <c r="S999" s="51">
        <v>528.16999999999996</v>
      </c>
    </row>
    <row r="1000" spans="1:19" ht="15" x14ac:dyDescent="0.25">
      <c r="A1000" s="28"/>
      <c r="B1000" s="45" t="str">
        <f t="shared" si="45"/>
        <v>Sep-2025</v>
      </c>
      <c r="C1000" s="57">
        <v>45905</v>
      </c>
      <c r="D1000" s="43">
        <f t="shared" si="46"/>
        <v>207</v>
      </c>
      <c r="E1000" s="76">
        <v>3</v>
      </c>
      <c r="F1000" s="50">
        <v>8</v>
      </c>
      <c r="G1000" s="49">
        <v>4480</v>
      </c>
      <c r="H1000" s="73">
        <v>8</v>
      </c>
      <c r="I1000" s="52">
        <v>8</v>
      </c>
      <c r="J1000" s="51">
        <v>106.39</v>
      </c>
      <c r="K1000" s="52"/>
      <c r="L1000" s="51"/>
      <c r="M1000" s="52">
        <v>36</v>
      </c>
      <c r="N1000" s="49">
        <v>4399.3</v>
      </c>
      <c r="O1000" s="75">
        <v>28</v>
      </c>
      <c r="P1000" s="54">
        <v>25.690000000000005</v>
      </c>
      <c r="Q1000" s="54">
        <v>19.3</v>
      </c>
      <c r="R1000" s="53">
        <f t="shared" si="47"/>
        <v>224</v>
      </c>
      <c r="S1000" s="51">
        <v>106.39</v>
      </c>
    </row>
    <row r="1001" spans="1:19" ht="15" x14ac:dyDescent="0.25">
      <c r="A1001" s="28"/>
      <c r="B1001" s="45" t="str">
        <f t="shared" si="45"/>
        <v>Sep-2025</v>
      </c>
      <c r="C1001" s="57">
        <v>45906</v>
      </c>
      <c r="D1001" s="43">
        <f t="shared" si="46"/>
        <v>206</v>
      </c>
      <c r="E1001" s="76">
        <v>1</v>
      </c>
      <c r="F1001" s="50">
        <v>13</v>
      </c>
      <c r="G1001" s="49">
        <v>9560</v>
      </c>
      <c r="H1001" s="73">
        <v>12</v>
      </c>
      <c r="I1001" s="52">
        <v>13</v>
      </c>
      <c r="J1001" s="51">
        <v>0</v>
      </c>
      <c r="K1001" s="52">
        <v>2</v>
      </c>
      <c r="L1001" s="51">
        <v>506.11</v>
      </c>
      <c r="M1001" s="52">
        <v>15</v>
      </c>
      <c r="N1001" s="49">
        <v>9608.81</v>
      </c>
      <c r="O1001" s="75">
        <v>14</v>
      </c>
      <c r="P1001" s="54">
        <v>48.81</v>
      </c>
      <c r="Q1001" s="54">
        <v>48.81</v>
      </c>
      <c r="R1001" s="53">
        <f t="shared" si="47"/>
        <v>478</v>
      </c>
      <c r="S1001" s="51"/>
    </row>
    <row r="1002" spans="1:19" ht="15" x14ac:dyDescent="0.25">
      <c r="A1002" s="28"/>
      <c r="B1002" s="45" t="str">
        <f t="shared" si="45"/>
        <v>Sep-2025</v>
      </c>
      <c r="C1002" s="57">
        <v>45907</v>
      </c>
      <c r="D1002" s="43">
        <f t="shared" si="46"/>
        <v>205</v>
      </c>
      <c r="F1002" s="50">
        <v>10</v>
      </c>
      <c r="G1002" s="49">
        <v>7228</v>
      </c>
      <c r="H1002" s="73">
        <v>10</v>
      </c>
      <c r="I1002" s="52">
        <v>10</v>
      </c>
      <c r="J1002" s="51">
        <v>738.43</v>
      </c>
      <c r="K1002" s="52"/>
      <c r="L1002" s="51"/>
      <c r="M1002" s="52">
        <v>13</v>
      </c>
      <c r="N1002" s="49">
        <v>6565.02</v>
      </c>
      <c r="O1002" s="75">
        <v>13</v>
      </c>
      <c r="P1002" s="54">
        <v>75.449999999999989</v>
      </c>
      <c r="Q1002" s="54">
        <v>37.019999999999996</v>
      </c>
      <c r="R1002" s="53">
        <f t="shared" si="47"/>
        <v>361.40000000000003</v>
      </c>
      <c r="S1002" s="51">
        <v>738.43</v>
      </c>
    </row>
    <row r="1003" spans="1:19" ht="15" x14ac:dyDescent="0.25">
      <c r="A1003" s="28"/>
      <c r="B1003" s="45" t="str">
        <f t="shared" si="45"/>
        <v>Sep-2025</v>
      </c>
      <c r="C1003" s="57">
        <v>45908</v>
      </c>
      <c r="D1003" s="43">
        <f t="shared" si="46"/>
        <v>204</v>
      </c>
      <c r="E1003" s="76">
        <v>1</v>
      </c>
      <c r="F1003" s="50">
        <v>6</v>
      </c>
      <c r="G1003" s="49">
        <v>3600</v>
      </c>
      <c r="H1003" s="73">
        <v>6</v>
      </c>
      <c r="I1003" s="52">
        <v>6</v>
      </c>
      <c r="J1003" s="51">
        <v>0</v>
      </c>
      <c r="K1003" s="52"/>
      <c r="L1003" s="51"/>
      <c r="M1003" s="52">
        <v>6</v>
      </c>
      <c r="N1003" s="49">
        <v>3631.35</v>
      </c>
      <c r="O1003" s="75">
        <v>6</v>
      </c>
      <c r="P1003" s="54">
        <v>31.35</v>
      </c>
      <c r="Q1003" s="54">
        <v>31.35</v>
      </c>
      <c r="R1003" s="53">
        <f t="shared" si="47"/>
        <v>180</v>
      </c>
      <c r="S1003" s="51"/>
    </row>
    <row r="1004" spans="1:19" ht="15" x14ac:dyDescent="0.25">
      <c r="A1004" s="28"/>
      <c r="B1004" s="45" t="str">
        <f t="shared" si="45"/>
        <v>Sep-2025</v>
      </c>
      <c r="C1004" s="57">
        <v>45909</v>
      </c>
      <c r="D1004" s="43">
        <f t="shared" si="46"/>
        <v>203</v>
      </c>
      <c r="E1004" s="76">
        <v>3</v>
      </c>
      <c r="F1004" s="50">
        <v>9</v>
      </c>
      <c r="G1004" s="49">
        <v>6100</v>
      </c>
      <c r="H1004" s="73">
        <v>9</v>
      </c>
      <c r="I1004" s="52">
        <v>9</v>
      </c>
      <c r="J1004" s="51">
        <v>527.52</v>
      </c>
      <c r="K1004" s="52">
        <v>1</v>
      </c>
      <c r="L1004" s="51">
        <v>90</v>
      </c>
      <c r="M1004" s="52">
        <v>9</v>
      </c>
      <c r="N1004" s="49">
        <v>5620.36</v>
      </c>
      <c r="O1004" s="75">
        <v>9</v>
      </c>
      <c r="P1004" s="54">
        <v>47.879999999999995</v>
      </c>
      <c r="Q1004" s="54">
        <v>20.36</v>
      </c>
      <c r="R1004" s="53">
        <f t="shared" si="47"/>
        <v>305</v>
      </c>
      <c r="S1004" s="51">
        <v>527.52</v>
      </c>
    </row>
    <row r="1005" spans="1:19" ht="15" x14ac:dyDescent="0.25">
      <c r="A1005" s="28"/>
      <c r="B1005" s="45" t="str">
        <f t="shared" si="45"/>
        <v>Sep-2025</v>
      </c>
      <c r="C1005" s="57">
        <v>45910</v>
      </c>
      <c r="D1005" s="43">
        <f t="shared" si="46"/>
        <v>202</v>
      </c>
      <c r="E1005" s="76">
        <v>1</v>
      </c>
      <c r="F1005" s="50">
        <v>8</v>
      </c>
      <c r="G1005" s="49">
        <v>5498</v>
      </c>
      <c r="H1005" s="73">
        <v>7</v>
      </c>
      <c r="I1005" s="52">
        <v>8</v>
      </c>
      <c r="J1005" s="51">
        <v>633.63</v>
      </c>
      <c r="K1005" s="52">
        <v>1</v>
      </c>
      <c r="L1005" s="51">
        <v>500.11</v>
      </c>
      <c r="M1005" s="52">
        <v>18</v>
      </c>
      <c r="N1005" s="49">
        <v>4919.46</v>
      </c>
      <c r="O1005" s="75">
        <v>16</v>
      </c>
      <c r="P1005" s="54">
        <v>55.09</v>
      </c>
      <c r="Q1005" s="54">
        <v>21.46</v>
      </c>
      <c r="R1005" s="53">
        <f t="shared" si="47"/>
        <v>274.90000000000003</v>
      </c>
      <c r="S1005" s="51">
        <v>633.63</v>
      </c>
    </row>
    <row r="1006" spans="1:19" ht="15" x14ac:dyDescent="0.25">
      <c r="A1006" s="28"/>
      <c r="B1006" s="45" t="str">
        <f t="shared" si="45"/>
        <v>Sep-2025</v>
      </c>
      <c r="C1006" s="57">
        <v>45911</v>
      </c>
      <c r="D1006" s="43">
        <f t="shared" si="46"/>
        <v>201</v>
      </c>
      <c r="E1006" s="76">
        <v>1</v>
      </c>
      <c r="F1006" s="50">
        <v>4</v>
      </c>
      <c r="G1006" s="49">
        <v>5000</v>
      </c>
      <c r="H1006" s="73">
        <v>4</v>
      </c>
      <c r="I1006" s="52">
        <v>4</v>
      </c>
      <c r="J1006" s="51">
        <v>0</v>
      </c>
      <c r="K1006" s="52"/>
      <c r="L1006" s="51"/>
      <c r="M1006" s="52">
        <v>4</v>
      </c>
      <c r="N1006" s="49">
        <v>5046.05</v>
      </c>
      <c r="O1006" s="75">
        <v>4</v>
      </c>
      <c r="P1006" s="54">
        <v>46.050000000000004</v>
      </c>
      <c r="Q1006" s="54">
        <v>46.050000000000004</v>
      </c>
      <c r="R1006" s="53">
        <f t="shared" si="47"/>
        <v>250</v>
      </c>
      <c r="S1006" s="51"/>
    </row>
    <row r="1007" spans="1:19" ht="15" x14ac:dyDescent="0.25">
      <c r="A1007" s="28"/>
      <c r="B1007" s="45" t="str">
        <f t="shared" si="45"/>
        <v>Sep-2025</v>
      </c>
      <c r="C1007" s="57">
        <v>45912</v>
      </c>
      <c r="D1007" s="43">
        <f t="shared" si="46"/>
        <v>200</v>
      </c>
      <c r="E1007" s="76">
        <v>3</v>
      </c>
      <c r="F1007" s="50">
        <v>6</v>
      </c>
      <c r="G1007" s="49">
        <v>3000</v>
      </c>
      <c r="H1007" s="73">
        <v>6</v>
      </c>
      <c r="I1007" s="52">
        <v>6</v>
      </c>
      <c r="J1007" s="51">
        <v>106.18</v>
      </c>
      <c r="K1007" s="52"/>
      <c r="L1007" s="51"/>
      <c r="M1007" s="52">
        <v>12</v>
      </c>
      <c r="N1007" s="49">
        <v>2916.06</v>
      </c>
      <c r="O1007" s="75">
        <v>10</v>
      </c>
      <c r="P1007" s="54">
        <v>22.240000000000002</v>
      </c>
      <c r="Q1007" s="54">
        <v>16.060000000000002</v>
      </c>
      <c r="R1007" s="53">
        <f t="shared" si="47"/>
        <v>150</v>
      </c>
      <c r="S1007" s="51">
        <v>106.18</v>
      </c>
    </row>
    <row r="1008" spans="1:19" ht="15" x14ac:dyDescent="0.25">
      <c r="A1008" s="28"/>
      <c r="B1008" s="45" t="str">
        <f t="shared" si="45"/>
        <v>Sep-2025</v>
      </c>
      <c r="C1008" s="57">
        <v>45913</v>
      </c>
      <c r="D1008" s="43">
        <f t="shared" si="46"/>
        <v>199</v>
      </c>
      <c r="E1008" s="76">
        <v>1</v>
      </c>
      <c r="F1008" s="50">
        <v>9</v>
      </c>
      <c r="G1008" s="49">
        <v>4800</v>
      </c>
      <c r="H1008" s="73">
        <v>8</v>
      </c>
      <c r="I1008" s="52">
        <v>9</v>
      </c>
      <c r="J1008" s="51">
        <v>527.02</v>
      </c>
      <c r="K1008" s="52">
        <v>3</v>
      </c>
      <c r="L1008" s="51">
        <v>603.11</v>
      </c>
      <c r="M1008" s="52">
        <v>12</v>
      </c>
      <c r="N1008" s="49">
        <v>4334.38</v>
      </c>
      <c r="O1008" s="75">
        <v>10</v>
      </c>
      <c r="P1008" s="54">
        <v>61.4</v>
      </c>
      <c r="Q1008" s="54">
        <v>34.4</v>
      </c>
      <c r="R1008" s="53">
        <f t="shared" si="47"/>
        <v>240</v>
      </c>
      <c r="S1008" s="51">
        <v>527.02</v>
      </c>
    </row>
    <row r="1009" spans="1:19" ht="15" x14ac:dyDescent="0.25">
      <c r="A1009" s="28"/>
      <c r="B1009" s="45" t="str">
        <f t="shared" si="45"/>
        <v>Sep-2025</v>
      </c>
      <c r="C1009" s="57">
        <v>45914</v>
      </c>
      <c r="D1009" s="43">
        <f t="shared" si="46"/>
        <v>198</v>
      </c>
      <c r="E1009" s="76">
        <v>1</v>
      </c>
      <c r="F1009" s="50">
        <v>6</v>
      </c>
      <c r="G1009" s="49">
        <v>2100</v>
      </c>
      <c r="H1009" s="73">
        <v>6</v>
      </c>
      <c r="I1009" s="52">
        <v>6</v>
      </c>
      <c r="J1009" s="51">
        <v>580.06999999999994</v>
      </c>
      <c r="K1009" s="52"/>
      <c r="L1009" s="51"/>
      <c r="M1009" s="52">
        <v>5</v>
      </c>
      <c r="N1009" s="49">
        <v>1554.54</v>
      </c>
      <c r="O1009" s="75">
        <v>5</v>
      </c>
      <c r="P1009" s="54">
        <v>34.61</v>
      </c>
      <c r="Q1009" s="54">
        <v>5.45</v>
      </c>
      <c r="R1009" s="53">
        <f t="shared" si="47"/>
        <v>105</v>
      </c>
      <c r="S1009" s="51">
        <v>580.06999999999994</v>
      </c>
    </row>
    <row r="1010" spans="1:19" ht="15" x14ac:dyDescent="0.25">
      <c r="A1010" s="28"/>
      <c r="B1010" s="45" t="str">
        <f t="shared" si="45"/>
        <v>Sep-2025</v>
      </c>
      <c r="C1010" s="57">
        <v>45915</v>
      </c>
      <c r="D1010" s="43">
        <f t="shared" si="46"/>
        <v>197</v>
      </c>
      <c r="E1010" s="76">
        <v>2</v>
      </c>
      <c r="F1010" s="50">
        <v>12</v>
      </c>
      <c r="G1010" s="49">
        <v>11448</v>
      </c>
      <c r="H1010" s="73">
        <v>12</v>
      </c>
      <c r="I1010" s="52">
        <v>12</v>
      </c>
      <c r="J1010" s="51">
        <v>2950.04</v>
      </c>
      <c r="K1010" s="52"/>
      <c r="L1010" s="51"/>
      <c r="M1010" s="52">
        <v>9</v>
      </c>
      <c r="N1010" s="49">
        <v>8678.7999999999993</v>
      </c>
      <c r="O1010" s="75">
        <v>7</v>
      </c>
      <c r="P1010" s="54">
        <v>180.84</v>
      </c>
      <c r="Q1010" s="54">
        <v>30.799999999999997</v>
      </c>
      <c r="R1010" s="53">
        <f t="shared" si="47"/>
        <v>572.4</v>
      </c>
      <c r="S1010" s="51">
        <v>2950.04</v>
      </c>
    </row>
    <row r="1011" spans="1:19" ht="15" x14ac:dyDescent="0.25">
      <c r="A1011" s="28"/>
      <c r="B1011" s="45" t="str">
        <f t="shared" si="45"/>
        <v>Sep-2025</v>
      </c>
      <c r="C1011" s="57">
        <v>45916</v>
      </c>
      <c r="D1011" s="43">
        <f t="shared" si="46"/>
        <v>196</v>
      </c>
      <c r="E1011" s="76">
        <v>2</v>
      </c>
      <c r="F1011" s="50">
        <v>6</v>
      </c>
      <c r="G1011" s="49">
        <v>3700</v>
      </c>
      <c r="H1011" s="73">
        <v>6</v>
      </c>
      <c r="I1011" s="52">
        <v>6</v>
      </c>
      <c r="J1011" s="51">
        <v>1053.22</v>
      </c>
      <c r="K1011" s="52"/>
      <c r="L1011" s="51"/>
      <c r="M1011" s="52">
        <v>5</v>
      </c>
      <c r="N1011" s="49">
        <v>2719.06</v>
      </c>
      <c r="O1011" s="75">
        <v>5</v>
      </c>
      <c r="P1011" s="54">
        <v>72.28</v>
      </c>
      <c r="Q1011" s="54">
        <v>19.060000000000002</v>
      </c>
      <c r="R1011" s="53">
        <f t="shared" si="47"/>
        <v>185</v>
      </c>
      <c r="S1011" s="51">
        <v>1053.22</v>
      </c>
    </row>
    <row r="1012" spans="1:19" ht="15" x14ac:dyDescent="0.25">
      <c r="A1012" s="28"/>
      <c r="B1012" s="45" t="str">
        <f t="shared" si="45"/>
        <v>Sep-2025</v>
      </c>
      <c r="C1012" s="57">
        <v>45917</v>
      </c>
      <c r="D1012" s="43">
        <f t="shared" si="46"/>
        <v>195</v>
      </c>
      <c r="E1012" s="76">
        <v>6</v>
      </c>
      <c r="F1012" s="50">
        <v>8</v>
      </c>
      <c r="G1012" s="49">
        <v>5800</v>
      </c>
      <c r="H1012" s="73">
        <v>8</v>
      </c>
      <c r="I1012" s="52">
        <v>8</v>
      </c>
      <c r="J1012" s="51">
        <v>0</v>
      </c>
      <c r="K1012" s="52"/>
      <c r="L1012" s="51"/>
      <c r="M1012" s="52">
        <v>10</v>
      </c>
      <c r="N1012" s="49">
        <v>5820.83</v>
      </c>
      <c r="O1012" s="75">
        <v>9</v>
      </c>
      <c r="P1012" s="54">
        <v>20.83</v>
      </c>
      <c r="Q1012" s="54">
        <v>20.83</v>
      </c>
      <c r="R1012" s="53">
        <f t="shared" si="47"/>
        <v>290</v>
      </c>
      <c r="S1012" s="51"/>
    </row>
    <row r="1013" spans="1:19" ht="15" x14ac:dyDescent="0.25">
      <c r="A1013" s="28"/>
      <c r="B1013" s="45" t="str">
        <f t="shared" si="45"/>
        <v>Sep-2025</v>
      </c>
      <c r="C1013" s="57">
        <v>45918</v>
      </c>
      <c r="D1013" s="43">
        <f t="shared" si="46"/>
        <v>194</v>
      </c>
      <c r="E1013" s="76">
        <v>2</v>
      </c>
      <c r="F1013" s="50">
        <v>8</v>
      </c>
      <c r="G1013" s="49">
        <v>4700</v>
      </c>
      <c r="H1013" s="73">
        <v>8</v>
      </c>
      <c r="I1013" s="52">
        <v>8</v>
      </c>
      <c r="J1013" s="51">
        <v>106</v>
      </c>
      <c r="K1013" s="52"/>
      <c r="L1013" s="51"/>
      <c r="M1013" s="52">
        <v>7</v>
      </c>
      <c r="N1013" s="49">
        <v>4630.55</v>
      </c>
      <c r="O1013" s="75">
        <v>7</v>
      </c>
      <c r="P1013" s="54">
        <v>36.549999999999997</v>
      </c>
      <c r="Q1013" s="54">
        <v>30.550000000000004</v>
      </c>
      <c r="R1013" s="53">
        <f t="shared" si="47"/>
        <v>235</v>
      </c>
      <c r="S1013" s="51">
        <v>106</v>
      </c>
    </row>
    <row r="1014" spans="1:19" ht="15" x14ac:dyDescent="0.25">
      <c r="A1014" s="28"/>
      <c r="B1014" s="45" t="str">
        <f t="shared" si="45"/>
        <v>Sep-2025</v>
      </c>
      <c r="C1014" s="57">
        <v>45919</v>
      </c>
      <c r="D1014" s="43">
        <f t="shared" si="46"/>
        <v>193</v>
      </c>
      <c r="F1014" s="50">
        <v>3</v>
      </c>
      <c r="G1014" s="49">
        <v>2000</v>
      </c>
      <c r="H1014" s="73">
        <v>3</v>
      </c>
      <c r="I1014" s="52">
        <v>3</v>
      </c>
      <c r="J1014" s="51">
        <v>1052.44</v>
      </c>
      <c r="K1014" s="52"/>
      <c r="L1014" s="51"/>
      <c r="M1014" s="52">
        <v>3</v>
      </c>
      <c r="N1014" s="49">
        <v>1012.01</v>
      </c>
      <c r="O1014" s="75">
        <v>3</v>
      </c>
      <c r="P1014" s="54">
        <v>64.449999999999989</v>
      </c>
      <c r="Q1014" s="54">
        <v>12.010000000000002</v>
      </c>
      <c r="R1014" s="53">
        <f t="shared" si="47"/>
        <v>100</v>
      </c>
      <c r="S1014" s="51">
        <v>1052.44</v>
      </c>
    </row>
    <row r="1015" spans="1:19" ht="15" x14ac:dyDescent="0.25">
      <c r="A1015" s="28"/>
      <c r="B1015" s="45" t="str">
        <f t="shared" si="45"/>
        <v>Sep-2025</v>
      </c>
      <c r="C1015" s="57">
        <v>45920</v>
      </c>
      <c r="D1015" s="43">
        <f t="shared" si="46"/>
        <v>192</v>
      </c>
      <c r="F1015" s="50">
        <v>10</v>
      </c>
      <c r="G1015" s="49">
        <v>7645</v>
      </c>
      <c r="H1015" s="73">
        <v>10</v>
      </c>
      <c r="I1015" s="52">
        <v>10</v>
      </c>
      <c r="J1015" s="51">
        <v>2840.45</v>
      </c>
      <c r="K1015" s="52"/>
      <c r="L1015" s="51"/>
      <c r="M1015" s="52">
        <v>12</v>
      </c>
      <c r="N1015" s="49">
        <v>4993.6400000000003</v>
      </c>
      <c r="O1015" s="75">
        <v>12</v>
      </c>
      <c r="P1015" s="54">
        <v>189.09000000000003</v>
      </c>
      <c r="Q1015" s="54">
        <v>48.64</v>
      </c>
      <c r="R1015" s="53">
        <f t="shared" si="47"/>
        <v>382.25</v>
      </c>
      <c r="S1015" s="51">
        <v>2840.4500000000003</v>
      </c>
    </row>
    <row r="1016" spans="1:19" ht="15" x14ac:dyDescent="0.25">
      <c r="A1016" s="28"/>
      <c r="B1016" s="45" t="str">
        <f t="shared" si="45"/>
        <v>Sep-2025</v>
      </c>
      <c r="C1016" s="57">
        <v>45921</v>
      </c>
      <c r="D1016" s="43">
        <f t="shared" si="46"/>
        <v>191</v>
      </c>
      <c r="E1016" s="76">
        <v>1</v>
      </c>
      <c r="F1016" s="50">
        <v>4</v>
      </c>
      <c r="G1016" s="49">
        <v>3500</v>
      </c>
      <c r="H1016" s="73">
        <v>4</v>
      </c>
      <c r="I1016" s="52">
        <v>4</v>
      </c>
      <c r="J1016" s="51">
        <v>0</v>
      </c>
      <c r="K1016" s="52"/>
      <c r="L1016" s="51"/>
      <c r="M1016" s="52">
        <v>5</v>
      </c>
      <c r="N1016" s="49">
        <v>3557.21</v>
      </c>
      <c r="O1016" s="75">
        <v>5</v>
      </c>
      <c r="P1016" s="54">
        <v>57.21</v>
      </c>
      <c r="Q1016" s="54">
        <v>57.21</v>
      </c>
      <c r="R1016" s="53">
        <f t="shared" si="47"/>
        <v>175</v>
      </c>
      <c r="S1016" s="51"/>
    </row>
    <row r="1017" spans="1:19" ht="15" x14ac:dyDescent="0.25">
      <c r="A1017" s="28"/>
      <c r="B1017" s="45" t="str">
        <f t="shared" si="45"/>
        <v>Sep-2025</v>
      </c>
      <c r="C1017" s="57">
        <v>45922</v>
      </c>
      <c r="D1017" s="43">
        <f t="shared" si="46"/>
        <v>190</v>
      </c>
      <c r="E1017" s="76">
        <v>2</v>
      </c>
      <c r="F1017" s="50">
        <v>7</v>
      </c>
      <c r="G1017" s="49">
        <v>5850</v>
      </c>
      <c r="H1017" s="73">
        <v>7</v>
      </c>
      <c r="I1017" s="52">
        <v>7</v>
      </c>
      <c r="J1017" s="51">
        <v>528.18000000000006</v>
      </c>
      <c r="K1017" s="52">
        <v>1</v>
      </c>
      <c r="L1017" s="51">
        <v>86</v>
      </c>
      <c r="M1017" s="52">
        <v>10</v>
      </c>
      <c r="N1017" s="49">
        <v>5357.13</v>
      </c>
      <c r="O1017" s="75">
        <v>9</v>
      </c>
      <c r="P1017" s="54">
        <v>35.31</v>
      </c>
      <c r="Q1017" s="54">
        <v>9.48</v>
      </c>
      <c r="R1017" s="53">
        <f t="shared" si="47"/>
        <v>292.5</v>
      </c>
      <c r="S1017" s="51">
        <v>528.18000000000006</v>
      </c>
    </row>
    <row r="1018" spans="1:19" ht="15" x14ac:dyDescent="0.25">
      <c r="A1018" s="28"/>
      <c r="B1018" s="45" t="str">
        <f t="shared" si="45"/>
        <v>Sep-2025</v>
      </c>
      <c r="C1018" s="57">
        <v>45923</v>
      </c>
      <c r="D1018" s="43">
        <f t="shared" si="46"/>
        <v>189</v>
      </c>
      <c r="E1018" s="76">
        <v>5</v>
      </c>
      <c r="F1018" s="50">
        <v>11</v>
      </c>
      <c r="G1018" s="49">
        <v>11330</v>
      </c>
      <c r="H1018" s="73">
        <v>11</v>
      </c>
      <c r="I1018" s="52">
        <v>11</v>
      </c>
      <c r="J1018" s="51">
        <v>0</v>
      </c>
      <c r="K1018" s="52"/>
      <c r="L1018" s="51"/>
      <c r="M1018" s="52">
        <v>18</v>
      </c>
      <c r="N1018" s="49">
        <v>11362.87</v>
      </c>
      <c r="O1018" s="75">
        <v>12</v>
      </c>
      <c r="P1018" s="54">
        <v>32.869999999999997</v>
      </c>
      <c r="Q1018" s="54">
        <v>32.869999999999997</v>
      </c>
      <c r="R1018" s="53">
        <f t="shared" si="47"/>
        <v>566.5</v>
      </c>
      <c r="S1018" s="51"/>
    </row>
    <row r="1019" spans="1:19" ht="15" x14ac:dyDescent="0.25">
      <c r="A1019" s="28"/>
      <c r="B1019" s="45" t="str">
        <f t="shared" si="45"/>
        <v>Sep-2025</v>
      </c>
      <c r="C1019" s="57">
        <v>45924</v>
      </c>
      <c r="D1019" s="43">
        <f t="shared" si="46"/>
        <v>188</v>
      </c>
      <c r="F1019" s="50">
        <v>8</v>
      </c>
      <c r="G1019" s="49">
        <v>8200</v>
      </c>
      <c r="H1019" s="73">
        <v>8</v>
      </c>
      <c r="I1019" s="52">
        <v>8</v>
      </c>
      <c r="J1019" s="51">
        <v>1682.5300000000002</v>
      </c>
      <c r="K1019" s="52"/>
      <c r="L1019" s="51"/>
      <c r="M1019" s="52">
        <v>5</v>
      </c>
      <c r="N1019" s="49">
        <v>6649.45</v>
      </c>
      <c r="O1019" s="75">
        <v>5</v>
      </c>
      <c r="P1019" s="54">
        <v>131.97999999999999</v>
      </c>
      <c r="Q1019" s="54">
        <v>49.45</v>
      </c>
      <c r="R1019" s="53">
        <f t="shared" si="47"/>
        <v>410</v>
      </c>
      <c r="S1019" s="51">
        <v>1682.53</v>
      </c>
    </row>
    <row r="1020" spans="1:19" ht="15" x14ac:dyDescent="0.25">
      <c r="A1020" s="28"/>
      <c r="B1020" s="45" t="str">
        <f t="shared" si="45"/>
        <v>Sep-2025</v>
      </c>
      <c r="C1020" s="57">
        <v>45925</v>
      </c>
      <c r="D1020" s="43">
        <f t="shared" si="46"/>
        <v>187</v>
      </c>
      <c r="E1020" s="76">
        <v>2</v>
      </c>
      <c r="F1020" s="50">
        <v>5</v>
      </c>
      <c r="G1020" s="49">
        <v>6350</v>
      </c>
      <c r="H1020" s="73">
        <v>5</v>
      </c>
      <c r="I1020" s="52">
        <v>5</v>
      </c>
      <c r="J1020" s="51">
        <v>1146.67</v>
      </c>
      <c r="K1020" s="52">
        <v>1</v>
      </c>
      <c r="L1020" s="51">
        <v>10</v>
      </c>
      <c r="M1020" s="52">
        <v>3</v>
      </c>
      <c r="N1020" s="49">
        <v>5274.29</v>
      </c>
      <c r="O1020" s="75">
        <v>3</v>
      </c>
      <c r="P1020" s="54">
        <v>70.959999999999994</v>
      </c>
      <c r="Q1020" s="54">
        <v>14.399999999999999</v>
      </c>
      <c r="R1020" s="53">
        <f t="shared" si="47"/>
        <v>317.5</v>
      </c>
      <c r="S1020" s="51">
        <v>1146.67</v>
      </c>
    </row>
    <row r="1021" spans="1:19" ht="15" x14ac:dyDescent="0.25">
      <c r="A1021" s="28"/>
      <c r="B1021" s="45" t="str">
        <f t="shared" si="45"/>
        <v>Sep-2025</v>
      </c>
      <c r="C1021" s="57">
        <v>45926</v>
      </c>
      <c r="D1021" s="43">
        <f t="shared" si="46"/>
        <v>186</v>
      </c>
      <c r="E1021" s="76">
        <v>1</v>
      </c>
      <c r="F1021" s="50">
        <v>9</v>
      </c>
      <c r="G1021" s="49">
        <v>6200</v>
      </c>
      <c r="H1021" s="73">
        <v>9</v>
      </c>
      <c r="I1021" s="52">
        <v>9</v>
      </c>
      <c r="J1021" s="51">
        <v>736.82999999999993</v>
      </c>
      <c r="K1021" s="52"/>
      <c r="L1021" s="51"/>
      <c r="M1021" s="52">
        <v>17</v>
      </c>
      <c r="N1021" s="49">
        <v>5552.76</v>
      </c>
      <c r="O1021" s="75">
        <v>15</v>
      </c>
      <c r="P1021" s="54">
        <v>89.589999999999989</v>
      </c>
      <c r="Q1021" s="54">
        <v>52.760000000000005</v>
      </c>
      <c r="R1021" s="53">
        <f t="shared" si="47"/>
        <v>310</v>
      </c>
      <c r="S1021" s="51">
        <v>736.82999999999993</v>
      </c>
    </row>
    <row r="1022" spans="1:19" ht="15" x14ac:dyDescent="0.25">
      <c r="A1022" s="28"/>
      <c r="B1022" s="45" t="str">
        <f t="shared" si="45"/>
        <v>Sep-2025</v>
      </c>
      <c r="C1022" s="57">
        <v>45927</v>
      </c>
      <c r="D1022" s="43">
        <f t="shared" si="46"/>
        <v>185</v>
      </c>
      <c r="F1022" s="50">
        <v>8</v>
      </c>
      <c r="G1022" s="49">
        <v>5640</v>
      </c>
      <c r="H1022" s="73">
        <v>8</v>
      </c>
      <c r="I1022" s="52">
        <v>8</v>
      </c>
      <c r="J1022" s="51">
        <v>1932.8799999999997</v>
      </c>
      <c r="K1022" s="52">
        <v>1</v>
      </c>
      <c r="L1022" s="51">
        <v>23</v>
      </c>
      <c r="M1022" s="52">
        <v>9</v>
      </c>
      <c r="N1022" s="49">
        <v>3815.08</v>
      </c>
      <c r="O1022" s="75">
        <v>8</v>
      </c>
      <c r="P1022" s="54">
        <v>107.95999999999998</v>
      </c>
      <c r="Q1022" s="54">
        <v>15.080000000000002</v>
      </c>
      <c r="R1022" s="53">
        <f t="shared" si="47"/>
        <v>282</v>
      </c>
      <c r="S1022" s="51">
        <v>1932.8799999999997</v>
      </c>
    </row>
    <row r="1023" spans="1:19" ht="15" x14ac:dyDescent="0.25">
      <c r="A1023" s="28"/>
      <c r="B1023" s="45" t="str">
        <f t="shared" si="45"/>
        <v>Sep-2025</v>
      </c>
      <c r="C1023" s="57">
        <v>45928</v>
      </c>
      <c r="D1023" s="43">
        <f t="shared" si="46"/>
        <v>184</v>
      </c>
      <c r="F1023" s="50">
        <v>7</v>
      </c>
      <c r="G1023" s="49">
        <v>4900</v>
      </c>
      <c r="H1023" s="73">
        <v>7</v>
      </c>
      <c r="I1023" s="52">
        <v>7</v>
      </c>
      <c r="J1023" s="51">
        <v>3150.2999999999997</v>
      </c>
      <c r="K1023" s="52">
        <v>1</v>
      </c>
      <c r="L1023" s="51">
        <v>15</v>
      </c>
      <c r="M1023" s="52">
        <v>5</v>
      </c>
      <c r="N1023" s="49">
        <v>1913.5</v>
      </c>
      <c r="O1023" s="75">
        <v>5</v>
      </c>
      <c r="P1023" s="54">
        <v>163.80000000000001</v>
      </c>
      <c r="Q1023" s="54">
        <v>13.5</v>
      </c>
      <c r="R1023" s="53">
        <f t="shared" si="47"/>
        <v>245</v>
      </c>
      <c r="S1023" s="51">
        <v>3150.2999999999997</v>
      </c>
    </row>
    <row r="1024" spans="1:19" ht="15" x14ac:dyDescent="0.25">
      <c r="A1024" s="28"/>
      <c r="B1024" s="45" t="str">
        <f t="shared" si="45"/>
        <v>Sep-2025</v>
      </c>
      <c r="C1024" s="57">
        <v>45929</v>
      </c>
      <c r="D1024" s="43">
        <f t="shared" si="46"/>
        <v>183</v>
      </c>
      <c r="E1024" s="76">
        <v>1</v>
      </c>
      <c r="F1024" s="50">
        <v>5</v>
      </c>
      <c r="G1024" s="49">
        <v>2900</v>
      </c>
      <c r="H1024" s="73">
        <v>5</v>
      </c>
      <c r="I1024" s="52">
        <v>5</v>
      </c>
      <c r="J1024" s="51">
        <v>630.58999999999992</v>
      </c>
      <c r="K1024" s="52"/>
      <c r="L1024" s="51"/>
      <c r="M1024" s="52">
        <v>6</v>
      </c>
      <c r="N1024" s="49">
        <v>2313.08</v>
      </c>
      <c r="O1024" s="75">
        <v>4</v>
      </c>
      <c r="P1024" s="54">
        <v>43.67</v>
      </c>
      <c r="Q1024" s="54">
        <v>13.08</v>
      </c>
      <c r="R1024" s="53">
        <f t="shared" si="47"/>
        <v>145</v>
      </c>
      <c r="S1024" s="51">
        <v>630.58999999999992</v>
      </c>
    </row>
    <row r="1025" spans="1:19" ht="15" x14ac:dyDescent="0.25">
      <c r="A1025" s="28"/>
      <c r="B1025" s="45" t="str">
        <f t="shared" si="45"/>
        <v>Sep-2025</v>
      </c>
      <c r="C1025" s="57">
        <v>45930</v>
      </c>
      <c r="D1025" s="43">
        <f t="shared" si="46"/>
        <v>182</v>
      </c>
      <c r="E1025" s="76">
        <v>3</v>
      </c>
      <c r="F1025" s="50">
        <v>8</v>
      </c>
      <c r="G1025" s="49">
        <v>4808</v>
      </c>
      <c r="H1025" s="73">
        <v>8</v>
      </c>
      <c r="I1025" s="52">
        <v>8</v>
      </c>
      <c r="J1025" s="51">
        <v>0</v>
      </c>
      <c r="K1025" s="52"/>
      <c r="L1025" s="51"/>
      <c r="M1025" s="52">
        <v>10</v>
      </c>
      <c r="N1025" s="49">
        <v>4851.3999999999996</v>
      </c>
      <c r="O1025" s="75">
        <v>9</v>
      </c>
      <c r="P1025" s="54">
        <v>43.4</v>
      </c>
      <c r="Q1025" s="54">
        <v>43.4</v>
      </c>
      <c r="R1025" s="53">
        <f t="shared" si="47"/>
        <v>240.4</v>
      </c>
      <c r="S1025" s="51"/>
    </row>
    <row r="1026" spans="1:19" ht="15" x14ac:dyDescent="0.25">
      <c r="A1026" s="28"/>
      <c r="B1026" s="45" t="str">
        <f t="shared" si="45"/>
        <v>Oct-2025</v>
      </c>
      <c r="C1026" s="57">
        <v>45931</v>
      </c>
      <c r="D1026" s="43">
        <f t="shared" si="46"/>
        <v>181</v>
      </c>
      <c r="E1026" s="76">
        <v>3</v>
      </c>
      <c r="F1026" s="50">
        <v>7</v>
      </c>
      <c r="G1026" s="49">
        <v>5598</v>
      </c>
      <c r="H1026" s="73">
        <v>5</v>
      </c>
      <c r="I1026" s="52">
        <v>7</v>
      </c>
      <c r="J1026" s="51">
        <v>0</v>
      </c>
      <c r="K1026" s="52">
        <v>3</v>
      </c>
      <c r="L1026" s="51">
        <v>1500.22</v>
      </c>
      <c r="M1026" s="52">
        <v>17</v>
      </c>
      <c r="N1026" s="49">
        <v>5620.74</v>
      </c>
      <c r="O1026" s="75">
        <v>16</v>
      </c>
      <c r="P1026" s="54">
        <v>22.74</v>
      </c>
      <c r="Q1026" s="54">
        <v>22.74</v>
      </c>
      <c r="R1026" s="53">
        <f t="shared" si="47"/>
        <v>279.90000000000003</v>
      </c>
      <c r="S1026" s="51"/>
    </row>
    <row r="1027" spans="1:19" ht="15" x14ac:dyDescent="0.25">
      <c r="A1027" s="28"/>
      <c r="B1027" s="45" t="str">
        <f t="shared" si="45"/>
        <v>Oct-2025</v>
      </c>
      <c r="C1027" s="57">
        <v>45932</v>
      </c>
      <c r="D1027" s="43">
        <f t="shared" si="46"/>
        <v>180</v>
      </c>
      <c r="E1027" s="76">
        <v>1</v>
      </c>
      <c r="F1027" s="50">
        <v>10</v>
      </c>
      <c r="G1027" s="49">
        <v>5900</v>
      </c>
      <c r="H1027" s="73">
        <v>10</v>
      </c>
      <c r="I1027" s="52">
        <v>10</v>
      </c>
      <c r="J1027" s="51">
        <v>1469.77</v>
      </c>
      <c r="K1027" s="52"/>
      <c r="L1027" s="51"/>
      <c r="M1027" s="52">
        <v>8</v>
      </c>
      <c r="N1027" s="49">
        <v>4534.74</v>
      </c>
      <c r="O1027" s="75">
        <v>8</v>
      </c>
      <c r="P1027" s="54">
        <v>104.50999999999999</v>
      </c>
      <c r="Q1027" s="54">
        <v>34.74</v>
      </c>
      <c r="R1027" s="53">
        <f t="shared" si="47"/>
        <v>295</v>
      </c>
      <c r="S1027" s="51">
        <v>1469.77</v>
      </c>
    </row>
    <row r="1028" spans="1:19" ht="15" x14ac:dyDescent="0.25">
      <c r="A1028" s="28"/>
      <c r="B1028" s="45" t="str">
        <f t="shared" si="45"/>
        <v>Oct-2025</v>
      </c>
      <c r="C1028" s="57">
        <v>45933</v>
      </c>
      <c r="D1028" s="43">
        <f t="shared" si="46"/>
        <v>179</v>
      </c>
      <c r="E1028" s="76">
        <v>2</v>
      </c>
      <c r="F1028" s="50">
        <v>7</v>
      </c>
      <c r="G1028" s="49">
        <v>5300</v>
      </c>
      <c r="H1028" s="73">
        <v>7</v>
      </c>
      <c r="I1028" s="52">
        <v>7</v>
      </c>
      <c r="J1028" s="51">
        <v>2097.6</v>
      </c>
      <c r="K1028" s="52">
        <v>3</v>
      </c>
      <c r="L1028" s="51">
        <v>1500.33</v>
      </c>
      <c r="M1028" s="52">
        <v>6</v>
      </c>
      <c r="N1028" s="49">
        <v>3302</v>
      </c>
      <c r="O1028" s="75">
        <v>4</v>
      </c>
      <c r="P1028" s="54">
        <v>99.6</v>
      </c>
      <c r="Q1028" s="54">
        <v>2</v>
      </c>
      <c r="R1028" s="53">
        <f t="shared" si="47"/>
        <v>265</v>
      </c>
      <c r="S1028" s="51">
        <v>2097.6</v>
      </c>
    </row>
    <row r="1029" spans="1:19" ht="15" x14ac:dyDescent="0.25">
      <c r="A1029" s="28"/>
      <c r="B1029" s="45" t="str">
        <f t="shared" si="45"/>
        <v>Oct-2025</v>
      </c>
      <c r="C1029" s="57">
        <v>45934</v>
      </c>
      <c r="D1029" s="43">
        <f t="shared" si="46"/>
        <v>178</v>
      </c>
      <c r="E1029" s="76">
        <v>1</v>
      </c>
      <c r="F1029" s="50">
        <v>8</v>
      </c>
      <c r="G1029" s="49">
        <v>4200</v>
      </c>
      <c r="H1029" s="73">
        <v>7</v>
      </c>
      <c r="I1029" s="52">
        <v>8</v>
      </c>
      <c r="J1029" s="51">
        <v>211.04</v>
      </c>
      <c r="K1029" s="52">
        <v>1</v>
      </c>
      <c r="L1029" s="51">
        <v>500.11</v>
      </c>
      <c r="M1029" s="52">
        <v>6</v>
      </c>
      <c r="N1029" s="49">
        <v>4064.7</v>
      </c>
      <c r="O1029" s="75">
        <v>6</v>
      </c>
      <c r="P1029" s="54">
        <v>75.740000000000009</v>
      </c>
      <c r="Q1029" s="54">
        <v>64.7</v>
      </c>
      <c r="R1029" s="53">
        <f t="shared" si="47"/>
        <v>210</v>
      </c>
      <c r="S1029" s="51">
        <v>211.04</v>
      </c>
    </row>
    <row r="1030" spans="1:19" ht="15" x14ac:dyDescent="0.25">
      <c r="A1030" s="28"/>
      <c r="B1030" s="45" t="str">
        <f t="shared" si="45"/>
        <v>Oct-2025</v>
      </c>
      <c r="C1030" s="57">
        <v>45935</v>
      </c>
      <c r="D1030" s="43">
        <f t="shared" si="46"/>
        <v>177</v>
      </c>
      <c r="E1030" s="76">
        <v>1</v>
      </c>
      <c r="F1030" s="50">
        <v>6</v>
      </c>
      <c r="G1030" s="49">
        <v>3200</v>
      </c>
      <c r="H1030" s="73">
        <v>6</v>
      </c>
      <c r="I1030" s="52">
        <v>6</v>
      </c>
      <c r="J1030" s="51">
        <v>928.38</v>
      </c>
      <c r="K1030" s="52"/>
      <c r="L1030" s="51"/>
      <c r="M1030" s="52">
        <v>12</v>
      </c>
      <c r="N1030" s="49">
        <v>2343.79</v>
      </c>
      <c r="O1030" s="75">
        <v>10</v>
      </c>
      <c r="P1030" s="54">
        <v>72.169999999999987</v>
      </c>
      <c r="Q1030" s="54">
        <v>32.879999999999995</v>
      </c>
      <c r="R1030" s="53">
        <f t="shared" si="47"/>
        <v>160</v>
      </c>
      <c r="S1030" s="51">
        <v>928.38</v>
      </c>
    </row>
    <row r="1031" spans="1:19" ht="15" x14ac:dyDescent="0.25">
      <c r="A1031" s="28"/>
      <c r="B1031" s="45" t="str">
        <f t="shared" si="45"/>
        <v>Oct-2025</v>
      </c>
      <c r="C1031" s="57">
        <v>45936</v>
      </c>
      <c r="D1031" s="43">
        <f t="shared" si="46"/>
        <v>176</v>
      </c>
      <c r="E1031" s="76">
        <v>6</v>
      </c>
      <c r="F1031" s="50">
        <v>10</v>
      </c>
      <c r="G1031" s="49">
        <v>8900</v>
      </c>
      <c r="H1031" s="73">
        <v>10</v>
      </c>
      <c r="I1031" s="52">
        <v>10</v>
      </c>
      <c r="J1031" s="51">
        <v>867.64</v>
      </c>
      <c r="K1031" s="52"/>
      <c r="L1031" s="51"/>
      <c r="M1031" s="52">
        <v>16</v>
      </c>
      <c r="N1031" s="49">
        <v>8234.23</v>
      </c>
      <c r="O1031" s="75">
        <v>14</v>
      </c>
      <c r="P1031" s="54">
        <v>201.86999999999998</v>
      </c>
      <c r="Q1031" s="54">
        <v>165.8</v>
      </c>
      <c r="R1031" s="53">
        <f t="shared" si="47"/>
        <v>445</v>
      </c>
      <c r="S1031" s="51">
        <v>867.64</v>
      </c>
    </row>
    <row r="1032" spans="1:19" ht="15" x14ac:dyDescent="0.25">
      <c r="A1032" s="28"/>
      <c r="B1032" s="45" t="str">
        <f t="shared" ref="B1032:B1095" si="48">TEXT(C1032,"MMM-YYYY")</f>
        <v>Oct-2025</v>
      </c>
      <c r="C1032" s="57">
        <v>45937</v>
      </c>
      <c r="D1032" s="43">
        <f t="shared" ref="D1032:D1095" si="49">$A$1-C1032</f>
        <v>175</v>
      </c>
      <c r="E1032" s="76">
        <v>3</v>
      </c>
      <c r="F1032" s="50">
        <v>12</v>
      </c>
      <c r="G1032" s="49">
        <v>11248</v>
      </c>
      <c r="H1032" s="73">
        <v>11</v>
      </c>
      <c r="I1032" s="52">
        <v>12</v>
      </c>
      <c r="J1032" s="51">
        <v>734.74</v>
      </c>
      <c r="K1032" s="52">
        <v>2</v>
      </c>
      <c r="L1032" s="51">
        <v>1100.1100000000001</v>
      </c>
      <c r="M1032" s="52">
        <v>10</v>
      </c>
      <c r="N1032" s="49">
        <v>10623.11</v>
      </c>
      <c r="O1032" s="75">
        <v>10</v>
      </c>
      <c r="P1032" s="54">
        <v>109.85</v>
      </c>
      <c r="Q1032" s="54">
        <v>75.11</v>
      </c>
      <c r="R1032" s="53">
        <f t="shared" ref="R1032:R1095" si="50">G1032*5%</f>
        <v>562.4</v>
      </c>
      <c r="S1032" s="51">
        <v>734.74</v>
      </c>
    </row>
    <row r="1033" spans="1:19" ht="15" x14ac:dyDescent="0.25">
      <c r="A1033" s="28"/>
      <c r="B1033" s="45" t="str">
        <f t="shared" si="48"/>
        <v>Oct-2025</v>
      </c>
      <c r="C1033" s="57">
        <v>45938</v>
      </c>
      <c r="D1033" s="43">
        <f t="shared" si="49"/>
        <v>174</v>
      </c>
      <c r="E1033" s="76">
        <v>4</v>
      </c>
      <c r="F1033" s="50">
        <v>11</v>
      </c>
      <c r="G1033" s="49">
        <v>6098</v>
      </c>
      <c r="H1033" s="73">
        <v>11</v>
      </c>
      <c r="I1033" s="52">
        <v>11</v>
      </c>
      <c r="J1033" s="51">
        <v>1782.05</v>
      </c>
      <c r="K1033" s="52">
        <v>1</v>
      </c>
      <c r="L1033" s="51">
        <v>1000</v>
      </c>
      <c r="M1033" s="52">
        <v>8</v>
      </c>
      <c r="N1033" s="49">
        <v>4407.76</v>
      </c>
      <c r="O1033" s="75">
        <v>7</v>
      </c>
      <c r="P1033" s="54">
        <v>91.810000000000016</v>
      </c>
      <c r="Q1033" s="54">
        <v>9.76</v>
      </c>
      <c r="R1033" s="53">
        <f t="shared" si="50"/>
        <v>304.90000000000003</v>
      </c>
      <c r="S1033" s="51">
        <v>1782.0500000000002</v>
      </c>
    </row>
    <row r="1034" spans="1:19" ht="15" x14ac:dyDescent="0.25">
      <c r="A1034" s="28"/>
      <c r="B1034" s="45" t="str">
        <f t="shared" si="48"/>
        <v>Oct-2025</v>
      </c>
      <c r="C1034" s="57">
        <v>45939</v>
      </c>
      <c r="D1034" s="43">
        <f t="shared" si="49"/>
        <v>173</v>
      </c>
      <c r="E1034" s="76">
        <v>3</v>
      </c>
      <c r="F1034" s="50">
        <v>10</v>
      </c>
      <c r="G1034" s="49">
        <v>9448</v>
      </c>
      <c r="H1034" s="73">
        <v>10</v>
      </c>
      <c r="I1034" s="52">
        <v>10</v>
      </c>
      <c r="J1034" s="51">
        <v>838.19</v>
      </c>
      <c r="K1034" s="52">
        <v>1</v>
      </c>
      <c r="L1034" s="51">
        <v>1898.42</v>
      </c>
      <c r="M1034" s="52">
        <v>15</v>
      </c>
      <c r="N1034" s="49">
        <v>8720.8799999999992</v>
      </c>
      <c r="O1034" s="75">
        <v>13</v>
      </c>
      <c r="P1034" s="54">
        <v>111.07</v>
      </c>
      <c r="Q1034" s="54">
        <v>72.88</v>
      </c>
      <c r="R1034" s="53">
        <f t="shared" si="50"/>
        <v>472.40000000000003</v>
      </c>
      <c r="S1034" s="51">
        <v>838.19</v>
      </c>
    </row>
    <row r="1035" spans="1:19" ht="15" x14ac:dyDescent="0.25">
      <c r="A1035" s="28"/>
      <c r="B1035" s="45" t="str">
        <f t="shared" si="48"/>
        <v>Oct-2025</v>
      </c>
      <c r="C1035" s="57">
        <v>45940</v>
      </c>
      <c r="D1035" s="43">
        <f t="shared" si="49"/>
        <v>172</v>
      </c>
      <c r="E1035" s="76">
        <v>4</v>
      </c>
      <c r="F1035" s="50">
        <v>7</v>
      </c>
      <c r="G1035" s="49">
        <v>3300</v>
      </c>
      <c r="H1035" s="73">
        <v>7</v>
      </c>
      <c r="I1035" s="52">
        <v>7</v>
      </c>
      <c r="J1035" s="51">
        <v>2196.3000000000002</v>
      </c>
      <c r="K1035" s="52">
        <v>1</v>
      </c>
      <c r="L1035" s="51">
        <v>500.11</v>
      </c>
      <c r="M1035" s="52">
        <v>3</v>
      </c>
      <c r="N1035" s="49">
        <v>1212.3800000000001</v>
      </c>
      <c r="O1035" s="75">
        <v>3</v>
      </c>
      <c r="P1035" s="54">
        <v>108.67999999999999</v>
      </c>
      <c r="Q1035" s="54">
        <v>9.7099999999999991</v>
      </c>
      <c r="R1035" s="53">
        <f t="shared" si="50"/>
        <v>165</v>
      </c>
      <c r="S1035" s="51">
        <v>2196.3000000000002</v>
      </c>
    </row>
    <row r="1036" spans="1:19" ht="15" x14ac:dyDescent="0.25">
      <c r="A1036" s="28"/>
      <c r="B1036" s="45" t="str">
        <f t="shared" si="48"/>
        <v>Oct-2025</v>
      </c>
      <c r="C1036" s="57">
        <v>45941</v>
      </c>
      <c r="D1036" s="43">
        <f t="shared" si="49"/>
        <v>171</v>
      </c>
      <c r="F1036" s="50">
        <v>9</v>
      </c>
      <c r="G1036" s="49">
        <v>8598</v>
      </c>
      <c r="H1036" s="73">
        <v>9</v>
      </c>
      <c r="I1036" s="52">
        <v>9</v>
      </c>
      <c r="J1036" s="51">
        <v>105.31</v>
      </c>
      <c r="K1036" s="52">
        <v>1</v>
      </c>
      <c r="L1036" s="51">
        <v>8</v>
      </c>
      <c r="M1036" s="52">
        <v>17</v>
      </c>
      <c r="N1036" s="49">
        <v>8607.99</v>
      </c>
      <c r="O1036" s="75">
        <v>11</v>
      </c>
      <c r="P1036" s="54">
        <v>115.29999999999998</v>
      </c>
      <c r="Q1036" s="54">
        <v>109.98999999999998</v>
      </c>
      <c r="R1036" s="53">
        <f t="shared" si="50"/>
        <v>429.90000000000003</v>
      </c>
      <c r="S1036" s="51">
        <v>105.31</v>
      </c>
    </row>
    <row r="1037" spans="1:19" ht="15" x14ac:dyDescent="0.25">
      <c r="A1037" s="28"/>
      <c r="B1037" s="45" t="str">
        <f t="shared" si="48"/>
        <v>Oct-2025</v>
      </c>
      <c r="C1037" s="57">
        <v>45942</v>
      </c>
      <c r="D1037" s="43">
        <f t="shared" si="49"/>
        <v>170</v>
      </c>
      <c r="E1037" s="76">
        <v>2</v>
      </c>
      <c r="F1037" s="50">
        <v>1</v>
      </c>
      <c r="G1037" s="49">
        <v>500</v>
      </c>
      <c r="H1037" s="73">
        <v>1</v>
      </c>
      <c r="I1037" s="52">
        <v>1</v>
      </c>
      <c r="J1037" s="51">
        <v>0</v>
      </c>
      <c r="K1037" s="52"/>
      <c r="L1037" s="51"/>
      <c r="M1037" s="52">
        <v>1</v>
      </c>
      <c r="N1037" s="49">
        <v>508.93</v>
      </c>
      <c r="O1037" s="75">
        <v>1</v>
      </c>
      <c r="P1037" s="54">
        <v>8.93</v>
      </c>
      <c r="Q1037" s="54">
        <v>8.93</v>
      </c>
      <c r="R1037" s="53">
        <f t="shared" si="50"/>
        <v>25</v>
      </c>
      <c r="S1037" s="51"/>
    </row>
    <row r="1038" spans="1:19" ht="15" x14ac:dyDescent="0.25">
      <c r="A1038" s="28"/>
      <c r="B1038" s="45" t="str">
        <f t="shared" si="48"/>
        <v>Oct-2025</v>
      </c>
      <c r="C1038" s="57">
        <v>45943</v>
      </c>
      <c r="D1038" s="43">
        <f t="shared" si="49"/>
        <v>169</v>
      </c>
      <c r="E1038" s="76">
        <v>3</v>
      </c>
      <c r="F1038" s="50">
        <v>14</v>
      </c>
      <c r="G1038" s="49">
        <v>10180</v>
      </c>
      <c r="H1038" s="73">
        <v>14</v>
      </c>
      <c r="I1038" s="52">
        <v>14</v>
      </c>
      <c r="J1038" s="51">
        <v>4290.2</v>
      </c>
      <c r="K1038" s="52"/>
      <c r="L1038" s="51"/>
      <c r="M1038" s="52">
        <v>9</v>
      </c>
      <c r="N1038" s="49">
        <v>6170.22</v>
      </c>
      <c r="O1038" s="75">
        <v>9</v>
      </c>
      <c r="P1038" s="54">
        <v>280.41999999999996</v>
      </c>
      <c r="Q1038" s="54">
        <v>90.22</v>
      </c>
      <c r="R1038" s="53">
        <f t="shared" si="50"/>
        <v>509</v>
      </c>
      <c r="S1038" s="51">
        <v>4290.2</v>
      </c>
    </row>
    <row r="1039" spans="1:19" ht="15" x14ac:dyDescent="0.25">
      <c r="A1039" s="28"/>
      <c r="B1039" s="45" t="str">
        <f t="shared" si="48"/>
        <v>Oct-2025</v>
      </c>
      <c r="C1039" s="57">
        <v>45944</v>
      </c>
      <c r="D1039" s="43">
        <f t="shared" si="49"/>
        <v>168</v>
      </c>
      <c r="F1039" s="50">
        <v>4</v>
      </c>
      <c r="G1039" s="49">
        <v>2200</v>
      </c>
      <c r="H1039" s="73">
        <v>4</v>
      </c>
      <c r="I1039" s="52">
        <v>4</v>
      </c>
      <c r="J1039" s="51">
        <v>841.32</v>
      </c>
      <c r="K1039" s="52"/>
      <c r="L1039" s="51"/>
      <c r="M1039" s="52">
        <v>10</v>
      </c>
      <c r="N1039" s="49">
        <v>1421.05</v>
      </c>
      <c r="O1039" s="75">
        <v>9</v>
      </c>
      <c r="P1039" s="54">
        <v>62.36999999999999</v>
      </c>
      <c r="Q1039" s="54">
        <v>38.599999999999994</v>
      </c>
      <c r="R1039" s="53">
        <f t="shared" si="50"/>
        <v>110</v>
      </c>
      <c r="S1039" s="51">
        <v>841.32</v>
      </c>
    </row>
    <row r="1040" spans="1:19" ht="15" x14ac:dyDescent="0.25">
      <c r="A1040" s="28"/>
      <c r="B1040" s="45" t="str">
        <f t="shared" si="48"/>
        <v>Oct-2025</v>
      </c>
      <c r="C1040" s="57">
        <v>45953</v>
      </c>
      <c r="D1040" s="43">
        <f t="shared" si="49"/>
        <v>159</v>
      </c>
      <c r="F1040" s="50">
        <v>5</v>
      </c>
      <c r="G1040" s="49">
        <v>2300</v>
      </c>
      <c r="H1040" s="73">
        <v>5</v>
      </c>
      <c r="I1040" s="52">
        <v>5</v>
      </c>
      <c r="J1040" s="51">
        <v>104.95</v>
      </c>
      <c r="K1040" s="52"/>
      <c r="L1040" s="51"/>
      <c r="M1040" s="52">
        <v>7</v>
      </c>
      <c r="N1040" s="49">
        <v>2233.09</v>
      </c>
      <c r="O1040" s="75">
        <v>5</v>
      </c>
      <c r="P1040" s="54">
        <v>38.04</v>
      </c>
      <c r="Q1040" s="54">
        <v>33.089999999999996</v>
      </c>
      <c r="R1040" s="53">
        <f t="shared" si="50"/>
        <v>115</v>
      </c>
      <c r="S1040" s="51">
        <v>104.95</v>
      </c>
    </row>
    <row r="1041" spans="1:19" ht="15" x14ac:dyDescent="0.25">
      <c r="A1041" s="28"/>
      <c r="B1041" s="45" t="str">
        <f t="shared" si="48"/>
        <v>Oct-2025</v>
      </c>
      <c r="C1041" s="57">
        <v>45954</v>
      </c>
      <c r="D1041" s="43">
        <f t="shared" si="49"/>
        <v>158</v>
      </c>
      <c r="F1041" s="50">
        <v>1</v>
      </c>
      <c r="G1041" s="49">
        <v>500</v>
      </c>
      <c r="H1041" s="73">
        <v>1</v>
      </c>
      <c r="I1041" s="52">
        <v>1</v>
      </c>
      <c r="J1041" s="51">
        <v>0</v>
      </c>
      <c r="K1041" s="52"/>
      <c r="L1041" s="51"/>
      <c r="M1041" s="52">
        <v>1</v>
      </c>
      <c r="N1041" s="49">
        <v>504.12</v>
      </c>
      <c r="O1041" s="75">
        <v>1</v>
      </c>
      <c r="P1041" s="54">
        <v>4.12</v>
      </c>
      <c r="Q1041" s="54">
        <v>4.12</v>
      </c>
      <c r="R1041" s="53">
        <f t="shared" si="50"/>
        <v>25</v>
      </c>
      <c r="S1041" s="51"/>
    </row>
    <row r="1042" spans="1:19" ht="15" x14ac:dyDescent="0.25">
      <c r="A1042" s="28"/>
      <c r="B1042" s="45" t="str">
        <f t="shared" si="48"/>
        <v>Oct-2025</v>
      </c>
      <c r="C1042" s="57">
        <v>45955</v>
      </c>
      <c r="D1042" s="43">
        <f t="shared" si="49"/>
        <v>157</v>
      </c>
      <c r="F1042" s="50">
        <v>4</v>
      </c>
      <c r="G1042" s="49">
        <v>2300</v>
      </c>
      <c r="H1042" s="73">
        <v>4</v>
      </c>
      <c r="I1042" s="52">
        <v>4</v>
      </c>
      <c r="J1042" s="51">
        <v>1877.9099999999999</v>
      </c>
      <c r="K1042" s="52"/>
      <c r="L1042" s="51"/>
      <c r="M1042" s="52">
        <v>4</v>
      </c>
      <c r="N1042" s="49">
        <v>506.46</v>
      </c>
      <c r="O1042" s="75">
        <v>3</v>
      </c>
      <c r="P1042" s="54">
        <v>84.36999999999999</v>
      </c>
      <c r="Q1042" s="54">
        <v>6.46</v>
      </c>
      <c r="R1042" s="53">
        <f t="shared" si="50"/>
        <v>115</v>
      </c>
      <c r="S1042" s="51">
        <v>1877.9099999999999</v>
      </c>
    </row>
    <row r="1043" spans="1:19" ht="15" x14ac:dyDescent="0.25">
      <c r="A1043" s="28"/>
      <c r="B1043" s="45" t="str">
        <f t="shared" si="48"/>
        <v>Oct-2025</v>
      </c>
      <c r="C1043" s="57">
        <v>45957</v>
      </c>
      <c r="D1043" s="43">
        <f t="shared" si="49"/>
        <v>155</v>
      </c>
      <c r="F1043" s="50">
        <v>1</v>
      </c>
      <c r="G1043" s="49">
        <v>700</v>
      </c>
      <c r="H1043" s="73">
        <v>1</v>
      </c>
      <c r="I1043" s="52">
        <v>1</v>
      </c>
      <c r="J1043" s="51">
        <v>0</v>
      </c>
      <c r="K1043" s="52"/>
      <c r="L1043" s="51"/>
      <c r="M1043" s="52">
        <v>1</v>
      </c>
      <c r="N1043" s="49">
        <v>706.21</v>
      </c>
      <c r="O1043" s="75">
        <v>1</v>
      </c>
      <c r="P1043" s="54">
        <v>6.21</v>
      </c>
      <c r="Q1043" s="54">
        <v>6.21</v>
      </c>
      <c r="R1043" s="53">
        <f t="shared" si="50"/>
        <v>35</v>
      </c>
      <c r="S1043" s="51"/>
    </row>
    <row r="1044" spans="1:19" ht="15" x14ac:dyDescent="0.25">
      <c r="A1044" s="28"/>
      <c r="B1044" s="45" t="str">
        <f t="shared" si="48"/>
        <v>Oct-2025</v>
      </c>
      <c r="C1044" s="57">
        <v>45958</v>
      </c>
      <c r="D1044" s="43">
        <f t="shared" si="49"/>
        <v>154</v>
      </c>
      <c r="F1044" s="50">
        <v>1</v>
      </c>
      <c r="G1044" s="49">
        <v>500</v>
      </c>
      <c r="H1044" s="73">
        <v>1</v>
      </c>
      <c r="I1044" s="52">
        <v>1</v>
      </c>
      <c r="J1044" s="51">
        <v>521.15</v>
      </c>
      <c r="K1044" s="52"/>
      <c r="L1044" s="51"/>
      <c r="M1044" s="52"/>
      <c r="N1044" s="49"/>
      <c r="O1044" s="75"/>
      <c r="P1044" s="54">
        <v>21.15</v>
      </c>
      <c r="Q1044" s="54">
        <v>0</v>
      </c>
      <c r="R1044" s="53">
        <f t="shared" si="50"/>
        <v>25</v>
      </c>
      <c r="S1044" s="51">
        <v>521.15</v>
      </c>
    </row>
    <row r="1045" spans="1:19" ht="15" x14ac:dyDescent="0.25">
      <c r="A1045" s="28"/>
      <c r="B1045" s="45" t="str">
        <f t="shared" si="48"/>
        <v>Oct-2025</v>
      </c>
      <c r="C1045" s="57">
        <v>45960</v>
      </c>
      <c r="D1045" s="43">
        <f t="shared" si="49"/>
        <v>152</v>
      </c>
      <c r="F1045" s="50">
        <v>2</v>
      </c>
      <c r="G1045" s="49">
        <v>200</v>
      </c>
      <c r="H1045" s="73">
        <v>2</v>
      </c>
      <c r="I1045" s="52">
        <v>2</v>
      </c>
      <c r="J1045" s="51">
        <v>104.74</v>
      </c>
      <c r="K1045" s="52"/>
      <c r="L1045" s="51"/>
      <c r="M1045" s="52">
        <v>1</v>
      </c>
      <c r="N1045" s="49">
        <v>100.72</v>
      </c>
      <c r="O1045" s="75">
        <v>1</v>
      </c>
      <c r="P1045" s="54">
        <v>5.46</v>
      </c>
      <c r="Q1045" s="54">
        <v>0.72</v>
      </c>
      <c r="R1045" s="53">
        <f t="shared" si="50"/>
        <v>10</v>
      </c>
      <c r="S1045" s="51">
        <v>104.74</v>
      </c>
    </row>
    <row r="1046" spans="1:19" ht="15" x14ac:dyDescent="0.25">
      <c r="A1046" s="28"/>
      <c r="B1046" s="45" t="str">
        <f t="shared" si="48"/>
        <v>Nov-2025</v>
      </c>
      <c r="C1046" s="57">
        <v>45962</v>
      </c>
      <c r="D1046" s="43">
        <f t="shared" si="49"/>
        <v>150</v>
      </c>
      <c r="F1046" s="50">
        <v>1</v>
      </c>
      <c r="G1046" s="49">
        <v>1000</v>
      </c>
      <c r="H1046" s="73">
        <v>1</v>
      </c>
      <c r="I1046" s="52">
        <v>1</v>
      </c>
      <c r="J1046" s="51">
        <v>0</v>
      </c>
      <c r="K1046" s="52"/>
      <c r="L1046" s="51"/>
      <c r="M1046" s="52">
        <v>1</v>
      </c>
      <c r="N1046" s="49">
        <v>1039.44</v>
      </c>
      <c r="O1046" s="75">
        <v>1</v>
      </c>
      <c r="P1046" s="54">
        <v>39.44</v>
      </c>
      <c r="Q1046" s="54">
        <v>39.44</v>
      </c>
      <c r="R1046" s="53">
        <f t="shared" si="50"/>
        <v>50</v>
      </c>
      <c r="S1046" s="51"/>
    </row>
    <row r="1047" spans="1:19" ht="15" x14ac:dyDescent="0.25">
      <c r="A1047" s="28"/>
      <c r="B1047" s="45" t="str">
        <f t="shared" si="48"/>
        <v>Nov-2025</v>
      </c>
      <c r="C1047" s="57">
        <v>45963</v>
      </c>
      <c r="D1047" s="43">
        <f t="shared" si="49"/>
        <v>149</v>
      </c>
      <c r="F1047" s="50">
        <v>1</v>
      </c>
      <c r="G1047" s="49">
        <v>50</v>
      </c>
      <c r="H1047" s="73">
        <v>1</v>
      </c>
      <c r="I1047" s="52">
        <v>1</v>
      </c>
      <c r="J1047" s="51">
        <v>51.6</v>
      </c>
      <c r="K1047" s="52"/>
      <c r="L1047" s="51"/>
      <c r="M1047" s="52"/>
      <c r="N1047" s="49"/>
      <c r="O1047" s="75"/>
      <c r="P1047" s="54">
        <v>1.6</v>
      </c>
      <c r="Q1047" s="54">
        <v>0</v>
      </c>
      <c r="R1047" s="53">
        <f t="shared" si="50"/>
        <v>2.5</v>
      </c>
      <c r="S1047" s="51">
        <v>51.6</v>
      </c>
    </row>
    <row r="1048" spans="1:19" ht="15" x14ac:dyDescent="0.25">
      <c r="A1048" s="28"/>
      <c r="B1048" s="45" t="str">
        <f t="shared" si="48"/>
        <v>Nov-2025</v>
      </c>
      <c r="C1048" s="57">
        <v>45965</v>
      </c>
      <c r="D1048" s="43">
        <f t="shared" si="49"/>
        <v>147</v>
      </c>
      <c r="F1048" s="50">
        <v>1</v>
      </c>
      <c r="G1048" s="49">
        <v>50</v>
      </c>
      <c r="H1048" s="73">
        <v>1</v>
      </c>
      <c r="I1048" s="52">
        <v>1</v>
      </c>
      <c r="J1048" s="51">
        <v>0</v>
      </c>
      <c r="K1048" s="52"/>
      <c r="L1048" s="51"/>
      <c r="M1048" s="52">
        <v>1</v>
      </c>
      <c r="N1048" s="49">
        <v>50.24</v>
      </c>
      <c r="O1048" s="75">
        <v>1</v>
      </c>
      <c r="P1048" s="54">
        <v>0.24</v>
      </c>
      <c r="Q1048" s="54">
        <v>0.24</v>
      </c>
      <c r="R1048" s="53">
        <f t="shared" si="50"/>
        <v>2.5</v>
      </c>
      <c r="S1048" s="51"/>
    </row>
    <row r="1049" spans="1:19" ht="15" x14ac:dyDescent="0.25">
      <c r="A1049" s="28"/>
      <c r="B1049" s="45" t="str">
        <f t="shared" si="48"/>
        <v>Nov-2025</v>
      </c>
      <c r="C1049" s="57">
        <v>45966</v>
      </c>
      <c r="D1049" s="43">
        <f t="shared" si="49"/>
        <v>146</v>
      </c>
      <c r="F1049" s="50">
        <v>1</v>
      </c>
      <c r="G1049" s="49">
        <v>500</v>
      </c>
      <c r="H1049" s="73">
        <v>1</v>
      </c>
      <c r="I1049" s="52">
        <v>1</v>
      </c>
      <c r="J1049" s="51">
        <v>520.11</v>
      </c>
      <c r="K1049" s="52"/>
      <c r="L1049" s="51"/>
      <c r="M1049" s="52"/>
      <c r="N1049" s="49"/>
      <c r="O1049" s="75"/>
      <c r="P1049" s="54">
        <v>20.11</v>
      </c>
      <c r="Q1049" s="54">
        <v>0</v>
      </c>
      <c r="R1049" s="53">
        <f t="shared" si="50"/>
        <v>25</v>
      </c>
      <c r="S1049" s="51">
        <v>520.11</v>
      </c>
    </row>
    <row r="1050" spans="1:19" ht="15" x14ac:dyDescent="0.25">
      <c r="A1050" s="28"/>
      <c r="B1050" s="45" t="str">
        <f t="shared" si="48"/>
        <v>Nov-2025</v>
      </c>
      <c r="C1050" s="57">
        <v>45968</v>
      </c>
      <c r="D1050" s="43">
        <f t="shared" si="49"/>
        <v>144</v>
      </c>
      <c r="F1050" s="50">
        <v>2</v>
      </c>
      <c r="G1050" s="49">
        <v>2460</v>
      </c>
      <c r="H1050" s="73">
        <v>2</v>
      </c>
      <c r="I1050" s="52">
        <v>2</v>
      </c>
      <c r="J1050" s="51">
        <v>519.85</v>
      </c>
      <c r="K1050" s="52"/>
      <c r="L1050" s="51"/>
      <c r="M1050" s="52">
        <v>1</v>
      </c>
      <c r="N1050" s="49">
        <v>1973.08</v>
      </c>
      <c r="O1050" s="75">
        <v>1</v>
      </c>
      <c r="P1050" s="54">
        <v>32.93</v>
      </c>
      <c r="Q1050" s="54">
        <v>13.08</v>
      </c>
      <c r="R1050" s="53">
        <f t="shared" si="50"/>
        <v>123</v>
      </c>
      <c r="S1050" s="51">
        <v>519.85</v>
      </c>
    </row>
    <row r="1051" spans="1:19" ht="15" x14ac:dyDescent="0.25">
      <c r="A1051" s="28"/>
      <c r="B1051" s="45" t="str">
        <f t="shared" si="48"/>
        <v>Nov-2025</v>
      </c>
      <c r="C1051" s="57">
        <v>45969</v>
      </c>
      <c r="D1051" s="43">
        <f t="shared" si="49"/>
        <v>143</v>
      </c>
      <c r="F1051" s="50">
        <v>1</v>
      </c>
      <c r="G1051" s="49">
        <v>700</v>
      </c>
      <c r="H1051" s="73">
        <v>1</v>
      </c>
      <c r="I1051" s="52">
        <v>1</v>
      </c>
      <c r="J1051" s="51">
        <v>727.27</v>
      </c>
      <c r="K1051" s="52"/>
      <c r="L1051" s="51"/>
      <c r="M1051" s="52"/>
      <c r="N1051" s="49"/>
      <c r="O1051" s="75"/>
      <c r="P1051" s="54">
        <v>27.27</v>
      </c>
      <c r="Q1051" s="54">
        <v>0</v>
      </c>
      <c r="R1051" s="53">
        <f t="shared" si="50"/>
        <v>35</v>
      </c>
      <c r="S1051" s="51">
        <v>727.27</v>
      </c>
    </row>
    <row r="1052" spans="1:19" ht="15" x14ac:dyDescent="0.25">
      <c r="A1052" s="28"/>
      <c r="B1052" s="45" t="str">
        <f t="shared" si="48"/>
        <v>Nov-2025</v>
      </c>
      <c r="C1052" s="57">
        <v>45970</v>
      </c>
      <c r="D1052" s="43">
        <f t="shared" si="49"/>
        <v>142</v>
      </c>
      <c r="F1052" s="50">
        <v>1</v>
      </c>
      <c r="G1052" s="49">
        <v>600</v>
      </c>
      <c r="H1052" s="73">
        <v>1</v>
      </c>
      <c r="I1052" s="52">
        <v>1</v>
      </c>
      <c r="J1052" s="51">
        <v>624.03</v>
      </c>
      <c r="K1052" s="52"/>
      <c r="L1052" s="51"/>
      <c r="M1052" s="52"/>
      <c r="N1052" s="49"/>
      <c r="O1052" s="75"/>
      <c r="P1052" s="54">
        <v>24.03</v>
      </c>
      <c r="Q1052" s="54">
        <v>0</v>
      </c>
      <c r="R1052" s="53">
        <f t="shared" si="50"/>
        <v>30</v>
      </c>
      <c r="S1052" s="51">
        <v>624.03</v>
      </c>
    </row>
    <row r="1053" spans="1:19" ht="15" x14ac:dyDescent="0.25">
      <c r="A1053" s="28"/>
      <c r="B1053" s="45" t="str">
        <f t="shared" si="48"/>
        <v>Nov-2025</v>
      </c>
      <c r="C1053" s="57">
        <v>45975</v>
      </c>
      <c r="D1053" s="43">
        <f t="shared" si="49"/>
        <v>137</v>
      </c>
      <c r="F1053" s="50">
        <v>1</v>
      </c>
      <c r="G1053" s="49">
        <v>500</v>
      </c>
      <c r="H1053" s="73">
        <v>1</v>
      </c>
      <c r="I1053" s="52">
        <v>1</v>
      </c>
      <c r="J1053" s="51">
        <v>0</v>
      </c>
      <c r="K1053" s="52"/>
      <c r="L1053" s="51"/>
      <c r="M1053" s="52">
        <v>1</v>
      </c>
      <c r="N1053" s="49">
        <v>504.25</v>
      </c>
      <c r="O1053" s="75">
        <v>1</v>
      </c>
      <c r="P1053" s="54">
        <v>4.25</v>
      </c>
      <c r="Q1053" s="54">
        <v>4.25</v>
      </c>
      <c r="R1053" s="53">
        <f t="shared" si="50"/>
        <v>25</v>
      </c>
      <c r="S1053" s="51"/>
    </row>
    <row r="1054" spans="1:19" ht="15" x14ac:dyDescent="0.25">
      <c r="A1054" s="28"/>
      <c r="B1054" s="45" t="str">
        <f t="shared" si="48"/>
        <v>Nov-2025</v>
      </c>
      <c r="C1054" s="57">
        <v>45976</v>
      </c>
      <c r="D1054" s="43">
        <f t="shared" si="49"/>
        <v>136</v>
      </c>
      <c r="F1054" s="50">
        <v>2</v>
      </c>
      <c r="G1054" s="49">
        <v>1000</v>
      </c>
      <c r="H1054" s="73">
        <v>2</v>
      </c>
      <c r="I1054" s="52">
        <v>2</v>
      </c>
      <c r="J1054" s="51">
        <v>1037.6199999999999</v>
      </c>
      <c r="K1054" s="52"/>
      <c r="L1054" s="51"/>
      <c r="M1054" s="52"/>
      <c r="N1054" s="49"/>
      <c r="O1054" s="75"/>
      <c r="P1054" s="54">
        <v>37.619999999999997</v>
      </c>
      <c r="Q1054" s="54">
        <v>0</v>
      </c>
      <c r="R1054" s="53">
        <f t="shared" si="50"/>
        <v>50</v>
      </c>
      <c r="S1054" s="51">
        <v>1037.6199999999999</v>
      </c>
    </row>
    <row r="1055" spans="1:19" ht="15" x14ac:dyDescent="0.25">
      <c r="A1055" s="28"/>
      <c r="B1055" s="45" t="str">
        <f t="shared" si="48"/>
        <v>Nov-2025</v>
      </c>
      <c r="C1055" s="57">
        <v>45977</v>
      </c>
      <c r="D1055" s="43">
        <f t="shared" si="49"/>
        <v>135</v>
      </c>
      <c r="F1055" s="50">
        <v>1</v>
      </c>
      <c r="G1055" s="49">
        <v>500</v>
      </c>
      <c r="H1055" s="73">
        <v>1</v>
      </c>
      <c r="I1055" s="52">
        <v>1</v>
      </c>
      <c r="J1055" s="51">
        <v>518.67999999999995</v>
      </c>
      <c r="K1055" s="52"/>
      <c r="L1055" s="51"/>
      <c r="M1055" s="52"/>
      <c r="N1055" s="49"/>
      <c r="O1055" s="75"/>
      <c r="P1055" s="54">
        <v>18.68</v>
      </c>
      <c r="Q1055" s="54">
        <v>0</v>
      </c>
      <c r="R1055" s="53">
        <f t="shared" si="50"/>
        <v>25</v>
      </c>
      <c r="S1055" s="51">
        <v>518.67999999999995</v>
      </c>
    </row>
    <row r="1056" spans="1:19" ht="15" x14ac:dyDescent="0.25">
      <c r="A1056" s="28"/>
      <c r="B1056" s="45" t="str">
        <f t="shared" si="48"/>
        <v>Nov-2025</v>
      </c>
      <c r="C1056" s="57">
        <v>45978</v>
      </c>
      <c r="D1056" s="43">
        <f t="shared" si="49"/>
        <v>134</v>
      </c>
      <c r="F1056" s="50">
        <v>1</v>
      </c>
      <c r="G1056" s="49">
        <v>500</v>
      </c>
      <c r="H1056" s="73">
        <v>1</v>
      </c>
      <c r="I1056" s="52">
        <v>1</v>
      </c>
      <c r="J1056" s="51">
        <v>518.54999999999995</v>
      </c>
      <c r="K1056" s="52"/>
      <c r="L1056" s="51"/>
      <c r="M1056" s="52"/>
      <c r="N1056" s="49"/>
      <c r="O1056" s="75"/>
      <c r="P1056" s="54">
        <v>18.55</v>
      </c>
      <c r="Q1056" s="54">
        <v>0</v>
      </c>
      <c r="R1056" s="53">
        <f t="shared" si="50"/>
        <v>25</v>
      </c>
      <c r="S1056" s="51">
        <v>518.54999999999995</v>
      </c>
    </row>
    <row r="1057" spans="1:19" ht="15" x14ac:dyDescent="0.25">
      <c r="A1057" s="28"/>
      <c r="B1057" s="45" t="str">
        <f t="shared" si="48"/>
        <v>Nov-2025</v>
      </c>
      <c r="C1057" s="57">
        <v>45979</v>
      </c>
      <c r="D1057" s="43">
        <f t="shared" si="49"/>
        <v>133</v>
      </c>
      <c r="F1057" s="50">
        <v>1</v>
      </c>
      <c r="G1057" s="49">
        <v>700</v>
      </c>
      <c r="H1057" s="73">
        <v>1</v>
      </c>
      <c r="I1057" s="52">
        <v>1</v>
      </c>
      <c r="J1057" s="51">
        <v>725.47</v>
      </c>
      <c r="K1057" s="52"/>
      <c r="L1057" s="51"/>
      <c r="M1057" s="52"/>
      <c r="N1057" s="49"/>
      <c r="O1057" s="75"/>
      <c r="P1057" s="54">
        <v>25.47</v>
      </c>
      <c r="Q1057" s="54">
        <v>0</v>
      </c>
      <c r="R1057" s="53">
        <f t="shared" si="50"/>
        <v>35</v>
      </c>
      <c r="S1057" s="51">
        <v>725.47</v>
      </c>
    </row>
    <row r="1058" spans="1:19" ht="15" x14ac:dyDescent="0.25">
      <c r="A1058" s="28"/>
      <c r="B1058" s="45" t="str">
        <f t="shared" si="48"/>
        <v>Nov-2025</v>
      </c>
      <c r="C1058" s="57">
        <v>45980</v>
      </c>
      <c r="D1058" s="43">
        <f t="shared" si="49"/>
        <v>132</v>
      </c>
      <c r="F1058" s="50">
        <v>1</v>
      </c>
      <c r="G1058" s="49">
        <v>800</v>
      </c>
      <c r="H1058" s="73">
        <v>1</v>
      </c>
      <c r="I1058" s="52">
        <v>1</v>
      </c>
      <c r="J1058" s="51">
        <v>0</v>
      </c>
      <c r="K1058" s="52"/>
      <c r="L1058" s="51"/>
      <c r="M1058" s="52">
        <v>1</v>
      </c>
      <c r="N1058" s="49">
        <v>817.61</v>
      </c>
      <c r="O1058" s="75">
        <v>1</v>
      </c>
      <c r="P1058" s="54">
        <v>17.61</v>
      </c>
      <c r="Q1058" s="54">
        <v>17.61</v>
      </c>
      <c r="R1058" s="53">
        <f t="shared" si="50"/>
        <v>40</v>
      </c>
      <c r="S1058" s="51"/>
    </row>
    <row r="1059" spans="1:19" ht="15" x14ac:dyDescent="0.25">
      <c r="A1059" s="28"/>
      <c r="B1059" s="45" t="str">
        <f t="shared" si="48"/>
        <v>Nov-2025</v>
      </c>
      <c r="C1059" s="57">
        <v>45982</v>
      </c>
      <c r="D1059" s="43">
        <f t="shared" si="49"/>
        <v>130</v>
      </c>
      <c r="F1059" s="50">
        <v>1</v>
      </c>
      <c r="G1059" s="49">
        <v>100</v>
      </c>
      <c r="H1059" s="73">
        <v>1</v>
      </c>
      <c r="I1059" s="52">
        <v>1</v>
      </c>
      <c r="J1059" s="51">
        <v>0</v>
      </c>
      <c r="K1059" s="52"/>
      <c r="L1059" s="51"/>
      <c r="M1059" s="52">
        <v>1</v>
      </c>
      <c r="N1059" s="49">
        <v>100.69</v>
      </c>
      <c r="O1059" s="75">
        <v>1</v>
      </c>
      <c r="P1059" s="54">
        <v>0.69</v>
      </c>
      <c r="Q1059" s="54">
        <v>0.69</v>
      </c>
      <c r="R1059" s="53">
        <f t="shared" si="50"/>
        <v>5</v>
      </c>
      <c r="S1059" s="51"/>
    </row>
    <row r="1060" spans="1:19" ht="15" x14ac:dyDescent="0.25">
      <c r="A1060" s="28"/>
      <c r="B1060" s="45" t="str">
        <f t="shared" si="48"/>
        <v>Nov-2025</v>
      </c>
      <c r="C1060" s="57">
        <v>45983</v>
      </c>
      <c r="D1060" s="43">
        <f t="shared" si="49"/>
        <v>129</v>
      </c>
      <c r="F1060" s="50">
        <v>2</v>
      </c>
      <c r="G1060" s="49">
        <v>1000</v>
      </c>
      <c r="H1060" s="73">
        <v>2</v>
      </c>
      <c r="I1060" s="52">
        <v>2</v>
      </c>
      <c r="J1060" s="51">
        <v>794.92</v>
      </c>
      <c r="K1060" s="52"/>
      <c r="L1060" s="51"/>
      <c r="M1060" s="52">
        <v>1</v>
      </c>
      <c r="N1060" s="49">
        <v>235</v>
      </c>
      <c r="O1060" s="75">
        <v>1</v>
      </c>
      <c r="P1060" s="54">
        <v>29.919999999999998</v>
      </c>
      <c r="Q1060" s="54">
        <v>5.16</v>
      </c>
      <c r="R1060" s="53">
        <f t="shared" si="50"/>
        <v>50</v>
      </c>
      <c r="S1060" s="51">
        <v>794.92</v>
      </c>
    </row>
    <row r="1061" spans="1:19" ht="15" x14ac:dyDescent="0.25">
      <c r="A1061" s="28"/>
      <c r="B1061" s="45" t="str">
        <f t="shared" si="48"/>
        <v>Nov-2025</v>
      </c>
      <c r="C1061" s="57">
        <v>45984</v>
      </c>
      <c r="D1061" s="43">
        <f t="shared" si="49"/>
        <v>128</v>
      </c>
      <c r="F1061" s="50">
        <v>1</v>
      </c>
      <c r="G1061" s="49">
        <v>700</v>
      </c>
      <c r="H1061" s="73">
        <v>1</v>
      </c>
      <c r="I1061" s="52">
        <v>1</v>
      </c>
      <c r="J1061" s="51">
        <v>0</v>
      </c>
      <c r="K1061" s="52"/>
      <c r="L1061" s="51"/>
      <c r="M1061" s="52">
        <v>1</v>
      </c>
      <c r="N1061" s="49">
        <v>702.43</v>
      </c>
      <c r="O1061" s="75">
        <v>1</v>
      </c>
      <c r="P1061" s="54">
        <v>2.4300000000000002</v>
      </c>
      <c r="Q1061" s="54">
        <v>2.4300000000000002</v>
      </c>
      <c r="R1061" s="53">
        <f t="shared" si="50"/>
        <v>35</v>
      </c>
      <c r="S1061" s="51"/>
    </row>
    <row r="1062" spans="1:19" ht="15" x14ac:dyDescent="0.25">
      <c r="A1062" s="28"/>
      <c r="B1062" s="45" t="str">
        <f t="shared" si="48"/>
        <v>Nov-2025</v>
      </c>
      <c r="C1062" s="57">
        <v>45985</v>
      </c>
      <c r="D1062" s="43">
        <f t="shared" si="49"/>
        <v>127</v>
      </c>
      <c r="F1062" s="50">
        <v>1</v>
      </c>
      <c r="G1062" s="49">
        <v>500</v>
      </c>
      <c r="H1062" s="73">
        <v>1</v>
      </c>
      <c r="I1062" s="52">
        <v>1</v>
      </c>
      <c r="J1062" s="51">
        <v>517.64</v>
      </c>
      <c r="K1062" s="52"/>
      <c r="L1062" s="51"/>
      <c r="M1062" s="52"/>
      <c r="N1062" s="49"/>
      <c r="O1062" s="75"/>
      <c r="P1062" s="54">
        <v>17.64</v>
      </c>
      <c r="Q1062" s="54">
        <v>0</v>
      </c>
      <c r="R1062" s="53">
        <f t="shared" si="50"/>
        <v>25</v>
      </c>
      <c r="S1062" s="51">
        <v>517.64</v>
      </c>
    </row>
    <row r="1063" spans="1:19" ht="15" x14ac:dyDescent="0.25">
      <c r="A1063" s="28"/>
      <c r="B1063" s="45" t="str">
        <f t="shared" si="48"/>
        <v>Nov-2025</v>
      </c>
      <c r="C1063" s="57">
        <v>45986</v>
      </c>
      <c r="D1063" s="43">
        <f t="shared" si="49"/>
        <v>126</v>
      </c>
      <c r="E1063" s="76">
        <v>1</v>
      </c>
      <c r="F1063" s="50">
        <v>3</v>
      </c>
      <c r="G1063" s="49">
        <v>1300</v>
      </c>
      <c r="H1063" s="73">
        <v>3</v>
      </c>
      <c r="I1063" s="52">
        <v>3</v>
      </c>
      <c r="J1063" s="51">
        <v>103.96</v>
      </c>
      <c r="K1063" s="52"/>
      <c r="L1063" s="51"/>
      <c r="M1063" s="52">
        <v>2</v>
      </c>
      <c r="N1063" s="49">
        <v>1200.82</v>
      </c>
      <c r="O1063" s="75">
        <v>2</v>
      </c>
      <c r="P1063" s="54">
        <v>4.7799999999999994</v>
      </c>
      <c r="Q1063" s="54">
        <v>0.82</v>
      </c>
      <c r="R1063" s="53">
        <f t="shared" si="50"/>
        <v>65</v>
      </c>
      <c r="S1063" s="51">
        <v>103.96</v>
      </c>
    </row>
    <row r="1064" spans="1:19" ht="15" x14ac:dyDescent="0.25">
      <c r="A1064" s="28"/>
      <c r="B1064" s="45" t="str">
        <f t="shared" si="48"/>
        <v>Nov-2025</v>
      </c>
      <c r="C1064" s="57">
        <v>45987</v>
      </c>
      <c r="D1064" s="43">
        <f t="shared" si="49"/>
        <v>125</v>
      </c>
      <c r="E1064" s="76">
        <v>5</v>
      </c>
      <c r="F1064" s="50">
        <v>12</v>
      </c>
      <c r="G1064" s="49">
        <v>7500</v>
      </c>
      <c r="H1064" s="73">
        <v>12</v>
      </c>
      <c r="I1064" s="52">
        <v>12</v>
      </c>
      <c r="J1064" s="51">
        <v>621.30999999999995</v>
      </c>
      <c r="K1064" s="52"/>
      <c r="L1064" s="51"/>
      <c r="M1064" s="52">
        <v>16</v>
      </c>
      <c r="N1064" s="49">
        <v>6965.86</v>
      </c>
      <c r="O1064" s="75">
        <v>15</v>
      </c>
      <c r="P1064" s="54">
        <v>87.169999999999987</v>
      </c>
      <c r="Q1064" s="54">
        <v>65.86</v>
      </c>
      <c r="R1064" s="53">
        <f t="shared" si="50"/>
        <v>375</v>
      </c>
      <c r="S1064" s="51">
        <v>621.30999999999995</v>
      </c>
    </row>
    <row r="1065" spans="1:19" ht="15" x14ac:dyDescent="0.25">
      <c r="A1065" s="28"/>
      <c r="B1065" s="45" t="str">
        <f t="shared" si="48"/>
        <v>Nov-2025</v>
      </c>
      <c r="C1065" s="57">
        <v>45988</v>
      </c>
      <c r="D1065" s="43">
        <f t="shared" si="49"/>
        <v>124</v>
      </c>
      <c r="E1065" s="76">
        <v>1</v>
      </c>
      <c r="F1065" s="50">
        <v>16</v>
      </c>
      <c r="G1065" s="49">
        <v>12200</v>
      </c>
      <c r="H1065" s="73">
        <v>15</v>
      </c>
      <c r="I1065" s="52">
        <v>16</v>
      </c>
      <c r="J1065" s="51">
        <v>2172.9</v>
      </c>
      <c r="K1065" s="52">
        <v>2</v>
      </c>
      <c r="L1065" s="51">
        <v>100.02</v>
      </c>
      <c r="M1065" s="52">
        <v>23</v>
      </c>
      <c r="N1065" s="49">
        <v>10150.56</v>
      </c>
      <c r="O1065" s="75">
        <v>16</v>
      </c>
      <c r="P1065" s="54">
        <v>123.46000000000001</v>
      </c>
      <c r="Q1065" s="54">
        <v>50.56</v>
      </c>
      <c r="R1065" s="53">
        <f t="shared" si="50"/>
        <v>610</v>
      </c>
      <c r="S1065" s="51">
        <v>2172.9</v>
      </c>
    </row>
    <row r="1066" spans="1:19" ht="15" x14ac:dyDescent="0.25">
      <c r="A1066" s="28"/>
      <c r="B1066" s="45" t="str">
        <f t="shared" si="48"/>
        <v>Nov-2025</v>
      </c>
      <c r="C1066" s="57">
        <v>45989</v>
      </c>
      <c r="D1066" s="43">
        <f t="shared" si="49"/>
        <v>123</v>
      </c>
      <c r="E1066" s="76">
        <v>2</v>
      </c>
      <c r="F1066" s="50">
        <v>15</v>
      </c>
      <c r="G1066" s="49">
        <v>8500</v>
      </c>
      <c r="H1066" s="73">
        <v>15</v>
      </c>
      <c r="I1066" s="52">
        <v>15</v>
      </c>
      <c r="J1066" s="51">
        <v>4447.38</v>
      </c>
      <c r="K1066" s="52"/>
      <c r="L1066" s="51"/>
      <c r="M1066" s="52">
        <v>9</v>
      </c>
      <c r="N1066" s="49">
        <v>4220.1899999999996</v>
      </c>
      <c r="O1066" s="75">
        <v>9</v>
      </c>
      <c r="P1066" s="54">
        <v>167.57</v>
      </c>
      <c r="Q1066" s="54">
        <v>20.190000000000001</v>
      </c>
      <c r="R1066" s="53">
        <f t="shared" si="50"/>
        <v>425</v>
      </c>
      <c r="S1066" s="51">
        <v>4447.38</v>
      </c>
    </row>
    <row r="1067" spans="1:19" ht="15" x14ac:dyDescent="0.25">
      <c r="A1067" s="28"/>
      <c r="B1067" s="45" t="str">
        <f t="shared" si="48"/>
        <v>Nov-2025</v>
      </c>
      <c r="C1067" s="57">
        <v>45990</v>
      </c>
      <c r="D1067" s="43">
        <f t="shared" si="49"/>
        <v>122</v>
      </c>
      <c r="E1067" s="76">
        <v>1</v>
      </c>
      <c r="F1067" s="50">
        <v>11</v>
      </c>
      <c r="G1067" s="49">
        <v>9500</v>
      </c>
      <c r="H1067" s="73">
        <v>11</v>
      </c>
      <c r="I1067" s="52">
        <v>11</v>
      </c>
      <c r="J1067" s="51">
        <v>1137.8200000000002</v>
      </c>
      <c r="K1067" s="52"/>
      <c r="L1067" s="51"/>
      <c r="M1067" s="52">
        <v>9</v>
      </c>
      <c r="N1067" s="49">
        <v>8452.09</v>
      </c>
      <c r="O1067" s="75">
        <v>9</v>
      </c>
      <c r="P1067" s="54">
        <v>89.909999999999982</v>
      </c>
      <c r="Q1067" s="54">
        <v>52.09</v>
      </c>
      <c r="R1067" s="53">
        <f t="shared" si="50"/>
        <v>475</v>
      </c>
      <c r="S1067" s="51">
        <v>1137.82</v>
      </c>
    </row>
    <row r="1068" spans="1:19" ht="15" x14ac:dyDescent="0.25">
      <c r="A1068" s="28"/>
      <c r="B1068" s="45" t="str">
        <f t="shared" si="48"/>
        <v>Nov-2025</v>
      </c>
      <c r="C1068" s="57">
        <v>45991</v>
      </c>
      <c r="D1068" s="43">
        <f t="shared" si="49"/>
        <v>121</v>
      </c>
      <c r="E1068" s="76">
        <v>3</v>
      </c>
      <c r="F1068" s="50">
        <v>3</v>
      </c>
      <c r="G1068" s="49">
        <v>1300</v>
      </c>
      <c r="H1068" s="73">
        <v>3</v>
      </c>
      <c r="I1068" s="52">
        <v>3</v>
      </c>
      <c r="J1068" s="51">
        <v>0</v>
      </c>
      <c r="K1068" s="52"/>
      <c r="L1068" s="51"/>
      <c r="M1068" s="52">
        <v>5</v>
      </c>
      <c r="N1068" s="49">
        <v>1221.8800000000001</v>
      </c>
      <c r="O1068" s="75">
        <v>3</v>
      </c>
      <c r="P1068" s="54">
        <v>25.689999999999998</v>
      </c>
      <c r="Q1068" s="54">
        <v>25.689999999999998</v>
      </c>
      <c r="R1068" s="53">
        <f t="shared" si="50"/>
        <v>65</v>
      </c>
      <c r="S1068" s="51"/>
    </row>
    <row r="1069" spans="1:19" ht="15" x14ac:dyDescent="0.25">
      <c r="A1069" s="28"/>
      <c r="B1069" s="45" t="str">
        <f t="shared" si="48"/>
        <v>Dec-2025</v>
      </c>
      <c r="C1069" s="57">
        <v>45992</v>
      </c>
      <c r="D1069" s="43">
        <f t="shared" si="49"/>
        <v>120</v>
      </c>
      <c r="E1069" s="76">
        <v>2</v>
      </c>
      <c r="F1069" s="50">
        <v>7</v>
      </c>
      <c r="G1069" s="49">
        <v>5480</v>
      </c>
      <c r="H1069" s="73">
        <v>7</v>
      </c>
      <c r="I1069" s="52">
        <v>7</v>
      </c>
      <c r="J1069" s="51">
        <v>2583.65</v>
      </c>
      <c r="K1069" s="52">
        <v>1</v>
      </c>
      <c r="L1069" s="51">
        <v>1</v>
      </c>
      <c r="M1069" s="52">
        <v>7</v>
      </c>
      <c r="N1069" s="49">
        <v>2998.3</v>
      </c>
      <c r="O1069" s="75">
        <v>7</v>
      </c>
      <c r="P1069" s="54">
        <v>101.95</v>
      </c>
      <c r="Q1069" s="54">
        <v>18.3</v>
      </c>
      <c r="R1069" s="53">
        <f t="shared" si="50"/>
        <v>274</v>
      </c>
      <c r="S1069" s="51">
        <v>2583.65</v>
      </c>
    </row>
    <row r="1070" spans="1:19" ht="15" x14ac:dyDescent="0.25">
      <c r="A1070" s="28"/>
      <c r="B1070" s="45" t="str">
        <f t="shared" si="48"/>
        <v>Dec-2025</v>
      </c>
      <c r="C1070" s="57">
        <v>45993</v>
      </c>
      <c r="D1070" s="43">
        <f t="shared" si="49"/>
        <v>119</v>
      </c>
      <c r="E1070" s="76">
        <v>2</v>
      </c>
      <c r="F1070" s="50">
        <v>5</v>
      </c>
      <c r="G1070" s="49">
        <v>4500</v>
      </c>
      <c r="H1070" s="73">
        <v>5</v>
      </c>
      <c r="I1070" s="52">
        <v>5</v>
      </c>
      <c r="J1070" s="51">
        <v>0</v>
      </c>
      <c r="K1070" s="52"/>
      <c r="L1070" s="51"/>
      <c r="M1070" s="52">
        <v>11</v>
      </c>
      <c r="N1070" s="49">
        <v>4533.53</v>
      </c>
      <c r="O1070" s="75">
        <v>10</v>
      </c>
      <c r="P1070" s="54">
        <v>33.53</v>
      </c>
      <c r="Q1070" s="54">
        <v>33.53</v>
      </c>
      <c r="R1070" s="53">
        <f t="shared" si="50"/>
        <v>225</v>
      </c>
      <c r="S1070" s="51"/>
    </row>
    <row r="1071" spans="1:19" ht="15" x14ac:dyDescent="0.25">
      <c r="A1071" s="28"/>
      <c r="B1071" s="45" t="str">
        <f t="shared" si="48"/>
        <v>Dec-2025</v>
      </c>
      <c r="C1071" s="57">
        <v>45994</v>
      </c>
      <c r="D1071" s="43">
        <f t="shared" si="49"/>
        <v>118</v>
      </c>
      <c r="F1071" s="50">
        <v>6</v>
      </c>
      <c r="G1071" s="49">
        <v>3300</v>
      </c>
      <c r="H1071" s="73">
        <v>6</v>
      </c>
      <c r="I1071" s="52">
        <v>6</v>
      </c>
      <c r="J1071" s="51">
        <v>516.47</v>
      </c>
      <c r="K1071" s="52"/>
      <c r="L1071" s="51"/>
      <c r="M1071" s="52">
        <v>8</v>
      </c>
      <c r="N1071" s="49">
        <v>2814.92</v>
      </c>
      <c r="O1071" s="75">
        <v>6</v>
      </c>
      <c r="P1071" s="54">
        <v>31.39</v>
      </c>
      <c r="Q1071" s="54">
        <v>14.920000000000002</v>
      </c>
      <c r="R1071" s="53">
        <f t="shared" si="50"/>
        <v>165</v>
      </c>
      <c r="S1071" s="51">
        <v>516.47</v>
      </c>
    </row>
    <row r="1072" spans="1:19" ht="15" x14ac:dyDescent="0.25">
      <c r="A1072" s="28"/>
      <c r="B1072" s="45" t="str">
        <f t="shared" si="48"/>
        <v>Dec-2025</v>
      </c>
      <c r="C1072" s="57">
        <v>45995</v>
      </c>
      <c r="D1072" s="43">
        <f t="shared" si="49"/>
        <v>117</v>
      </c>
      <c r="E1072" s="76">
        <v>1</v>
      </c>
      <c r="F1072" s="50">
        <v>3</v>
      </c>
      <c r="G1072" s="49">
        <v>1600</v>
      </c>
      <c r="H1072" s="73">
        <v>3</v>
      </c>
      <c r="I1072" s="52">
        <v>3</v>
      </c>
      <c r="J1072" s="51">
        <v>0</v>
      </c>
      <c r="K1072" s="52"/>
      <c r="L1072" s="51"/>
      <c r="M1072" s="52">
        <v>3</v>
      </c>
      <c r="N1072" s="49">
        <v>1609.95</v>
      </c>
      <c r="O1072" s="75">
        <v>3</v>
      </c>
      <c r="P1072" s="54">
        <v>9.9499999999999993</v>
      </c>
      <c r="Q1072" s="54">
        <v>9.9499999999999993</v>
      </c>
      <c r="R1072" s="53">
        <f t="shared" si="50"/>
        <v>80</v>
      </c>
      <c r="S1072" s="51"/>
    </row>
    <row r="1073" spans="1:19" ht="15" x14ac:dyDescent="0.25">
      <c r="A1073" s="28"/>
      <c r="B1073" s="45" t="str">
        <f t="shared" si="48"/>
        <v>Dec-2025</v>
      </c>
      <c r="C1073" s="57">
        <v>45996</v>
      </c>
      <c r="D1073" s="43">
        <f t="shared" si="49"/>
        <v>116</v>
      </c>
      <c r="E1073" s="76">
        <v>2</v>
      </c>
      <c r="F1073" s="50">
        <v>7</v>
      </c>
      <c r="G1073" s="49">
        <v>4980</v>
      </c>
      <c r="H1073" s="73">
        <v>7</v>
      </c>
      <c r="I1073" s="52">
        <v>7</v>
      </c>
      <c r="J1073" s="51">
        <v>2272.16</v>
      </c>
      <c r="K1073" s="52"/>
      <c r="L1073" s="51"/>
      <c r="M1073" s="52">
        <v>5</v>
      </c>
      <c r="N1073" s="49">
        <v>2827.47</v>
      </c>
      <c r="O1073" s="75">
        <v>5</v>
      </c>
      <c r="P1073" s="54">
        <v>119.63000000000001</v>
      </c>
      <c r="Q1073" s="54">
        <v>47.47</v>
      </c>
      <c r="R1073" s="53">
        <f t="shared" si="50"/>
        <v>249</v>
      </c>
      <c r="S1073" s="51">
        <v>2272.16</v>
      </c>
    </row>
    <row r="1074" spans="1:19" ht="15" x14ac:dyDescent="0.25">
      <c r="A1074" s="28"/>
      <c r="B1074" s="45" t="str">
        <f t="shared" si="48"/>
        <v>Dec-2025</v>
      </c>
      <c r="C1074" s="57">
        <v>45997</v>
      </c>
      <c r="D1074" s="43">
        <f t="shared" si="49"/>
        <v>115</v>
      </c>
      <c r="F1074" s="50">
        <v>1</v>
      </c>
      <c r="G1074" s="49">
        <v>500</v>
      </c>
      <c r="H1074" s="73">
        <v>1</v>
      </c>
      <c r="I1074" s="52">
        <v>1</v>
      </c>
      <c r="J1074" s="51">
        <v>0</v>
      </c>
      <c r="K1074" s="52"/>
      <c r="L1074" s="51"/>
      <c r="M1074" s="52">
        <v>2</v>
      </c>
      <c r="N1074" s="49">
        <v>502.93</v>
      </c>
      <c r="O1074" s="75">
        <v>2</v>
      </c>
      <c r="P1074" s="54">
        <v>2.93</v>
      </c>
      <c r="Q1074" s="54">
        <v>2.93</v>
      </c>
      <c r="R1074" s="53">
        <f t="shared" si="50"/>
        <v>25</v>
      </c>
      <c r="S1074" s="51"/>
    </row>
    <row r="1075" spans="1:19" ht="15" x14ac:dyDescent="0.25">
      <c r="A1075" s="28"/>
      <c r="B1075" s="45" t="str">
        <f t="shared" si="48"/>
        <v>Dec-2025</v>
      </c>
      <c r="C1075" s="57">
        <v>45998</v>
      </c>
      <c r="D1075" s="43">
        <f t="shared" si="49"/>
        <v>114</v>
      </c>
      <c r="F1075" s="50">
        <v>5</v>
      </c>
      <c r="G1075" s="49">
        <v>3800</v>
      </c>
      <c r="H1075" s="73">
        <v>5</v>
      </c>
      <c r="I1075" s="52">
        <v>5</v>
      </c>
      <c r="J1075" s="51">
        <v>1031.9000000000001</v>
      </c>
      <c r="K1075" s="52"/>
      <c r="L1075" s="51"/>
      <c r="M1075" s="52">
        <v>4</v>
      </c>
      <c r="N1075" s="49">
        <v>2844.3</v>
      </c>
      <c r="O1075" s="75">
        <v>3</v>
      </c>
      <c r="P1075" s="54">
        <v>76.199999999999989</v>
      </c>
      <c r="Q1075" s="54">
        <v>44.3</v>
      </c>
      <c r="R1075" s="53">
        <f t="shared" si="50"/>
        <v>190</v>
      </c>
      <c r="S1075" s="51">
        <v>1031.9000000000001</v>
      </c>
    </row>
    <row r="1076" spans="1:19" ht="15" x14ac:dyDescent="0.25">
      <c r="A1076" s="28"/>
      <c r="B1076" s="45" t="str">
        <f t="shared" si="48"/>
        <v>Dec-2025</v>
      </c>
      <c r="C1076" s="57">
        <v>45999</v>
      </c>
      <c r="D1076" s="43">
        <f t="shared" si="49"/>
        <v>113</v>
      </c>
      <c r="E1076" s="76">
        <v>1</v>
      </c>
      <c r="F1076" s="50"/>
      <c r="G1076" s="49"/>
      <c r="H1076" s="73"/>
      <c r="I1076" s="52"/>
      <c r="J1076" s="51"/>
      <c r="K1076" s="52"/>
      <c r="L1076" s="51"/>
      <c r="M1076" s="52"/>
      <c r="N1076" s="49"/>
      <c r="O1076" s="75"/>
      <c r="P1076" s="54"/>
      <c r="Q1076" s="54"/>
      <c r="R1076" s="53">
        <f t="shared" si="50"/>
        <v>0</v>
      </c>
      <c r="S1076" s="51"/>
    </row>
    <row r="1077" spans="1:19" ht="15" x14ac:dyDescent="0.25">
      <c r="A1077" s="28"/>
      <c r="B1077" s="45" t="str">
        <f t="shared" si="48"/>
        <v>Jan-2026</v>
      </c>
      <c r="C1077" s="57">
        <v>46051</v>
      </c>
      <c r="D1077" s="43">
        <f t="shared" si="49"/>
        <v>61</v>
      </c>
      <c r="E1077" s="76">
        <v>3</v>
      </c>
      <c r="F1077" s="50">
        <v>12</v>
      </c>
      <c r="G1077" s="49">
        <v>11760</v>
      </c>
      <c r="H1077" s="73">
        <v>12</v>
      </c>
      <c r="I1077" s="52">
        <v>12</v>
      </c>
      <c r="J1077" s="51">
        <v>2606.59</v>
      </c>
      <c r="K1077" s="52"/>
      <c r="L1077" s="51"/>
      <c r="M1077" s="52">
        <v>9</v>
      </c>
      <c r="N1077" s="49">
        <v>8752.19</v>
      </c>
      <c r="O1077" s="75">
        <v>8</v>
      </c>
      <c r="P1077" s="54">
        <v>107.83999999999999</v>
      </c>
      <c r="Q1077" s="54">
        <v>61.250000000000007</v>
      </c>
      <c r="R1077" s="53">
        <f t="shared" si="50"/>
        <v>588</v>
      </c>
      <c r="S1077" s="51">
        <v>2606.59</v>
      </c>
    </row>
    <row r="1078" spans="1:19" ht="15" x14ac:dyDescent="0.25">
      <c r="A1078" s="28"/>
      <c r="B1078" s="45" t="str">
        <f t="shared" si="48"/>
        <v>Jan-2026</v>
      </c>
      <c r="C1078" s="57">
        <v>46052</v>
      </c>
      <c r="D1078" s="43">
        <f t="shared" si="49"/>
        <v>60</v>
      </c>
      <c r="E1078" s="76">
        <v>2</v>
      </c>
      <c r="F1078" s="50">
        <v>22</v>
      </c>
      <c r="G1078" s="49">
        <v>18750</v>
      </c>
      <c r="H1078" s="73">
        <v>22</v>
      </c>
      <c r="I1078" s="52">
        <v>22</v>
      </c>
      <c r="J1078" s="51">
        <v>9884.49</v>
      </c>
      <c r="K1078" s="52"/>
      <c r="L1078" s="51"/>
      <c r="M1078" s="52">
        <v>32</v>
      </c>
      <c r="N1078" s="49">
        <v>9121.82</v>
      </c>
      <c r="O1078" s="75">
        <v>29</v>
      </c>
      <c r="P1078" s="54">
        <v>256.31000000000006</v>
      </c>
      <c r="Q1078" s="54">
        <v>83.02</v>
      </c>
      <c r="R1078" s="53">
        <f t="shared" si="50"/>
        <v>937.5</v>
      </c>
      <c r="S1078" s="51">
        <v>9884.49</v>
      </c>
    </row>
    <row r="1079" spans="1:19" ht="15" x14ac:dyDescent="0.25">
      <c r="A1079" s="28"/>
      <c r="B1079" s="45" t="str">
        <f t="shared" si="48"/>
        <v>Jan-2026</v>
      </c>
      <c r="C1079" s="57">
        <v>46053</v>
      </c>
      <c r="D1079" s="43">
        <f t="shared" si="49"/>
        <v>59</v>
      </c>
      <c r="E1079" s="76">
        <v>2</v>
      </c>
      <c r="F1079" s="50">
        <v>7</v>
      </c>
      <c r="G1079" s="49">
        <v>6500</v>
      </c>
      <c r="H1079" s="73">
        <v>7</v>
      </c>
      <c r="I1079" s="52">
        <v>7</v>
      </c>
      <c r="J1079" s="51">
        <v>2238.5500000000002</v>
      </c>
      <c r="K1079" s="52"/>
      <c r="L1079" s="51"/>
      <c r="M1079" s="52">
        <v>7</v>
      </c>
      <c r="N1079" s="49">
        <v>4319.8500000000004</v>
      </c>
      <c r="O1079" s="75">
        <v>4</v>
      </c>
      <c r="P1079" s="54">
        <v>58.400000000000006</v>
      </c>
      <c r="Q1079" s="54">
        <v>19.850000000000001</v>
      </c>
      <c r="R1079" s="53">
        <f t="shared" si="50"/>
        <v>325</v>
      </c>
      <c r="S1079" s="51">
        <v>2238.5500000000002</v>
      </c>
    </row>
    <row r="1080" spans="1:19" ht="15" x14ac:dyDescent="0.25">
      <c r="A1080" s="28"/>
      <c r="B1080" s="45" t="str">
        <f t="shared" si="48"/>
        <v>Feb-2026</v>
      </c>
      <c r="C1080" s="57">
        <v>46054</v>
      </c>
      <c r="D1080" s="43">
        <f t="shared" si="49"/>
        <v>58</v>
      </c>
      <c r="F1080" s="50">
        <v>4</v>
      </c>
      <c r="G1080" s="49">
        <v>2500</v>
      </c>
      <c r="H1080" s="73">
        <v>4</v>
      </c>
      <c r="I1080" s="52">
        <v>4</v>
      </c>
      <c r="J1080" s="51">
        <v>2034.68</v>
      </c>
      <c r="K1080" s="52"/>
      <c r="L1080" s="51"/>
      <c r="M1080" s="52">
        <v>3</v>
      </c>
      <c r="N1080" s="49">
        <v>503.33</v>
      </c>
      <c r="O1080" s="75">
        <v>3</v>
      </c>
      <c r="P1080" s="54">
        <v>38.01</v>
      </c>
      <c r="Q1080" s="54">
        <v>3.33</v>
      </c>
      <c r="R1080" s="53">
        <f t="shared" si="50"/>
        <v>125</v>
      </c>
      <c r="S1080" s="51">
        <v>2034.68</v>
      </c>
    </row>
    <row r="1081" spans="1:19" ht="15" x14ac:dyDescent="0.25">
      <c r="A1081" s="28"/>
      <c r="B1081" s="45" t="str">
        <f t="shared" si="48"/>
        <v>Feb-2026</v>
      </c>
      <c r="C1081" s="57">
        <v>46055</v>
      </c>
      <c r="D1081" s="43">
        <f t="shared" si="49"/>
        <v>57</v>
      </c>
      <c r="E1081" s="76">
        <v>4</v>
      </c>
      <c r="F1081" s="50">
        <v>8</v>
      </c>
      <c r="G1081" s="49">
        <v>4918</v>
      </c>
      <c r="H1081" s="73">
        <v>8</v>
      </c>
      <c r="I1081" s="52">
        <v>8</v>
      </c>
      <c r="J1081" s="51">
        <v>4489.5</v>
      </c>
      <c r="K1081" s="52"/>
      <c r="L1081" s="51"/>
      <c r="M1081" s="52">
        <v>2</v>
      </c>
      <c r="N1081" s="49">
        <v>505.1</v>
      </c>
      <c r="O1081" s="75">
        <v>2</v>
      </c>
      <c r="P1081" s="54">
        <v>76.599999999999994</v>
      </c>
      <c r="Q1081" s="54">
        <v>5.0999999999999996</v>
      </c>
      <c r="R1081" s="53">
        <f t="shared" si="50"/>
        <v>245.9</v>
      </c>
      <c r="S1081" s="51">
        <v>4489.5</v>
      </c>
    </row>
    <row r="1082" spans="1:19" ht="15" x14ac:dyDescent="0.25">
      <c r="A1082" s="28"/>
      <c r="B1082" s="45" t="str">
        <f t="shared" si="48"/>
        <v>Feb-2026</v>
      </c>
      <c r="C1082" s="57">
        <v>46056</v>
      </c>
      <c r="D1082" s="43">
        <f t="shared" si="49"/>
        <v>56</v>
      </c>
      <c r="E1082" s="76">
        <v>2</v>
      </c>
      <c r="F1082" s="50">
        <v>4</v>
      </c>
      <c r="G1082" s="49">
        <v>800</v>
      </c>
      <c r="H1082" s="73">
        <v>4</v>
      </c>
      <c r="I1082" s="52">
        <v>4</v>
      </c>
      <c r="J1082" s="51">
        <v>305.58</v>
      </c>
      <c r="K1082" s="52"/>
      <c r="L1082" s="51"/>
      <c r="M1082" s="52">
        <v>1</v>
      </c>
      <c r="N1082" s="49">
        <v>506.59</v>
      </c>
      <c r="O1082" s="75">
        <v>1</v>
      </c>
      <c r="P1082" s="54">
        <v>12.17</v>
      </c>
      <c r="Q1082" s="54">
        <v>6.59</v>
      </c>
      <c r="R1082" s="53">
        <f t="shared" si="50"/>
        <v>40</v>
      </c>
      <c r="S1082" s="51">
        <v>305.58</v>
      </c>
    </row>
    <row r="1083" spans="1:19" ht="15" x14ac:dyDescent="0.25">
      <c r="A1083" s="28"/>
      <c r="B1083" s="45" t="str">
        <f t="shared" si="48"/>
        <v>Feb-2026</v>
      </c>
      <c r="C1083" s="57">
        <v>46057</v>
      </c>
      <c r="D1083" s="43">
        <f t="shared" si="49"/>
        <v>55</v>
      </c>
      <c r="E1083" s="76">
        <v>3</v>
      </c>
      <c r="F1083" s="50">
        <v>9</v>
      </c>
      <c r="G1083" s="49">
        <v>1700</v>
      </c>
      <c r="H1083" s="73">
        <v>9</v>
      </c>
      <c r="I1083" s="52">
        <v>9</v>
      </c>
      <c r="J1083" s="51">
        <v>1017.4300000000002</v>
      </c>
      <c r="K1083" s="52"/>
      <c r="L1083" s="51"/>
      <c r="M1083" s="52">
        <v>4</v>
      </c>
      <c r="N1083" s="49">
        <v>703.83</v>
      </c>
      <c r="O1083" s="75">
        <v>4</v>
      </c>
      <c r="P1083" s="54">
        <v>21.259999999999998</v>
      </c>
      <c r="Q1083" s="54">
        <v>3.8299999999999996</v>
      </c>
      <c r="R1083" s="53">
        <f t="shared" si="50"/>
        <v>85</v>
      </c>
      <c r="S1083" s="51">
        <v>1017.43</v>
      </c>
    </row>
    <row r="1084" spans="1:19" ht="15" x14ac:dyDescent="0.25">
      <c r="A1084" s="28"/>
      <c r="B1084" s="45" t="str">
        <f t="shared" si="48"/>
        <v>Feb-2026</v>
      </c>
      <c r="C1084" s="57">
        <v>46058</v>
      </c>
      <c r="D1084" s="43">
        <f t="shared" si="49"/>
        <v>54</v>
      </c>
      <c r="E1084" s="76">
        <v>2</v>
      </c>
      <c r="F1084" s="50">
        <v>7</v>
      </c>
      <c r="G1084" s="49">
        <v>3600</v>
      </c>
      <c r="H1084" s="73">
        <v>7</v>
      </c>
      <c r="I1084" s="52">
        <v>7</v>
      </c>
      <c r="J1084" s="51">
        <v>1118.0999999999999</v>
      </c>
      <c r="K1084" s="52"/>
      <c r="L1084" s="51"/>
      <c r="M1084" s="52">
        <v>4</v>
      </c>
      <c r="N1084" s="49">
        <v>2519.4499999999998</v>
      </c>
      <c r="O1084" s="75">
        <v>4</v>
      </c>
      <c r="P1084" s="54">
        <v>37.550000000000004</v>
      </c>
      <c r="Q1084" s="54">
        <v>19.45</v>
      </c>
      <c r="R1084" s="53">
        <f t="shared" si="50"/>
        <v>180</v>
      </c>
      <c r="S1084" s="51">
        <v>1118.0999999999999</v>
      </c>
    </row>
    <row r="1085" spans="1:19" ht="15" x14ac:dyDescent="0.25">
      <c r="A1085" s="28"/>
      <c r="B1085" s="45" t="str">
        <f t="shared" si="48"/>
        <v>Feb-2026</v>
      </c>
      <c r="C1085" s="57">
        <v>46059</v>
      </c>
      <c r="D1085" s="43">
        <f t="shared" si="49"/>
        <v>53</v>
      </c>
      <c r="E1085" s="76">
        <v>3</v>
      </c>
      <c r="F1085" s="50">
        <v>9</v>
      </c>
      <c r="G1085" s="49">
        <v>3600</v>
      </c>
      <c r="H1085" s="73">
        <v>9</v>
      </c>
      <c r="I1085" s="52">
        <v>9</v>
      </c>
      <c r="J1085" s="51">
        <v>915.09999999999991</v>
      </c>
      <c r="K1085" s="52"/>
      <c r="L1085" s="51"/>
      <c r="M1085" s="52">
        <v>7</v>
      </c>
      <c r="N1085" s="49">
        <v>2716.15</v>
      </c>
      <c r="O1085" s="75">
        <v>6</v>
      </c>
      <c r="P1085" s="54">
        <v>31.249999999999996</v>
      </c>
      <c r="Q1085" s="54">
        <v>16.149999999999999</v>
      </c>
      <c r="R1085" s="53">
        <f t="shared" si="50"/>
        <v>180</v>
      </c>
      <c r="S1085" s="51">
        <v>915.09999999999991</v>
      </c>
    </row>
    <row r="1086" spans="1:19" ht="15" x14ac:dyDescent="0.25">
      <c r="A1086" s="28"/>
      <c r="B1086" s="45" t="str">
        <f t="shared" si="48"/>
        <v>Feb-2026</v>
      </c>
      <c r="C1086" s="57">
        <v>46060</v>
      </c>
      <c r="D1086" s="43">
        <f t="shared" si="49"/>
        <v>52</v>
      </c>
      <c r="E1086" s="76">
        <v>2</v>
      </c>
      <c r="F1086" s="50"/>
      <c r="G1086" s="49"/>
      <c r="H1086" s="73"/>
      <c r="I1086" s="52"/>
      <c r="J1086" s="51"/>
      <c r="K1086" s="52"/>
      <c r="L1086" s="51"/>
      <c r="M1086" s="52"/>
      <c r="N1086" s="49"/>
      <c r="O1086" s="75"/>
      <c r="P1086" s="54"/>
      <c r="Q1086" s="54"/>
      <c r="R1086" s="53">
        <f t="shared" si="50"/>
        <v>0</v>
      </c>
      <c r="S1086" s="51"/>
    </row>
    <row r="1087" spans="1:19" ht="15" x14ac:dyDescent="0.25">
      <c r="A1087" s="28"/>
      <c r="B1087" s="45" t="str">
        <f t="shared" si="48"/>
        <v>Feb-2026</v>
      </c>
      <c r="C1087" s="57">
        <v>46061</v>
      </c>
      <c r="D1087" s="43">
        <f t="shared" si="49"/>
        <v>51</v>
      </c>
      <c r="E1087" s="76">
        <v>2</v>
      </c>
      <c r="F1087" s="50">
        <v>4</v>
      </c>
      <c r="G1087" s="49">
        <v>2300</v>
      </c>
      <c r="H1087" s="73">
        <v>4</v>
      </c>
      <c r="I1087" s="52">
        <v>4</v>
      </c>
      <c r="J1087" s="51">
        <v>305.13</v>
      </c>
      <c r="K1087" s="52"/>
      <c r="L1087" s="51"/>
      <c r="M1087" s="52">
        <v>1</v>
      </c>
      <c r="N1087" s="49">
        <v>2020.12</v>
      </c>
      <c r="O1087" s="75">
        <v>1</v>
      </c>
      <c r="P1087" s="54">
        <v>25.25</v>
      </c>
      <c r="Q1087" s="54">
        <v>20.12</v>
      </c>
      <c r="R1087" s="53">
        <f t="shared" si="50"/>
        <v>115</v>
      </c>
      <c r="S1087" s="51">
        <v>305.13</v>
      </c>
    </row>
    <row r="1088" spans="1:19" ht="15" x14ac:dyDescent="0.25">
      <c r="A1088" s="28"/>
      <c r="B1088" s="45" t="str">
        <f t="shared" si="48"/>
        <v>Feb-2026</v>
      </c>
      <c r="C1088" s="57">
        <v>46062</v>
      </c>
      <c r="D1088" s="43">
        <f t="shared" si="49"/>
        <v>50</v>
      </c>
      <c r="E1088" s="76">
        <v>1</v>
      </c>
      <c r="F1088" s="50">
        <v>7</v>
      </c>
      <c r="G1088" s="49">
        <v>4000</v>
      </c>
      <c r="H1088" s="73">
        <v>7</v>
      </c>
      <c r="I1088" s="52">
        <v>7</v>
      </c>
      <c r="J1088" s="51">
        <v>1218.6199999999999</v>
      </c>
      <c r="K1088" s="52"/>
      <c r="L1088" s="51"/>
      <c r="M1088" s="52">
        <v>5</v>
      </c>
      <c r="N1088" s="49">
        <v>2818.47</v>
      </c>
      <c r="O1088" s="75">
        <v>5</v>
      </c>
      <c r="P1088" s="54">
        <v>37.089999999999996</v>
      </c>
      <c r="Q1088" s="54">
        <v>18.47</v>
      </c>
      <c r="R1088" s="53">
        <f t="shared" si="50"/>
        <v>200</v>
      </c>
      <c r="S1088" s="51">
        <v>1218.6199999999999</v>
      </c>
    </row>
    <row r="1089" spans="1:19" ht="15" x14ac:dyDescent="0.25">
      <c r="A1089" s="28"/>
      <c r="B1089" s="45" t="str">
        <f t="shared" si="48"/>
        <v>Feb-2026</v>
      </c>
      <c r="C1089" s="57">
        <v>46063</v>
      </c>
      <c r="D1089" s="43">
        <f t="shared" si="49"/>
        <v>49</v>
      </c>
      <c r="E1089" s="76">
        <v>1</v>
      </c>
      <c r="F1089" s="50">
        <v>1</v>
      </c>
      <c r="G1089" s="49">
        <v>100</v>
      </c>
      <c r="H1089" s="73">
        <v>1</v>
      </c>
      <c r="I1089" s="52">
        <v>1</v>
      </c>
      <c r="J1089" s="51">
        <v>101.65</v>
      </c>
      <c r="K1089" s="52"/>
      <c r="L1089" s="51"/>
      <c r="M1089" s="52"/>
      <c r="N1089" s="49"/>
      <c r="O1089" s="75"/>
      <c r="P1089" s="54">
        <v>1.65</v>
      </c>
      <c r="Q1089" s="54">
        <v>0</v>
      </c>
      <c r="R1089" s="53">
        <f t="shared" si="50"/>
        <v>5</v>
      </c>
      <c r="S1089" s="51">
        <v>101.65</v>
      </c>
    </row>
    <row r="1090" spans="1:19" ht="15" x14ac:dyDescent="0.25">
      <c r="A1090" s="28"/>
      <c r="B1090" s="45" t="str">
        <f t="shared" si="48"/>
        <v>Feb-2026</v>
      </c>
      <c r="C1090" s="57">
        <v>46071</v>
      </c>
      <c r="D1090" s="43">
        <f t="shared" si="49"/>
        <v>41</v>
      </c>
      <c r="E1090" s="76">
        <v>1</v>
      </c>
      <c r="F1090" s="50">
        <v>10</v>
      </c>
      <c r="G1090" s="49">
        <v>7700</v>
      </c>
      <c r="H1090" s="73">
        <v>10</v>
      </c>
      <c r="I1090" s="52">
        <v>10</v>
      </c>
      <c r="J1090" s="51">
        <v>2330.4899999999998</v>
      </c>
      <c r="K1090" s="52"/>
      <c r="L1090" s="51"/>
      <c r="M1090" s="52">
        <v>8</v>
      </c>
      <c r="N1090" s="49">
        <v>5421.43</v>
      </c>
      <c r="O1090" s="75">
        <v>7</v>
      </c>
      <c r="P1090" s="54">
        <v>51.919999999999995</v>
      </c>
      <c r="Q1090" s="54">
        <v>26.85</v>
      </c>
      <c r="R1090" s="53">
        <f t="shared" si="50"/>
        <v>385</v>
      </c>
      <c r="S1090" s="51">
        <v>2330.4900000000002</v>
      </c>
    </row>
    <row r="1091" spans="1:19" ht="15" x14ac:dyDescent="0.25">
      <c r="A1091" s="28"/>
      <c r="B1091" s="45" t="str">
        <f t="shared" si="48"/>
        <v>Feb-2026</v>
      </c>
      <c r="C1091" s="57">
        <v>46072</v>
      </c>
      <c r="D1091" s="43">
        <f t="shared" si="49"/>
        <v>40</v>
      </c>
      <c r="F1091" s="50">
        <v>4</v>
      </c>
      <c r="G1091" s="49">
        <v>2500</v>
      </c>
      <c r="H1091" s="73">
        <v>4</v>
      </c>
      <c r="I1091" s="52">
        <v>4</v>
      </c>
      <c r="J1091" s="51">
        <v>506.2</v>
      </c>
      <c r="K1091" s="52"/>
      <c r="L1091" s="51"/>
      <c r="M1091" s="52">
        <v>6</v>
      </c>
      <c r="N1091" s="49">
        <v>2005.8</v>
      </c>
      <c r="O1091" s="75">
        <v>5</v>
      </c>
      <c r="P1091" s="54">
        <v>12</v>
      </c>
      <c r="Q1091" s="54">
        <v>5.8</v>
      </c>
      <c r="R1091" s="53">
        <f t="shared" si="50"/>
        <v>125</v>
      </c>
      <c r="S1091" s="51">
        <v>506.2</v>
      </c>
    </row>
    <row r="1092" spans="1:19" ht="15" x14ac:dyDescent="0.25">
      <c r="A1092" s="28"/>
      <c r="B1092" s="45" t="str">
        <f t="shared" si="48"/>
        <v>Feb-2026</v>
      </c>
      <c r="C1092" s="57">
        <v>46073</v>
      </c>
      <c r="D1092" s="43">
        <f t="shared" si="49"/>
        <v>39</v>
      </c>
      <c r="E1092" s="76">
        <v>1</v>
      </c>
      <c r="F1092" s="50">
        <v>1</v>
      </c>
      <c r="G1092" s="49">
        <v>500</v>
      </c>
      <c r="H1092" s="73">
        <v>1</v>
      </c>
      <c r="I1092" s="52">
        <v>1</v>
      </c>
      <c r="J1092" s="51">
        <v>506.07</v>
      </c>
      <c r="K1092" s="52"/>
      <c r="L1092" s="51"/>
      <c r="M1092" s="52"/>
      <c r="N1092" s="49"/>
      <c r="O1092" s="75"/>
      <c r="P1092" s="54">
        <v>6.07</v>
      </c>
      <c r="Q1092" s="54">
        <v>0</v>
      </c>
      <c r="R1092" s="53">
        <f t="shared" si="50"/>
        <v>25</v>
      </c>
      <c r="S1092" s="51">
        <v>506.07</v>
      </c>
    </row>
    <row r="1093" spans="1:19" ht="15" x14ac:dyDescent="0.25">
      <c r="A1093" s="28"/>
      <c r="B1093" s="45" t="str">
        <f t="shared" si="48"/>
        <v>Feb-2026</v>
      </c>
      <c r="C1093" s="57">
        <v>46074</v>
      </c>
      <c r="D1093" s="43">
        <f t="shared" si="49"/>
        <v>38</v>
      </c>
      <c r="E1093" s="76">
        <v>2</v>
      </c>
      <c r="F1093" s="50">
        <v>9</v>
      </c>
      <c r="G1093" s="49">
        <v>6400</v>
      </c>
      <c r="H1093" s="73">
        <v>9</v>
      </c>
      <c r="I1093" s="52">
        <v>9</v>
      </c>
      <c r="J1093" s="51">
        <v>2427.59</v>
      </c>
      <c r="K1093" s="52"/>
      <c r="L1093" s="51"/>
      <c r="M1093" s="52">
        <v>5</v>
      </c>
      <c r="N1093" s="49">
        <v>4013.48</v>
      </c>
      <c r="O1093" s="75">
        <v>5</v>
      </c>
      <c r="P1093" s="54">
        <v>41.07</v>
      </c>
      <c r="Q1093" s="54">
        <v>13.48</v>
      </c>
      <c r="R1093" s="53">
        <f t="shared" si="50"/>
        <v>320</v>
      </c>
      <c r="S1093" s="51">
        <v>2427.59</v>
      </c>
    </row>
    <row r="1094" spans="1:19" ht="15" x14ac:dyDescent="0.25">
      <c r="A1094" s="28"/>
      <c r="B1094" s="45" t="str">
        <f t="shared" si="48"/>
        <v>Feb-2026</v>
      </c>
      <c r="C1094" s="57">
        <v>46075</v>
      </c>
      <c r="D1094" s="43">
        <f t="shared" si="49"/>
        <v>37</v>
      </c>
      <c r="F1094" s="50">
        <v>2</v>
      </c>
      <c r="G1094" s="49">
        <v>1600</v>
      </c>
      <c r="H1094" s="73">
        <v>2</v>
      </c>
      <c r="I1094" s="52">
        <v>2</v>
      </c>
      <c r="J1094" s="51">
        <v>809.42</v>
      </c>
      <c r="K1094" s="52"/>
      <c r="L1094" s="51"/>
      <c r="M1094" s="52">
        <v>1</v>
      </c>
      <c r="N1094" s="49">
        <v>804.8</v>
      </c>
      <c r="O1094" s="75">
        <v>1</v>
      </c>
      <c r="P1094" s="54">
        <v>14.219999999999999</v>
      </c>
      <c r="Q1094" s="54">
        <v>4.8</v>
      </c>
      <c r="R1094" s="53">
        <f t="shared" si="50"/>
        <v>80</v>
      </c>
      <c r="S1094" s="51">
        <v>809.42</v>
      </c>
    </row>
    <row r="1095" spans="1:19" ht="15" x14ac:dyDescent="0.25">
      <c r="A1095" s="28"/>
      <c r="B1095" s="45" t="str">
        <f t="shared" si="48"/>
        <v>Feb-2026</v>
      </c>
      <c r="C1095" s="57">
        <v>46076</v>
      </c>
      <c r="D1095" s="43">
        <f t="shared" si="49"/>
        <v>36</v>
      </c>
      <c r="E1095" s="76">
        <v>1</v>
      </c>
      <c r="F1095" s="50">
        <v>6</v>
      </c>
      <c r="G1095" s="49">
        <v>4300</v>
      </c>
      <c r="H1095" s="73">
        <v>6</v>
      </c>
      <c r="I1095" s="52">
        <v>6</v>
      </c>
      <c r="J1095" s="51">
        <v>505.68</v>
      </c>
      <c r="K1095" s="52"/>
      <c r="L1095" s="51"/>
      <c r="M1095" s="52">
        <v>9</v>
      </c>
      <c r="N1095" s="49">
        <v>3816.03</v>
      </c>
      <c r="O1095" s="75">
        <v>7</v>
      </c>
      <c r="P1095" s="54">
        <v>21.71</v>
      </c>
      <c r="Q1095" s="54">
        <v>16.03</v>
      </c>
      <c r="R1095" s="53">
        <f t="shared" si="50"/>
        <v>215</v>
      </c>
      <c r="S1095" s="51">
        <v>505.68</v>
      </c>
    </row>
    <row r="1096" spans="1:19" ht="15" x14ac:dyDescent="0.25">
      <c r="A1096" s="28"/>
      <c r="B1096" s="45" t="str">
        <f t="shared" ref="B1096" si="51">TEXT(C1096,"MMM-YYYY")</f>
        <v>Feb-2026</v>
      </c>
      <c r="C1096" s="57">
        <v>46077</v>
      </c>
      <c r="D1096" s="43">
        <f t="shared" ref="D1096" si="52">$A$1-C1096</f>
        <v>35</v>
      </c>
      <c r="E1096" s="76">
        <v>1</v>
      </c>
      <c r="F1096" s="50">
        <v>3</v>
      </c>
      <c r="G1096" s="49">
        <v>1300</v>
      </c>
      <c r="H1096" s="73">
        <v>3</v>
      </c>
      <c r="I1096" s="52">
        <v>3</v>
      </c>
      <c r="J1096" s="51">
        <v>0</v>
      </c>
      <c r="K1096" s="52"/>
      <c r="L1096" s="51"/>
      <c r="M1096" s="52">
        <v>3</v>
      </c>
      <c r="N1096" s="49">
        <v>1303.22</v>
      </c>
      <c r="O1096" s="75">
        <v>3</v>
      </c>
      <c r="P1096" s="54">
        <v>3.2199999999999998</v>
      </c>
      <c r="Q1096" s="54">
        <v>3.2199999999999998</v>
      </c>
      <c r="R1096" s="53">
        <f t="shared" ref="R1096" si="53">G1096*5%</f>
        <v>65</v>
      </c>
      <c r="S1096" s="51"/>
    </row>
    <row r="1097" spans="1:19" s="97" customFormat="1" x14ac:dyDescent="0.25">
      <c r="B1097" s="85"/>
      <c r="C1097" s="70"/>
      <c r="D1097" s="99"/>
      <c r="E1097" s="88"/>
      <c r="F1097" s="100"/>
      <c r="G1097" s="100">
        <f>SUM(G1080:G1096)</f>
        <v>47818</v>
      </c>
      <c r="H1097" s="101"/>
      <c r="I1097" s="100"/>
      <c r="J1097" s="102"/>
      <c r="K1097" s="102"/>
      <c r="L1097" s="100"/>
      <c r="M1097" s="100"/>
      <c r="N1097" s="100"/>
      <c r="O1097" s="101"/>
      <c r="P1097" s="100"/>
      <c r="Q1097" s="100"/>
      <c r="R1097" s="100"/>
      <c r="S1097" s="102"/>
    </row>
  </sheetData>
  <mergeCells count="6">
    <mergeCell ref="P2:Q2"/>
    <mergeCell ref="C2:D2"/>
    <mergeCell ref="F2:H2"/>
    <mergeCell ref="I2:J2"/>
    <mergeCell ref="K2:L2"/>
    <mergeCell ref="M2:O2"/>
  </mergeCells>
  <pageMargins left="0.7" right="0.7" top="0.75" bottom="0.75" header="0.3" footer="0.3"/>
  <pageSetup orientation="portrait" r:id="rId1"/>
  <headerFooter>
    <oddFooter>&amp;R_x000D_&amp;1#&amp;"Aptos"&amp;10&amp;K000000 C2 - Safaricom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8439-DFD6-49A6-9344-0A7FB1C3DE45}">
  <dimension ref="A1:X1224"/>
  <sheetViews>
    <sheetView showGridLines="0" zoomScale="118" zoomScaleNormal="118" workbookViewId="0">
      <pane xSplit="2" ySplit="3" topLeftCell="C1190" activePane="bottomRight" state="frozen"/>
      <selection activeCell="G45" sqref="G45"/>
      <selection pane="topRight" activeCell="G45" sqref="G45"/>
      <selection pane="bottomLeft" activeCell="G45" sqref="G45"/>
      <selection pane="bottomRight" activeCell="H1223" sqref="H1193:H1223"/>
    </sheetView>
  </sheetViews>
  <sheetFormatPr defaultColWidth="8.7109375" defaultRowHeight="15" x14ac:dyDescent="0.25"/>
  <cols>
    <col min="1" max="1" width="10.7109375" style="22" bestFit="1" customWidth="1"/>
    <col min="2" max="2" width="10.42578125" style="45" bestFit="1" customWidth="1"/>
    <col min="3" max="3" width="16.5703125" style="57" bestFit="1" customWidth="1"/>
    <col min="4" max="4" width="10.28515625" style="24" bestFit="1" customWidth="1"/>
    <col min="5" max="5" width="11.5703125" style="49" bestFit="1" customWidth="1"/>
    <col min="6" max="6" width="11.7109375" style="55" bestFit="1" customWidth="1"/>
    <col min="7" max="7" width="23.85546875" style="55" customWidth="1"/>
    <col min="8" max="8" width="15.28515625" style="25" bestFit="1" customWidth="1"/>
    <col min="9" max="9" width="13.28515625" style="55" bestFit="1" customWidth="1"/>
    <col min="10" max="10" width="19" style="56" customWidth="1"/>
    <col min="11" max="11" width="12" style="56" bestFit="1" customWidth="1"/>
    <col min="12" max="12" width="14.85546875" style="55" bestFit="1" customWidth="1"/>
    <col min="13" max="13" width="11.42578125" style="55" bestFit="1" customWidth="1"/>
    <col min="14" max="14" width="14.85546875" style="55" bestFit="1" customWidth="1"/>
    <col min="15" max="15" width="15.28515625" style="55" bestFit="1" customWidth="1"/>
    <col min="16" max="16" width="13.28515625" style="55" bestFit="1" customWidth="1"/>
    <col min="17" max="17" width="11.7109375" style="55" bestFit="1" customWidth="1"/>
    <col min="18" max="18" width="17.42578125" style="55" customWidth="1"/>
    <col min="19" max="19" width="14.5703125" style="56" bestFit="1" customWidth="1"/>
    <col min="20" max="21" width="8.7109375" style="22"/>
    <col min="22" max="22" width="10.85546875" style="22" customWidth="1"/>
    <col min="23" max="23" width="11.28515625" style="22" customWidth="1"/>
    <col min="24" max="16384" width="8.7109375" style="22"/>
  </cols>
  <sheetData>
    <row r="1" spans="1:19" ht="14.25" thickBot="1" x14ac:dyDescent="0.3">
      <c r="A1" s="42">
        <v>46112</v>
      </c>
      <c r="B1" s="44"/>
      <c r="C1" s="23"/>
      <c r="E1" s="24"/>
      <c r="F1" s="25"/>
      <c r="G1" s="25"/>
      <c r="I1" s="25"/>
      <c r="J1" s="26"/>
      <c r="K1" s="27"/>
      <c r="L1" s="1"/>
      <c r="M1" s="25"/>
      <c r="N1" s="25"/>
      <c r="O1" s="25"/>
      <c r="P1" s="25"/>
      <c r="Q1" s="25"/>
      <c r="R1" s="25"/>
      <c r="S1" s="26"/>
    </row>
    <row r="2" spans="1:19" ht="26.25" customHeight="1" thickBot="1" x14ac:dyDescent="0.3">
      <c r="A2" s="28"/>
      <c r="C2" s="107" t="s">
        <v>10</v>
      </c>
      <c r="D2" s="108"/>
      <c r="E2" s="41" t="s">
        <v>22</v>
      </c>
      <c r="F2" s="105" t="s">
        <v>11</v>
      </c>
      <c r="G2" s="109"/>
      <c r="H2" s="110"/>
      <c r="I2" s="111" t="s">
        <v>21</v>
      </c>
      <c r="J2" s="112"/>
      <c r="K2" s="113" t="s">
        <v>24</v>
      </c>
      <c r="L2" s="114"/>
      <c r="M2" s="105" t="s">
        <v>12</v>
      </c>
      <c r="N2" s="106"/>
      <c r="O2" s="115"/>
      <c r="P2" s="105" t="s">
        <v>13</v>
      </c>
      <c r="Q2" s="106"/>
      <c r="R2" s="40" t="s">
        <v>1</v>
      </c>
      <c r="S2" s="40" t="s">
        <v>70</v>
      </c>
    </row>
    <row r="3" spans="1:19" s="37" customFormat="1" ht="16.5" customHeight="1" thickBot="1" x14ac:dyDescent="0.3">
      <c r="A3" s="29"/>
      <c r="B3" s="46" t="s">
        <v>2</v>
      </c>
      <c r="C3" s="30" t="s">
        <v>14</v>
      </c>
      <c r="D3" s="31" t="s">
        <v>15</v>
      </c>
      <c r="E3" s="39" t="s">
        <v>23</v>
      </c>
      <c r="F3" s="32" t="s">
        <v>16</v>
      </c>
      <c r="G3" s="33" t="s">
        <v>17</v>
      </c>
      <c r="H3" s="34" t="s">
        <v>18</v>
      </c>
      <c r="I3" s="33" t="s">
        <v>16</v>
      </c>
      <c r="J3" s="34" t="s">
        <v>17</v>
      </c>
      <c r="K3" s="35" t="s">
        <v>16</v>
      </c>
      <c r="L3" s="36" t="s">
        <v>17</v>
      </c>
      <c r="M3" s="33" t="s">
        <v>16</v>
      </c>
      <c r="N3" s="33" t="s">
        <v>17</v>
      </c>
      <c r="O3" s="34" t="s">
        <v>18</v>
      </c>
      <c r="P3" s="33" t="s">
        <v>19</v>
      </c>
      <c r="Q3" s="33" t="s">
        <v>20</v>
      </c>
      <c r="R3" s="38" t="s">
        <v>17</v>
      </c>
      <c r="S3" s="34" t="s">
        <v>17</v>
      </c>
    </row>
    <row r="4" spans="1:19" x14ac:dyDescent="0.25">
      <c r="A4" s="28"/>
      <c r="B4" s="45" t="str">
        <f t="shared" ref="B4:B68" si="0">TEXT(C4,"MMM-YYYY")</f>
        <v>Nov-2022</v>
      </c>
      <c r="C4" s="57">
        <v>44894</v>
      </c>
      <c r="D4" s="43">
        <f t="shared" ref="D4:D68" si="1">$A$1-C4</f>
        <v>1218</v>
      </c>
      <c r="E4" s="76">
        <v>3</v>
      </c>
      <c r="F4" s="50"/>
      <c r="G4" s="49"/>
      <c r="H4" s="73"/>
      <c r="I4" s="77"/>
      <c r="J4" s="73"/>
      <c r="K4" s="52"/>
      <c r="L4" s="51"/>
      <c r="M4" s="77"/>
      <c r="N4" s="76"/>
      <c r="O4" s="75"/>
      <c r="P4" s="74"/>
      <c r="Q4" s="74"/>
      <c r="R4" s="53">
        <f t="shared" ref="R4:R68" si="2">G4*5%</f>
        <v>0</v>
      </c>
      <c r="S4" s="73"/>
    </row>
    <row r="5" spans="1:19" x14ac:dyDescent="0.25">
      <c r="A5" s="28"/>
      <c r="B5" s="45" t="str">
        <f t="shared" si="0"/>
        <v>Nov-2022</v>
      </c>
      <c r="C5" s="57">
        <v>44895</v>
      </c>
      <c r="D5" s="43">
        <f t="shared" si="1"/>
        <v>1217</v>
      </c>
      <c r="E5" s="76">
        <v>153845</v>
      </c>
      <c r="F5" s="50">
        <v>38515</v>
      </c>
      <c r="G5" s="49">
        <v>19045866</v>
      </c>
      <c r="H5" s="73">
        <v>38448</v>
      </c>
      <c r="I5" s="77">
        <v>38511</v>
      </c>
      <c r="J5" s="73">
        <v>18578141.579999998</v>
      </c>
      <c r="K5" s="52">
        <v>534</v>
      </c>
      <c r="L5" s="51">
        <v>97672.470000000016</v>
      </c>
      <c r="M5" s="77">
        <v>17260</v>
      </c>
      <c r="N5" s="76">
        <v>5020962.3099999996</v>
      </c>
      <c r="O5" s="75">
        <v>15673</v>
      </c>
      <c r="P5" s="74">
        <v>4553007.6199999759</v>
      </c>
      <c r="Q5" s="74">
        <v>66695.839999999953</v>
      </c>
      <c r="R5" s="53">
        <f t="shared" si="2"/>
        <v>952293.3</v>
      </c>
      <c r="S5" s="73">
        <v>18578137.890000001</v>
      </c>
    </row>
    <row r="6" spans="1:19" x14ac:dyDescent="0.25">
      <c r="A6" s="28"/>
      <c r="B6" s="45" t="str">
        <f t="shared" si="0"/>
        <v>Dec-2022</v>
      </c>
      <c r="C6" s="57">
        <v>44896</v>
      </c>
      <c r="D6" s="43">
        <f t="shared" si="1"/>
        <v>1216</v>
      </c>
      <c r="E6" s="76">
        <v>185337</v>
      </c>
      <c r="F6" s="50">
        <v>96379</v>
      </c>
      <c r="G6" s="49">
        <v>47686144</v>
      </c>
      <c r="H6" s="73">
        <v>96140</v>
      </c>
      <c r="I6" s="77">
        <v>96379</v>
      </c>
      <c r="J6" s="73">
        <v>47856228.899999969</v>
      </c>
      <c r="K6" s="52">
        <v>1533</v>
      </c>
      <c r="L6" s="51">
        <v>294037.3</v>
      </c>
      <c r="M6" s="77">
        <v>39639</v>
      </c>
      <c r="N6" s="76">
        <v>11523984.130000001</v>
      </c>
      <c r="O6" s="75">
        <v>35935</v>
      </c>
      <c r="P6" s="74">
        <v>11690975.390000105</v>
      </c>
      <c r="Q6" s="74">
        <v>144643.11000000007</v>
      </c>
      <c r="R6" s="53">
        <f t="shared" si="2"/>
        <v>2384307.2000000002</v>
      </c>
      <c r="S6" s="73">
        <v>47856222.829999983</v>
      </c>
    </row>
    <row r="7" spans="1:19" x14ac:dyDescent="0.25">
      <c r="A7" s="28"/>
      <c r="B7" s="45" t="str">
        <f t="shared" si="0"/>
        <v>Dec-2022</v>
      </c>
      <c r="C7" s="57">
        <v>44897</v>
      </c>
      <c r="D7" s="43">
        <f t="shared" si="1"/>
        <v>1215</v>
      </c>
      <c r="E7" s="76">
        <v>127311</v>
      </c>
      <c r="F7" s="50">
        <v>95693</v>
      </c>
      <c r="G7" s="49">
        <v>47276672</v>
      </c>
      <c r="H7" s="73">
        <v>95383</v>
      </c>
      <c r="I7" s="77">
        <v>95693</v>
      </c>
      <c r="J7" s="73">
        <v>49071137.889999956</v>
      </c>
      <c r="K7" s="52">
        <v>2022</v>
      </c>
      <c r="L7" s="51">
        <v>399927.35</v>
      </c>
      <c r="M7" s="77">
        <v>34974</v>
      </c>
      <c r="N7" s="76">
        <v>10171435.77</v>
      </c>
      <c r="O7" s="75">
        <v>31960</v>
      </c>
      <c r="P7" s="74">
        <v>11963957.720000044</v>
      </c>
      <c r="Q7" s="74">
        <v>131795.48000000027</v>
      </c>
      <c r="R7" s="53">
        <f t="shared" si="2"/>
        <v>2363833.6</v>
      </c>
      <c r="S7" s="73">
        <v>49071137.669999972</v>
      </c>
    </row>
    <row r="8" spans="1:19" x14ac:dyDescent="0.25">
      <c r="A8" s="28"/>
      <c r="B8" s="45" t="str">
        <f t="shared" si="0"/>
        <v>Dec-2022</v>
      </c>
      <c r="C8" s="57">
        <v>44898</v>
      </c>
      <c r="D8" s="43">
        <f t="shared" si="1"/>
        <v>1214</v>
      </c>
      <c r="E8" s="76">
        <v>100328</v>
      </c>
      <c r="F8" s="50">
        <v>115548</v>
      </c>
      <c r="G8" s="49">
        <v>57201032</v>
      </c>
      <c r="H8" s="73">
        <v>115245</v>
      </c>
      <c r="I8" s="77">
        <v>115547</v>
      </c>
      <c r="J8" s="73">
        <v>63221247.090000048</v>
      </c>
      <c r="K8" s="52">
        <v>1866</v>
      </c>
      <c r="L8" s="51">
        <v>394136.04000000004</v>
      </c>
      <c r="M8" s="77">
        <v>32763</v>
      </c>
      <c r="N8" s="76">
        <v>9351584.4900000002</v>
      </c>
      <c r="O8" s="75">
        <v>29720</v>
      </c>
      <c r="P8" s="74">
        <v>15368070.289999643</v>
      </c>
      <c r="Q8" s="74">
        <v>131538.80999999982</v>
      </c>
      <c r="R8" s="53">
        <f t="shared" si="2"/>
        <v>2860051.6</v>
      </c>
      <c r="S8" s="73">
        <v>63221243.549999982</v>
      </c>
    </row>
    <row r="9" spans="1:19" x14ac:dyDescent="0.25">
      <c r="A9" s="28"/>
      <c r="B9" s="45" t="str">
        <f t="shared" si="0"/>
        <v>Dec-2022</v>
      </c>
      <c r="C9" s="57">
        <v>44899</v>
      </c>
      <c r="D9" s="43">
        <f t="shared" si="1"/>
        <v>1213</v>
      </c>
      <c r="E9" s="76">
        <v>57760</v>
      </c>
      <c r="F9" s="50">
        <v>76290</v>
      </c>
      <c r="G9" s="49">
        <v>37712176</v>
      </c>
      <c r="H9" s="73">
        <v>76112</v>
      </c>
      <c r="I9" s="77">
        <v>76290</v>
      </c>
      <c r="J9" s="73">
        <v>41700583.149999999</v>
      </c>
      <c r="K9" s="52">
        <v>1396</v>
      </c>
      <c r="L9" s="51">
        <v>279251.94999999995</v>
      </c>
      <c r="M9" s="77">
        <v>21455</v>
      </c>
      <c r="N9" s="76">
        <v>6140363.4500000002</v>
      </c>
      <c r="O9" s="75">
        <v>19532</v>
      </c>
      <c r="P9" s="74">
        <v>10126628.900000073</v>
      </c>
      <c r="Q9" s="74">
        <v>82324.370000000024</v>
      </c>
      <c r="R9" s="53">
        <f t="shared" si="2"/>
        <v>1885608.8</v>
      </c>
      <c r="S9" s="73">
        <v>41700580.519999988</v>
      </c>
    </row>
    <row r="10" spans="1:19" x14ac:dyDescent="0.25">
      <c r="A10" s="28"/>
      <c r="B10" s="45" t="str">
        <f t="shared" si="0"/>
        <v>Dec-2022</v>
      </c>
      <c r="C10" s="57">
        <v>44900</v>
      </c>
      <c r="D10" s="43">
        <f t="shared" si="1"/>
        <v>1212</v>
      </c>
      <c r="E10" s="76">
        <v>40945</v>
      </c>
      <c r="F10" s="50">
        <v>50960</v>
      </c>
      <c r="G10" s="49">
        <v>25238596</v>
      </c>
      <c r="H10" s="73">
        <v>50831</v>
      </c>
      <c r="I10" s="77">
        <v>50960</v>
      </c>
      <c r="J10" s="73">
        <v>27390139.270000082</v>
      </c>
      <c r="K10" s="52">
        <v>737</v>
      </c>
      <c r="L10" s="51">
        <v>172093.83999999997</v>
      </c>
      <c r="M10" s="77">
        <v>14647</v>
      </c>
      <c r="N10" s="76">
        <v>4497584.42</v>
      </c>
      <c r="O10" s="75">
        <v>13458</v>
      </c>
      <c r="P10" s="74">
        <v>6647124.1600001315</v>
      </c>
      <c r="Q10" s="74">
        <v>53911.680000000109</v>
      </c>
      <c r="R10" s="53">
        <f t="shared" si="2"/>
        <v>1261929.8</v>
      </c>
      <c r="S10" s="73">
        <v>27390136.880000003</v>
      </c>
    </row>
    <row r="11" spans="1:19" x14ac:dyDescent="0.25">
      <c r="A11" s="28"/>
      <c r="B11" s="45" t="str">
        <f t="shared" si="0"/>
        <v>Dec-2022</v>
      </c>
      <c r="C11" s="57">
        <v>44901</v>
      </c>
      <c r="D11" s="43">
        <f t="shared" si="1"/>
        <v>1211</v>
      </c>
      <c r="E11" s="76">
        <v>25708</v>
      </c>
      <c r="F11" s="50">
        <v>39130</v>
      </c>
      <c r="G11" s="49">
        <v>19353277</v>
      </c>
      <c r="H11" s="73">
        <v>39013</v>
      </c>
      <c r="I11" s="77">
        <v>39130</v>
      </c>
      <c r="J11" s="73">
        <v>20680131.869999941</v>
      </c>
      <c r="K11" s="52">
        <v>671</v>
      </c>
      <c r="L11" s="51">
        <v>169718.98</v>
      </c>
      <c r="M11" s="77">
        <v>11880</v>
      </c>
      <c r="N11" s="76">
        <v>3692254.63</v>
      </c>
      <c r="O11" s="75">
        <v>11015</v>
      </c>
      <c r="P11" s="74">
        <v>5018119.5299998326</v>
      </c>
      <c r="Q11" s="74">
        <v>43811.509999999987</v>
      </c>
      <c r="R11" s="53">
        <f t="shared" si="2"/>
        <v>967663.85000000009</v>
      </c>
      <c r="S11" s="73">
        <v>20680131.869999997</v>
      </c>
    </row>
    <row r="12" spans="1:19" x14ac:dyDescent="0.25">
      <c r="A12" s="28"/>
      <c r="B12" s="45" t="str">
        <f t="shared" si="0"/>
        <v>Dec-2022</v>
      </c>
      <c r="C12" s="57">
        <v>44902</v>
      </c>
      <c r="D12" s="43">
        <f t="shared" si="1"/>
        <v>1210</v>
      </c>
      <c r="E12" s="76">
        <v>35107</v>
      </c>
      <c r="F12" s="50">
        <v>36159</v>
      </c>
      <c r="G12" s="49">
        <v>17851797</v>
      </c>
      <c r="H12" s="73">
        <v>36050</v>
      </c>
      <c r="I12" s="77">
        <v>36159</v>
      </c>
      <c r="J12" s="73">
        <v>18512342.049999982</v>
      </c>
      <c r="K12" s="52">
        <v>559</v>
      </c>
      <c r="L12" s="51">
        <v>147500.11999999997</v>
      </c>
      <c r="M12" s="77">
        <v>12366</v>
      </c>
      <c r="N12" s="76">
        <v>3849632.62</v>
      </c>
      <c r="O12" s="75">
        <v>11382</v>
      </c>
      <c r="P12" s="74">
        <v>4508140.8199999472</v>
      </c>
      <c r="Q12" s="74">
        <v>58329.65</v>
      </c>
      <c r="R12" s="53">
        <f t="shared" si="2"/>
        <v>892589.85000000009</v>
      </c>
      <c r="S12" s="73">
        <v>18512341.909999996</v>
      </c>
    </row>
    <row r="13" spans="1:19" x14ac:dyDescent="0.25">
      <c r="A13" s="28"/>
      <c r="B13" s="45" t="str">
        <f t="shared" si="0"/>
        <v>Dec-2022</v>
      </c>
      <c r="C13" s="57">
        <v>44903</v>
      </c>
      <c r="D13" s="43">
        <f t="shared" si="1"/>
        <v>1209</v>
      </c>
      <c r="E13" s="76">
        <v>24770</v>
      </c>
      <c r="F13" s="50">
        <v>29956</v>
      </c>
      <c r="G13" s="49">
        <v>14789723</v>
      </c>
      <c r="H13" s="73">
        <v>29875</v>
      </c>
      <c r="I13" s="77">
        <v>29956</v>
      </c>
      <c r="J13" s="73">
        <v>15427422.530000022</v>
      </c>
      <c r="K13" s="52">
        <v>517</v>
      </c>
      <c r="L13" s="51">
        <v>126245.29999999999</v>
      </c>
      <c r="M13" s="77">
        <v>9988</v>
      </c>
      <c r="N13" s="76">
        <v>3118185.34</v>
      </c>
      <c r="O13" s="75">
        <v>9186</v>
      </c>
      <c r="P13" s="74">
        <v>3754732.1499999538</v>
      </c>
      <c r="Q13" s="74">
        <v>48131.139999999985</v>
      </c>
      <c r="R13" s="53">
        <f t="shared" si="2"/>
        <v>739486.15</v>
      </c>
      <c r="S13" s="73">
        <v>15427422.529999997</v>
      </c>
    </row>
    <row r="14" spans="1:19" x14ac:dyDescent="0.25">
      <c r="A14" s="28"/>
      <c r="B14" s="45" t="str">
        <f t="shared" si="0"/>
        <v>Dec-2022</v>
      </c>
      <c r="C14" s="57">
        <v>44904</v>
      </c>
      <c r="D14" s="43">
        <f t="shared" si="1"/>
        <v>1208</v>
      </c>
      <c r="E14" s="76">
        <v>25510</v>
      </c>
      <c r="F14" s="50">
        <v>29702</v>
      </c>
      <c r="G14" s="49">
        <v>14634452</v>
      </c>
      <c r="H14" s="73">
        <v>29636</v>
      </c>
      <c r="I14" s="77">
        <v>29702</v>
      </c>
      <c r="J14" s="73">
        <v>15364256.199999994</v>
      </c>
      <c r="K14" s="52">
        <v>507</v>
      </c>
      <c r="L14" s="51">
        <v>117670.47999999998</v>
      </c>
      <c r="M14" s="77">
        <v>9635</v>
      </c>
      <c r="N14" s="76">
        <v>3006339.77</v>
      </c>
      <c r="O14" s="75">
        <v>8850</v>
      </c>
      <c r="P14" s="74">
        <v>3735020.7599999993</v>
      </c>
      <c r="Q14" s="74">
        <v>47187.299999999959</v>
      </c>
      <c r="R14" s="53">
        <f t="shared" si="2"/>
        <v>731722.60000000009</v>
      </c>
      <c r="S14" s="73">
        <v>15364256.199999997</v>
      </c>
    </row>
    <row r="15" spans="1:19" x14ac:dyDescent="0.25">
      <c r="A15" s="28"/>
      <c r="B15" s="45" t="str">
        <f t="shared" si="0"/>
        <v>Dec-2022</v>
      </c>
      <c r="C15" s="57">
        <v>44905</v>
      </c>
      <c r="D15" s="43">
        <f t="shared" si="1"/>
        <v>1207</v>
      </c>
      <c r="E15" s="76">
        <v>11533</v>
      </c>
      <c r="F15" s="50">
        <v>18591</v>
      </c>
      <c r="G15" s="49">
        <v>9160537</v>
      </c>
      <c r="H15" s="73">
        <v>18532</v>
      </c>
      <c r="I15" s="77">
        <v>18591</v>
      </c>
      <c r="J15" s="73">
        <v>9406369.30999998</v>
      </c>
      <c r="K15" s="52">
        <v>353</v>
      </c>
      <c r="L15" s="51">
        <v>89323.060000000027</v>
      </c>
      <c r="M15" s="77">
        <v>6551</v>
      </c>
      <c r="N15" s="76">
        <v>2041829.49</v>
      </c>
      <c r="O15" s="75">
        <v>6023</v>
      </c>
      <c r="P15" s="74">
        <v>2286735.2399999988</v>
      </c>
      <c r="Q15" s="74">
        <v>30153.349999999969</v>
      </c>
      <c r="R15" s="53">
        <f t="shared" si="2"/>
        <v>458026.85000000003</v>
      </c>
      <c r="S15" s="73">
        <v>9406369.3099999987</v>
      </c>
    </row>
    <row r="16" spans="1:19" x14ac:dyDescent="0.25">
      <c r="A16" s="28"/>
      <c r="B16" s="45" t="str">
        <f t="shared" si="0"/>
        <v>Dec-2022</v>
      </c>
      <c r="C16" s="57">
        <v>44906</v>
      </c>
      <c r="D16" s="43">
        <f t="shared" si="1"/>
        <v>1206</v>
      </c>
      <c r="E16" s="76">
        <v>8994</v>
      </c>
      <c r="F16" s="50">
        <v>14980</v>
      </c>
      <c r="G16" s="49">
        <v>7374920</v>
      </c>
      <c r="H16" s="73">
        <v>14939</v>
      </c>
      <c r="I16" s="77">
        <v>14980</v>
      </c>
      <c r="J16" s="73">
        <v>7527236.8800000008</v>
      </c>
      <c r="K16" s="52">
        <v>313</v>
      </c>
      <c r="L16" s="51">
        <v>73763.120000000024</v>
      </c>
      <c r="M16" s="77">
        <v>5402</v>
      </c>
      <c r="N16" s="76">
        <v>1676812.25</v>
      </c>
      <c r="O16" s="75">
        <v>4985</v>
      </c>
      <c r="P16" s="74">
        <v>1828582.019999986</v>
      </c>
      <c r="Q16" s="74">
        <v>23637.909999999989</v>
      </c>
      <c r="R16" s="53">
        <f t="shared" si="2"/>
        <v>368746</v>
      </c>
      <c r="S16" s="73">
        <v>7527236.879999999</v>
      </c>
    </row>
    <row r="17" spans="1:19" x14ac:dyDescent="0.25">
      <c r="A17" s="28"/>
      <c r="B17" s="45" t="str">
        <f t="shared" si="0"/>
        <v>Dec-2022</v>
      </c>
      <c r="C17" s="57">
        <v>44907</v>
      </c>
      <c r="D17" s="43">
        <f t="shared" si="1"/>
        <v>1205</v>
      </c>
      <c r="E17" s="76">
        <v>8665</v>
      </c>
      <c r="F17" s="50">
        <v>14013</v>
      </c>
      <c r="G17" s="49">
        <v>6907648</v>
      </c>
      <c r="H17" s="73">
        <v>13975</v>
      </c>
      <c r="I17" s="77">
        <v>14013</v>
      </c>
      <c r="J17" s="73">
        <v>6917420.0200000033</v>
      </c>
      <c r="K17" s="52">
        <v>270</v>
      </c>
      <c r="L17" s="51">
        <v>67404.210000000021</v>
      </c>
      <c r="M17" s="77">
        <v>5145</v>
      </c>
      <c r="N17" s="76">
        <v>1671876.09</v>
      </c>
      <c r="O17" s="75">
        <v>4778</v>
      </c>
      <c r="P17" s="74">
        <v>1680866.5300000107</v>
      </c>
      <c r="Q17" s="74">
        <v>23661.529999999992</v>
      </c>
      <c r="R17" s="53">
        <f t="shared" si="2"/>
        <v>345382.40000000002</v>
      </c>
      <c r="S17" s="73">
        <v>6917420.0200000014</v>
      </c>
    </row>
    <row r="18" spans="1:19" x14ac:dyDescent="0.25">
      <c r="A18" s="28"/>
      <c r="B18" s="45" t="str">
        <f t="shared" si="0"/>
        <v>Dec-2022</v>
      </c>
      <c r="C18" s="57">
        <v>44908</v>
      </c>
      <c r="D18" s="43">
        <f t="shared" si="1"/>
        <v>1204</v>
      </c>
      <c r="E18" s="76">
        <v>8826</v>
      </c>
      <c r="F18" s="50">
        <v>14430</v>
      </c>
      <c r="G18" s="49">
        <v>7118001</v>
      </c>
      <c r="H18" s="73">
        <v>14383</v>
      </c>
      <c r="I18" s="77">
        <v>14430</v>
      </c>
      <c r="J18" s="73">
        <v>7068394.2000000039</v>
      </c>
      <c r="K18" s="52">
        <v>290</v>
      </c>
      <c r="L18" s="51">
        <v>70981.130000000019</v>
      </c>
      <c r="M18" s="77">
        <v>5371</v>
      </c>
      <c r="N18" s="76">
        <v>1769487.5</v>
      </c>
      <c r="O18" s="75">
        <v>4986</v>
      </c>
      <c r="P18" s="74">
        <v>1719205.419999992</v>
      </c>
      <c r="Q18" s="74">
        <v>27208.060000000023</v>
      </c>
      <c r="R18" s="53">
        <f t="shared" si="2"/>
        <v>355900.05000000005</v>
      </c>
      <c r="S18" s="73">
        <v>7068394.2000000002</v>
      </c>
    </row>
    <row r="19" spans="1:19" x14ac:dyDescent="0.25">
      <c r="A19" s="28"/>
      <c r="B19" s="45" t="str">
        <f t="shared" si="0"/>
        <v>Dec-2022</v>
      </c>
      <c r="C19" s="57">
        <v>44909</v>
      </c>
      <c r="D19" s="43">
        <f t="shared" si="1"/>
        <v>1203</v>
      </c>
      <c r="E19" s="76">
        <v>6000</v>
      </c>
      <c r="F19" s="50">
        <v>11161</v>
      </c>
      <c r="G19" s="49">
        <v>5507823</v>
      </c>
      <c r="H19" s="73">
        <v>11128</v>
      </c>
      <c r="I19" s="77">
        <v>11161</v>
      </c>
      <c r="J19" s="73">
        <v>5360561.6199999927</v>
      </c>
      <c r="K19" s="52">
        <v>165</v>
      </c>
      <c r="L19" s="51">
        <v>41183.930000000015</v>
      </c>
      <c r="M19" s="77">
        <v>4331</v>
      </c>
      <c r="N19" s="76">
        <v>1451724.25</v>
      </c>
      <c r="O19" s="75">
        <v>3993</v>
      </c>
      <c r="P19" s="74">
        <v>1303965.8000000101</v>
      </c>
      <c r="Q19" s="74">
        <v>21007.23000000001</v>
      </c>
      <c r="R19" s="53">
        <f t="shared" si="2"/>
        <v>275391.15000000002</v>
      </c>
      <c r="S19" s="73">
        <v>5360561.6199999992</v>
      </c>
    </row>
    <row r="20" spans="1:19" x14ac:dyDescent="0.25">
      <c r="A20" s="28"/>
      <c r="B20" s="45" t="str">
        <f t="shared" si="0"/>
        <v>Dec-2022</v>
      </c>
      <c r="C20" s="57">
        <v>44910</v>
      </c>
      <c r="D20" s="43">
        <f t="shared" si="1"/>
        <v>1202</v>
      </c>
      <c r="E20" s="76">
        <v>5932</v>
      </c>
      <c r="F20" s="50">
        <v>12358</v>
      </c>
      <c r="G20" s="49">
        <v>6095476</v>
      </c>
      <c r="H20" s="73">
        <v>12308</v>
      </c>
      <c r="I20" s="77">
        <v>12358</v>
      </c>
      <c r="J20" s="73">
        <v>5684382.3999999948</v>
      </c>
      <c r="K20" s="52">
        <v>328</v>
      </c>
      <c r="L20" s="51">
        <v>82602.320000000022</v>
      </c>
      <c r="M20" s="77">
        <v>5712</v>
      </c>
      <c r="N20" s="76">
        <v>1797017.47</v>
      </c>
      <c r="O20" s="75">
        <v>5198</v>
      </c>
      <c r="P20" s="74">
        <v>1384710.8999999813</v>
      </c>
      <c r="Q20" s="74">
        <v>25914.150000000038</v>
      </c>
      <c r="R20" s="53">
        <f t="shared" si="2"/>
        <v>304773.8</v>
      </c>
      <c r="S20" s="73">
        <v>5684382.4000000022</v>
      </c>
    </row>
    <row r="21" spans="1:19" x14ac:dyDescent="0.25">
      <c r="A21" s="28"/>
      <c r="B21" s="45" t="str">
        <f t="shared" si="0"/>
        <v>Dec-2022</v>
      </c>
      <c r="C21" s="57">
        <v>44911</v>
      </c>
      <c r="D21" s="43">
        <f t="shared" si="1"/>
        <v>1201</v>
      </c>
      <c r="E21" s="76">
        <v>5032</v>
      </c>
      <c r="F21" s="50">
        <v>11024</v>
      </c>
      <c r="G21" s="49">
        <v>5437148</v>
      </c>
      <c r="H21" s="73">
        <v>10977</v>
      </c>
      <c r="I21" s="77">
        <v>11024</v>
      </c>
      <c r="J21" s="73">
        <v>5078969.0699999984</v>
      </c>
      <c r="K21" s="52">
        <v>278</v>
      </c>
      <c r="L21" s="51">
        <v>72744.790000000023</v>
      </c>
      <c r="M21" s="77">
        <v>4855</v>
      </c>
      <c r="N21" s="76">
        <v>1592919.03</v>
      </c>
      <c r="O21" s="75">
        <v>4484</v>
      </c>
      <c r="P21" s="74">
        <v>1233705.6600000127</v>
      </c>
      <c r="Q21" s="74">
        <v>20353.819999999971</v>
      </c>
      <c r="R21" s="53">
        <f t="shared" si="2"/>
        <v>271857.40000000002</v>
      </c>
      <c r="S21" s="73">
        <v>5078966.7600000026</v>
      </c>
    </row>
    <row r="22" spans="1:19" x14ac:dyDescent="0.25">
      <c r="A22" s="28"/>
      <c r="B22" s="45" t="str">
        <f t="shared" si="0"/>
        <v>Dec-2022</v>
      </c>
      <c r="C22" s="57">
        <v>44912</v>
      </c>
      <c r="D22" s="43">
        <f t="shared" si="1"/>
        <v>1200</v>
      </c>
      <c r="E22" s="76">
        <v>4327</v>
      </c>
      <c r="F22" s="50">
        <v>10025</v>
      </c>
      <c r="G22" s="49">
        <v>4938263</v>
      </c>
      <c r="H22" s="73">
        <v>9983</v>
      </c>
      <c r="I22" s="77">
        <v>10025</v>
      </c>
      <c r="J22" s="73">
        <v>4539664.9099999983</v>
      </c>
      <c r="K22" s="52">
        <v>207</v>
      </c>
      <c r="L22" s="51">
        <v>55927.680000000029</v>
      </c>
      <c r="M22" s="77">
        <v>4523</v>
      </c>
      <c r="N22" s="76">
        <v>1504641.74</v>
      </c>
      <c r="O22" s="75">
        <v>4210</v>
      </c>
      <c r="P22" s="74">
        <v>1105866.9600000053</v>
      </c>
      <c r="Q22" s="74">
        <v>22184.590000000026</v>
      </c>
      <c r="R22" s="53">
        <f t="shared" si="2"/>
        <v>246913.15000000002</v>
      </c>
      <c r="S22" s="73">
        <v>4539664.91</v>
      </c>
    </row>
    <row r="23" spans="1:19" x14ac:dyDescent="0.25">
      <c r="A23" s="28"/>
      <c r="B23" s="45" t="str">
        <f t="shared" si="0"/>
        <v>Dec-2022</v>
      </c>
      <c r="C23" s="57">
        <v>44913</v>
      </c>
      <c r="D23" s="43">
        <f t="shared" si="1"/>
        <v>1199</v>
      </c>
      <c r="E23" s="76">
        <v>3977</v>
      </c>
      <c r="F23" s="50">
        <v>5033</v>
      </c>
      <c r="G23" s="49">
        <v>2456927</v>
      </c>
      <c r="H23" s="73">
        <v>5027</v>
      </c>
      <c r="I23" s="77">
        <v>5033</v>
      </c>
      <c r="J23" s="73">
        <v>2273901.7899999996</v>
      </c>
      <c r="K23" s="52">
        <v>104</v>
      </c>
      <c r="L23" s="51">
        <v>7291.46</v>
      </c>
      <c r="M23" s="77">
        <v>2496</v>
      </c>
      <c r="N23" s="76">
        <v>738821.99</v>
      </c>
      <c r="O23" s="75">
        <v>2310</v>
      </c>
      <c r="P23" s="74">
        <v>555548.49000000325</v>
      </c>
      <c r="Q23" s="74">
        <v>13050.930000000008</v>
      </c>
      <c r="R23" s="53">
        <f t="shared" si="2"/>
        <v>122846.35</v>
      </c>
      <c r="S23" s="73">
        <v>2273901.7899999996</v>
      </c>
    </row>
    <row r="24" spans="1:19" x14ac:dyDescent="0.25">
      <c r="A24" s="28"/>
      <c r="B24" s="45" t="str">
        <f t="shared" si="0"/>
        <v>Dec-2022</v>
      </c>
      <c r="C24" s="57">
        <v>44914</v>
      </c>
      <c r="D24" s="43">
        <f t="shared" si="1"/>
        <v>1198</v>
      </c>
      <c r="E24" s="76">
        <v>4184</v>
      </c>
      <c r="F24" s="50">
        <v>9047</v>
      </c>
      <c r="G24" s="49">
        <v>4465422</v>
      </c>
      <c r="H24" s="73">
        <v>9030</v>
      </c>
      <c r="I24" s="77">
        <v>9047</v>
      </c>
      <c r="J24" s="73">
        <v>4333230.82</v>
      </c>
      <c r="K24" s="52">
        <v>178</v>
      </c>
      <c r="L24" s="51">
        <v>38908.950000000019</v>
      </c>
      <c r="M24" s="77">
        <v>3710</v>
      </c>
      <c r="N24" s="76">
        <v>1183947.3600000001</v>
      </c>
      <c r="O24" s="75">
        <v>3409</v>
      </c>
      <c r="P24" s="74">
        <v>1051143.5099999979</v>
      </c>
      <c r="Q24" s="74">
        <v>17709.790000000012</v>
      </c>
      <c r="R24" s="53">
        <f t="shared" si="2"/>
        <v>223271.1</v>
      </c>
      <c r="S24" s="73">
        <v>4333230.8199999994</v>
      </c>
    </row>
    <row r="25" spans="1:19" x14ac:dyDescent="0.25">
      <c r="A25" s="28"/>
      <c r="B25" s="45" t="str">
        <f t="shared" si="0"/>
        <v>Dec-2022</v>
      </c>
      <c r="C25" s="57">
        <v>44915</v>
      </c>
      <c r="D25" s="43">
        <f t="shared" si="1"/>
        <v>1197</v>
      </c>
      <c r="E25" s="76">
        <v>3909</v>
      </c>
      <c r="F25" s="50">
        <v>8823</v>
      </c>
      <c r="G25" s="49">
        <v>4345054</v>
      </c>
      <c r="H25" s="73">
        <v>8798</v>
      </c>
      <c r="I25" s="77">
        <v>8823</v>
      </c>
      <c r="J25" s="73">
        <v>4084359.8200000022</v>
      </c>
      <c r="K25" s="52">
        <v>164</v>
      </c>
      <c r="L25" s="51">
        <v>35392.940000000017</v>
      </c>
      <c r="M25" s="77">
        <v>3939</v>
      </c>
      <c r="N25" s="76">
        <v>1253636.99</v>
      </c>
      <c r="O25" s="75">
        <v>3650</v>
      </c>
      <c r="P25" s="74">
        <v>992566.16999999678</v>
      </c>
      <c r="Q25" s="74">
        <v>19545.23000000001</v>
      </c>
      <c r="R25" s="53">
        <f t="shared" si="2"/>
        <v>217252.7</v>
      </c>
      <c r="S25" s="73">
        <v>4084359.8199999994</v>
      </c>
    </row>
    <row r="26" spans="1:19" x14ac:dyDescent="0.25">
      <c r="A26" s="28"/>
      <c r="B26" s="45" t="str">
        <f t="shared" si="0"/>
        <v>Dec-2022</v>
      </c>
      <c r="C26" s="57">
        <v>44916</v>
      </c>
      <c r="D26" s="43">
        <f t="shared" si="1"/>
        <v>1196</v>
      </c>
      <c r="E26" s="76">
        <v>3509</v>
      </c>
      <c r="F26" s="50">
        <v>7960</v>
      </c>
      <c r="G26" s="49">
        <v>3908454</v>
      </c>
      <c r="H26" s="73">
        <v>7927</v>
      </c>
      <c r="I26" s="77">
        <v>7960</v>
      </c>
      <c r="J26" s="73">
        <v>3671128.9299999974</v>
      </c>
      <c r="K26" s="52">
        <v>165</v>
      </c>
      <c r="L26" s="51">
        <v>42134.120000000017</v>
      </c>
      <c r="M26" s="77">
        <v>3418</v>
      </c>
      <c r="N26" s="76">
        <v>1129846.68</v>
      </c>
      <c r="O26" s="75">
        <v>3150</v>
      </c>
      <c r="P26" s="74">
        <v>892255.38999999862</v>
      </c>
      <c r="Q26" s="74">
        <v>17950.590000000004</v>
      </c>
      <c r="R26" s="53">
        <f t="shared" si="2"/>
        <v>195422.7</v>
      </c>
      <c r="S26" s="73">
        <v>3671128.9299999997</v>
      </c>
    </row>
    <row r="27" spans="1:19" x14ac:dyDescent="0.25">
      <c r="A27" s="28"/>
      <c r="B27" s="45" t="str">
        <f t="shared" si="0"/>
        <v>Dec-2022</v>
      </c>
      <c r="C27" s="57">
        <v>44917</v>
      </c>
      <c r="D27" s="43">
        <f t="shared" si="1"/>
        <v>1195</v>
      </c>
      <c r="E27" s="76">
        <v>3113</v>
      </c>
      <c r="F27" s="50">
        <v>6919</v>
      </c>
      <c r="G27" s="49">
        <v>3400958</v>
      </c>
      <c r="H27" s="73">
        <v>6875</v>
      </c>
      <c r="I27" s="77">
        <v>6919</v>
      </c>
      <c r="J27" s="73">
        <v>3173271.8900000011</v>
      </c>
      <c r="K27" s="52">
        <v>153</v>
      </c>
      <c r="L27" s="51">
        <v>43437.10000000002</v>
      </c>
      <c r="M27" s="77">
        <v>3100</v>
      </c>
      <c r="N27" s="76">
        <v>997810.12</v>
      </c>
      <c r="O27" s="75">
        <v>2848</v>
      </c>
      <c r="P27" s="74">
        <v>769570.35999999731</v>
      </c>
      <c r="Q27" s="74">
        <v>14479.760000000011</v>
      </c>
      <c r="R27" s="53">
        <f t="shared" si="2"/>
        <v>170047.90000000002</v>
      </c>
      <c r="S27" s="73">
        <v>3173271.560000001</v>
      </c>
    </row>
    <row r="28" spans="1:19" x14ac:dyDescent="0.25">
      <c r="A28" s="28"/>
      <c r="B28" s="45" t="str">
        <f t="shared" si="0"/>
        <v>Dec-2022</v>
      </c>
      <c r="C28" s="57">
        <v>44918</v>
      </c>
      <c r="D28" s="43">
        <f t="shared" si="1"/>
        <v>1194</v>
      </c>
      <c r="E28" s="76">
        <v>2907</v>
      </c>
      <c r="F28" s="50">
        <v>6610</v>
      </c>
      <c r="G28" s="49">
        <v>3251814</v>
      </c>
      <c r="H28" s="73">
        <v>6583</v>
      </c>
      <c r="I28" s="77">
        <v>6610</v>
      </c>
      <c r="J28" s="73">
        <v>2981193.9200000009</v>
      </c>
      <c r="K28" s="52">
        <v>123</v>
      </c>
      <c r="L28" s="51">
        <v>34857.260000000017</v>
      </c>
      <c r="M28" s="77">
        <v>3036</v>
      </c>
      <c r="N28" s="76">
        <v>996087.79</v>
      </c>
      <c r="O28" s="75">
        <v>2815</v>
      </c>
      <c r="P28" s="74">
        <v>724821.21000000148</v>
      </c>
      <c r="Q28" s="74">
        <v>15856.850000000006</v>
      </c>
      <c r="R28" s="53">
        <f t="shared" si="2"/>
        <v>162590.70000000001</v>
      </c>
      <c r="S28" s="73">
        <v>2981193.8800000004</v>
      </c>
    </row>
    <row r="29" spans="1:19" x14ac:dyDescent="0.25">
      <c r="A29" s="28"/>
      <c r="B29" s="45" t="str">
        <f t="shared" si="0"/>
        <v>Dec-2022</v>
      </c>
      <c r="C29" s="57">
        <v>44919</v>
      </c>
      <c r="D29" s="43">
        <f t="shared" si="1"/>
        <v>1193</v>
      </c>
      <c r="E29" s="76">
        <v>2651</v>
      </c>
      <c r="F29" s="50">
        <v>6735</v>
      </c>
      <c r="G29" s="49">
        <v>3328773</v>
      </c>
      <c r="H29" s="73">
        <v>6708</v>
      </c>
      <c r="I29" s="77">
        <v>6735</v>
      </c>
      <c r="J29" s="73">
        <v>3038808.1700000009</v>
      </c>
      <c r="K29" s="52">
        <v>112</v>
      </c>
      <c r="L29" s="51">
        <v>30472.300000000017</v>
      </c>
      <c r="M29" s="77">
        <v>3168</v>
      </c>
      <c r="N29" s="76">
        <v>1026880.19</v>
      </c>
      <c r="O29" s="75">
        <v>2940</v>
      </c>
      <c r="P29" s="74">
        <v>736429.26999999874</v>
      </c>
      <c r="Q29" s="74">
        <v>14644.850000000019</v>
      </c>
      <c r="R29" s="53">
        <f t="shared" si="2"/>
        <v>166438.65000000002</v>
      </c>
      <c r="S29" s="73">
        <v>3038808.17</v>
      </c>
    </row>
    <row r="30" spans="1:19" x14ac:dyDescent="0.25">
      <c r="A30" s="28"/>
      <c r="B30" s="45" t="str">
        <f t="shared" si="0"/>
        <v>Dec-2022</v>
      </c>
      <c r="C30" s="57">
        <v>44920</v>
      </c>
      <c r="D30" s="43">
        <f t="shared" si="1"/>
        <v>1192</v>
      </c>
      <c r="E30" s="76">
        <v>1959</v>
      </c>
      <c r="F30" s="50">
        <v>4612</v>
      </c>
      <c r="G30" s="49">
        <v>2272123</v>
      </c>
      <c r="H30" s="73">
        <v>4587</v>
      </c>
      <c r="I30" s="77">
        <v>4612</v>
      </c>
      <c r="J30" s="73">
        <v>2105229.1599999992</v>
      </c>
      <c r="K30" s="52">
        <v>94</v>
      </c>
      <c r="L30" s="51">
        <v>28150.490000000009</v>
      </c>
      <c r="M30" s="77">
        <v>2100</v>
      </c>
      <c r="N30" s="76">
        <v>679148.84</v>
      </c>
      <c r="O30" s="75">
        <v>1937</v>
      </c>
      <c r="P30" s="74">
        <v>511474.7400000022</v>
      </c>
      <c r="Q30" s="74">
        <v>11325.810000000016</v>
      </c>
      <c r="R30" s="53">
        <f t="shared" si="2"/>
        <v>113606.15000000001</v>
      </c>
      <c r="S30" s="73">
        <v>2105229.1599999997</v>
      </c>
    </row>
    <row r="31" spans="1:19" x14ac:dyDescent="0.25">
      <c r="A31" s="28"/>
      <c r="B31" s="45" t="str">
        <f t="shared" si="0"/>
        <v>Dec-2022</v>
      </c>
      <c r="C31" s="57">
        <v>44921</v>
      </c>
      <c r="D31" s="43">
        <f t="shared" si="1"/>
        <v>1191</v>
      </c>
      <c r="E31" s="76">
        <v>2011</v>
      </c>
      <c r="F31" s="50">
        <v>4661</v>
      </c>
      <c r="G31" s="49">
        <v>2297659</v>
      </c>
      <c r="H31" s="73">
        <v>4651</v>
      </c>
      <c r="I31" s="77">
        <v>4661</v>
      </c>
      <c r="J31" s="73">
        <v>2079101.86</v>
      </c>
      <c r="K31" s="52">
        <v>72</v>
      </c>
      <c r="L31" s="51">
        <v>17634.27</v>
      </c>
      <c r="M31" s="77">
        <v>2146</v>
      </c>
      <c r="N31" s="76">
        <v>724249.44</v>
      </c>
      <c r="O31" s="75">
        <v>1987</v>
      </c>
      <c r="P31" s="74">
        <v>505554.30000000092</v>
      </c>
      <c r="Q31" s="74">
        <v>12269.700000000004</v>
      </c>
      <c r="R31" s="53">
        <f t="shared" si="2"/>
        <v>114882.95000000001</v>
      </c>
      <c r="S31" s="73">
        <v>2079101.8600000003</v>
      </c>
    </row>
    <row r="32" spans="1:19" x14ac:dyDescent="0.25">
      <c r="A32" s="28"/>
      <c r="B32" s="45" t="str">
        <f t="shared" si="0"/>
        <v>Dec-2022</v>
      </c>
      <c r="C32" s="57">
        <v>44922</v>
      </c>
      <c r="D32" s="43">
        <f t="shared" si="1"/>
        <v>1190</v>
      </c>
      <c r="E32" s="76">
        <v>2170</v>
      </c>
      <c r="F32" s="50">
        <v>4714</v>
      </c>
      <c r="G32" s="49">
        <v>2323876</v>
      </c>
      <c r="H32" s="73">
        <v>4705</v>
      </c>
      <c r="I32" s="77">
        <v>4714</v>
      </c>
      <c r="J32" s="73">
        <v>2121030.3900000006</v>
      </c>
      <c r="K32" s="52">
        <v>99</v>
      </c>
      <c r="L32" s="51">
        <v>21573.05</v>
      </c>
      <c r="M32" s="77">
        <v>2243</v>
      </c>
      <c r="N32" s="76">
        <v>717484.38</v>
      </c>
      <c r="O32" s="75">
        <v>2063</v>
      </c>
      <c r="P32" s="74">
        <v>514264.72000000079</v>
      </c>
      <c r="Q32" s="74">
        <v>11282.119999999977</v>
      </c>
      <c r="R32" s="53">
        <f t="shared" si="2"/>
        <v>116193.8</v>
      </c>
      <c r="S32" s="73">
        <v>2121030.3900000006</v>
      </c>
    </row>
    <row r="33" spans="1:19" x14ac:dyDescent="0.25">
      <c r="A33" s="28"/>
      <c r="B33" s="45" t="str">
        <f t="shared" si="0"/>
        <v>Dec-2022</v>
      </c>
      <c r="C33" s="57">
        <v>44923</v>
      </c>
      <c r="D33" s="43">
        <f t="shared" si="1"/>
        <v>1189</v>
      </c>
      <c r="E33" s="76">
        <v>2296</v>
      </c>
      <c r="F33" s="50">
        <v>5162</v>
      </c>
      <c r="G33" s="49">
        <v>2539611</v>
      </c>
      <c r="H33" s="73">
        <v>5153</v>
      </c>
      <c r="I33" s="77">
        <v>5162</v>
      </c>
      <c r="J33" s="73">
        <v>2332969.6700000009</v>
      </c>
      <c r="K33" s="52">
        <v>75</v>
      </c>
      <c r="L33" s="51">
        <v>15438.850000000002</v>
      </c>
      <c r="M33" s="77">
        <v>2362</v>
      </c>
      <c r="N33" s="76">
        <v>771776.61</v>
      </c>
      <c r="O33" s="75">
        <v>2169</v>
      </c>
      <c r="P33" s="74">
        <v>564780.07999999775</v>
      </c>
      <c r="Q33" s="74">
        <v>11779.129999999994</v>
      </c>
      <c r="R33" s="53">
        <f t="shared" si="2"/>
        <v>126980.55</v>
      </c>
      <c r="S33" s="73">
        <v>2332969.6700000004</v>
      </c>
    </row>
    <row r="34" spans="1:19" x14ac:dyDescent="0.25">
      <c r="A34" s="28"/>
      <c r="B34" s="45" t="str">
        <f t="shared" si="0"/>
        <v>Dec-2022</v>
      </c>
      <c r="C34" s="57">
        <v>44924</v>
      </c>
      <c r="D34" s="43">
        <f t="shared" si="1"/>
        <v>1188</v>
      </c>
      <c r="E34" s="76">
        <v>2134</v>
      </c>
      <c r="F34" s="50">
        <v>4955</v>
      </c>
      <c r="G34" s="49">
        <v>2439097</v>
      </c>
      <c r="H34" s="73">
        <v>4940</v>
      </c>
      <c r="I34" s="77">
        <v>4955</v>
      </c>
      <c r="J34" s="73">
        <v>2199831.4</v>
      </c>
      <c r="K34" s="52">
        <v>92</v>
      </c>
      <c r="L34" s="51">
        <v>24377.270000000008</v>
      </c>
      <c r="M34" s="77">
        <v>2417</v>
      </c>
      <c r="N34" s="76">
        <v>772462.21</v>
      </c>
      <c r="O34" s="75">
        <v>2230</v>
      </c>
      <c r="P34" s="74">
        <v>532532.4799999987</v>
      </c>
      <c r="Q34" s="74">
        <v>11533.799999999997</v>
      </c>
      <c r="R34" s="53">
        <f t="shared" si="2"/>
        <v>121954.85</v>
      </c>
      <c r="S34" s="73">
        <v>2199831.4000000004</v>
      </c>
    </row>
    <row r="35" spans="1:19" x14ac:dyDescent="0.25">
      <c r="A35" s="28"/>
      <c r="B35" s="45" t="str">
        <f t="shared" si="0"/>
        <v>Dec-2022</v>
      </c>
      <c r="C35" s="57">
        <v>44925</v>
      </c>
      <c r="D35" s="43">
        <f t="shared" si="1"/>
        <v>1187</v>
      </c>
      <c r="E35" s="76">
        <v>2121</v>
      </c>
      <c r="F35" s="50">
        <v>4932</v>
      </c>
      <c r="G35" s="49">
        <v>2430256</v>
      </c>
      <c r="H35" s="73">
        <v>4919</v>
      </c>
      <c r="I35" s="77">
        <v>4932</v>
      </c>
      <c r="J35" s="73">
        <v>2210583.8199999998</v>
      </c>
      <c r="K35" s="52">
        <v>66</v>
      </c>
      <c r="L35" s="51">
        <v>14294.97</v>
      </c>
      <c r="M35" s="77">
        <v>2265</v>
      </c>
      <c r="N35" s="76">
        <v>756195.1</v>
      </c>
      <c r="O35" s="75">
        <v>2135</v>
      </c>
      <c r="P35" s="74">
        <v>535166.94999999716</v>
      </c>
      <c r="Q35" s="74">
        <v>11638.890000000021</v>
      </c>
      <c r="R35" s="53">
        <f t="shared" si="2"/>
        <v>121512.8</v>
      </c>
      <c r="S35" s="73">
        <v>2210583.8200000003</v>
      </c>
    </row>
    <row r="36" spans="1:19" x14ac:dyDescent="0.25">
      <c r="A36" s="28"/>
      <c r="B36" s="45" t="str">
        <f t="shared" si="0"/>
        <v>Dec-2022</v>
      </c>
      <c r="C36" s="57">
        <v>44926</v>
      </c>
      <c r="D36" s="43">
        <f t="shared" si="1"/>
        <v>1186</v>
      </c>
      <c r="E36" s="76">
        <v>2160</v>
      </c>
      <c r="F36" s="50">
        <v>5510</v>
      </c>
      <c r="G36" s="49">
        <v>2706087</v>
      </c>
      <c r="H36" s="73">
        <v>5498</v>
      </c>
      <c r="I36" s="77">
        <v>5510</v>
      </c>
      <c r="J36" s="73">
        <v>2448771.1399999997</v>
      </c>
      <c r="K36" s="52">
        <v>87</v>
      </c>
      <c r="L36" s="51">
        <v>19129.450000000004</v>
      </c>
      <c r="M36" s="77">
        <v>2604</v>
      </c>
      <c r="N36" s="76">
        <v>850008.04</v>
      </c>
      <c r="O36" s="75">
        <v>2411</v>
      </c>
      <c r="P36" s="74">
        <v>591843.36000000755</v>
      </c>
      <c r="Q36" s="74">
        <v>12670.140000000039</v>
      </c>
      <c r="R36" s="53">
        <f t="shared" si="2"/>
        <v>135304.35</v>
      </c>
      <c r="S36" s="73">
        <v>2448771.1399999997</v>
      </c>
    </row>
    <row r="37" spans="1:19" s="97" customFormat="1" x14ac:dyDescent="0.25">
      <c r="A37" s="84"/>
      <c r="B37" s="85"/>
      <c r="C37" s="86"/>
      <c r="D37" s="87"/>
      <c r="E37" s="88"/>
      <c r="F37" s="89"/>
      <c r="G37" s="83">
        <f>SUM(G6:G36)</f>
        <v>376449796</v>
      </c>
      <c r="H37" s="90"/>
      <c r="I37" s="91"/>
      <c r="J37" s="90"/>
      <c r="K37" s="92"/>
      <c r="L37" s="93"/>
      <c r="M37" s="91"/>
      <c r="N37" s="88"/>
      <c r="O37" s="94"/>
      <c r="P37" s="95"/>
      <c r="Q37" s="95"/>
      <c r="R37" s="96"/>
      <c r="S37" s="90"/>
    </row>
    <row r="38" spans="1:19" x14ac:dyDescent="0.25">
      <c r="A38" s="28"/>
      <c r="B38" s="45" t="str">
        <f t="shared" si="0"/>
        <v>Jan-2023</v>
      </c>
      <c r="C38" s="57">
        <v>44927</v>
      </c>
      <c r="D38" s="43">
        <f t="shared" si="1"/>
        <v>1185</v>
      </c>
      <c r="E38" s="76">
        <v>1536</v>
      </c>
      <c r="F38" s="50">
        <v>2871</v>
      </c>
      <c r="G38" s="49">
        <v>1413060</v>
      </c>
      <c r="H38" s="73">
        <v>2867</v>
      </c>
      <c r="I38" s="77">
        <v>2871</v>
      </c>
      <c r="J38" s="73">
        <v>1232212.8599999999</v>
      </c>
      <c r="K38" s="52">
        <v>28</v>
      </c>
      <c r="L38" s="51">
        <v>6371.56</v>
      </c>
      <c r="M38" s="77">
        <v>1566</v>
      </c>
      <c r="N38" s="76">
        <v>479971.52</v>
      </c>
      <c r="O38" s="75">
        <v>1444</v>
      </c>
      <c r="P38" s="74">
        <v>298221.29999999847</v>
      </c>
      <c r="Q38" s="74">
        <v>6803.009999999992</v>
      </c>
      <c r="R38" s="53">
        <f t="shared" si="2"/>
        <v>70653</v>
      </c>
      <c r="S38" s="73">
        <v>1232212.8599999999</v>
      </c>
    </row>
    <row r="39" spans="1:19" x14ac:dyDescent="0.25">
      <c r="A39" s="28"/>
      <c r="B39" s="45" t="str">
        <f t="shared" si="0"/>
        <v>Jan-2023</v>
      </c>
      <c r="C39" s="57">
        <v>44928</v>
      </c>
      <c r="D39" s="43">
        <f t="shared" si="1"/>
        <v>1184</v>
      </c>
      <c r="E39" s="76">
        <v>1216</v>
      </c>
      <c r="F39" s="50">
        <v>3328</v>
      </c>
      <c r="G39" s="49">
        <v>1638933</v>
      </c>
      <c r="H39" s="73">
        <v>3325</v>
      </c>
      <c r="I39" s="77">
        <v>3328</v>
      </c>
      <c r="J39" s="73">
        <v>1355527.1200000003</v>
      </c>
      <c r="K39" s="52">
        <v>52</v>
      </c>
      <c r="L39" s="51">
        <v>7832.9899999999989</v>
      </c>
      <c r="M39" s="77">
        <v>1866</v>
      </c>
      <c r="N39" s="76">
        <v>615440.06000000006</v>
      </c>
      <c r="O39" s="75">
        <v>1736</v>
      </c>
      <c r="P39" s="74">
        <v>328742.39999999909</v>
      </c>
      <c r="Q39" s="74">
        <v>8617.1100000000097</v>
      </c>
      <c r="R39" s="53">
        <f t="shared" si="2"/>
        <v>81946.650000000009</v>
      </c>
      <c r="S39" s="73">
        <v>1355527.12</v>
      </c>
    </row>
    <row r="40" spans="1:19" x14ac:dyDescent="0.25">
      <c r="A40" s="28"/>
      <c r="B40" s="45" t="str">
        <f t="shared" si="0"/>
        <v>Jan-2023</v>
      </c>
      <c r="C40" s="57">
        <v>44929</v>
      </c>
      <c r="D40" s="43">
        <f t="shared" si="1"/>
        <v>1183</v>
      </c>
      <c r="E40" s="76">
        <v>1985</v>
      </c>
      <c r="F40" s="50">
        <v>4967</v>
      </c>
      <c r="G40" s="49">
        <v>2441983</v>
      </c>
      <c r="H40" s="73">
        <v>4955</v>
      </c>
      <c r="I40" s="77">
        <v>4967</v>
      </c>
      <c r="J40" s="73">
        <v>2060083.38</v>
      </c>
      <c r="K40" s="52">
        <v>66</v>
      </c>
      <c r="L40" s="51">
        <v>14878.29</v>
      </c>
      <c r="M40" s="77">
        <v>2679</v>
      </c>
      <c r="N40" s="76">
        <v>884104.09</v>
      </c>
      <c r="O40" s="75">
        <v>2508</v>
      </c>
      <c r="P40" s="74">
        <v>499771.62999999803</v>
      </c>
      <c r="Q40" s="74">
        <v>13137.699999999999</v>
      </c>
      <c r="R40" s="53">
        <f t="shared" si="2"/>
        <v>122099.15000000001</v>
      </c>
      <c r="S40" s="73">
        <v>2060083.38</v>
      </c>
    </row>
    <row r="41" spans="1:19" x14ac:dyDescent="0.25">
      <c r="A41" s="28"/>
      <c r="B41" s="45" t="str">
        <f t="shared" si="0"/>
        <v>Jan-2023</v>
      </c>
      <c r="C41" s="57">
        <v>44930</v>
      </c>
      <c r="D41" s="43">
        <f t="shared" si="1"/>
        <v>1182</v>
      </c>
      <c r="E41" s="76">
        <v>1966</v>
      </c>
      <c r="F41" s="50">
        <v>4695</v>
      </c>
      <c r="G41" s="49">
        <v>2310657</v>
      </c>
      <c r="H41" s="73">
        <v>4685</v>
      </c>
      <c r="I41" s="77">
        <v>4695</v>
      </c>
      <c r="J41" s="73">
        <v>1930595.1199999996</v>
      </c>
      <c r="K41" s="52">
        <v>63</v>
      </c>
      <c r="L41" s="51">
        <v>17489.050000000003</v>
      </c>
      <c r="M41" s="77">
        <v>2469</v>
      </c>
      <c r="N41" s="76">
        <v>851851.23</v>
      </c>
      <c r="O41" s="75">
        <v>2307</v>
      </c>
      <c r="P41" s="74">
        <v>467650.3699999986</v>
      </c>
      <c r="Q41" s="74">
        <v>11857.340000000006</v>
      </c>
      <c r="R41" s="53">
        <f t="shared" si="2"/>
        <v>115532.85</v>
      </c>
      <c r="S41" s="73">
        <v>1930595.1199999996</v>
      </c>
    </row>
    <row r="42" spans="1:19" x14ac:dyDescent="0.25">
      <c r="A42" s="28"/>
      <c r="B42" s="45" t="str">
        <f t="shared" si="0"/>
        <v>Jan-2023</v>
      </c>
      <c r="C42" s="57">
        <v>44931</v>
      </c>
      <c r="D42" s="43">
        <f t="shared" si="1"/>
        <v>1181</v>
      </c>
      <c r="E42" s="76">
        <v>1860</v>
      </c>
      <c r="F42" s="50">
        <v>4612</v>
      </c>
      <c r="G42" s="49">
        <v>2269528</v>
      </c>
      <c r="H42" s="73">
        <v>4604</v>
      </c>
      <c r="I42" s="77">
        <v>4612</v>
      </c>
      <c r="J42" s="73">
        <v>1877613.3800000001</v>
      </c>
      <c r="K42" s="52">
        <v>73</v>
      </c>
      <c r="L42" s="51">
        <v>19572.18</v>
      </c>
      <c r="M42" s="77">
        <v>2400</v>
      </c>
      <c r="N42" s="76">
        <v>851558.02</v>
      </c>
      <c r="O42" s="75">
        <v>2282</v>
      </c>
      <c r="P42" s="74">
        <v>454655.35999999766</v>
      </c>
      <c r="Q42" s="74">
        <v>11853.950000000012</v>
      </c>
      <c r="R42" s="53">
        <f t="shared" si="2"/>
        <v>113476.40000000001</v>
      </c>
      <c r="S42" s="73">
        <v>1877613.3800000004</v>
      </c>
    </row>
    <row r="43" spans="1:19" x14ac:dyDescent="0.25">
      <c r="A43" s="28"/>
      <c r="B43" s="45" t="str">
        <f t="shared" si="0"/>
        <v>Jan-2023</v>
      </c>
      <c r="C43" s="57">
        <v>44932</v>
      </c>
      <c r="D43" s="43">
        <f t="shared" si="1"/>
        <v>1180</v>
      </c>
      <c r="E43" s="76">
        <v>1794</v>
      </c>
      <c r="F43" s="50">
        <v>4481</v>
      </c>
      <c r="G43" s="49">
        <v>2206549</v>
      </c>
      <c r="H43" s="73">
        <v>4474</v>
      </c>
      <c r="I43" s="77">
        <v>4481</v>
      </c>
      <c r="J43" s="73">
        <v>1805433.24</v>
      </c>
      <c r="K43" s="52">
        <v>66</v>
      </c>
      <c r="L43" s="51">
        <v>12627.070000000002</v>
      </c>
      <c r="M43" s="77">
        <v>2441</v>
      </c>
      <c r="N43" s="76">
        <v>840906.09</v>
      </c>
      <c r="O43" s="75">
        <v>2276</v>
      </c>
      <c r="P43" s="74">
        <v>436592.52999999881</v>
      </c>
      <c r="Q43" s="74">
        <v>10925.480000000016</v>
      </c>
      <c r="R43" s="53">
        <f t="shared" si="2"/>
        <v>110327.45000000001</v>
      </c>
      <c r="S43" s="73">
        <v>1805433.0199999998</v>
      </c>
    </row>
    <row r="44" spans="1:19" x14ac:dyDescent="0.25">
      <c r="A44" s="28"/>
      <c r="B44" s="45" t="str">
        <f t="shared" si="0"/>
        <v>Jan-2023</v>
      </c>
      <c r="C44" s="57">
        <v>44933</v>
      </c>
      <c r="D44" s="43">
        <f t="shared" si="1"/>
        <v>1179</v>
      </c>
      <c r="E44" s="76">
        <v>1698</v>
      </c>
      <c r="F44" s="50">
        <v>4141</v>
      </c>
      <c r="G44" s="49">
        <v>2038053</v>
      </c>
      <c r="H44" s="73">
        <v>4134</v>
      </c>
      <c r="I44" s="77">
        <v>4141</v>
      </c>
      <c r="J44" s="73">
        <v>1666669.0799999998</v>
      </c>
      <c r="K44" s="52">
        <v>55</v>
      </c>
      <c r="L44" s="51">
        <v>13894.8</v>
      </c>
      <c r="M44" s="77">
        <v>2343</v>
      </c>
      <c r="N44" s="76">
        <v>785015.78</v>
      </c>
      <c r="O44" s="75">
        <v>2171</v>
      </c>
      <c r="P44" s="74">
        <v>403324.03</v>
      </c>
      <c r="Q44" s="74">
        <v>11133.390000000021</v>
      </c>
      <c r="R44" s="53">
        <f t="shared" si="2"/>
        <v>101902.65000000001</v>
      </c>
      <c r="S44" s="73">
        <v>1666669.0799999998</v>
      </c>
    </row>
    <row r="45" spans="1:19" x14ac:dyDescent="0.25">
      <c r="A45" s="28"/>
      <c r="B45" s="45" t="str">
        <f t="shared" si="0"/>
        <v>Jan-2023</v>
      </c>
      <c r="C45" s="57">
        <v>44934</v>
      </c>
      <c r="D45" s="43">
        <f t="shared" si="1"/>
        <v>1178</v>
      </c>
      <c r="E45" s="76">
        <v>1569</v>
      </c>
      <c r="F45" s="50">
        <v>3668</v>
      </c>
      <c r="G45" s="49">
        <v>1802667</v>
      </c>
      <c r="H45" s="73">
        <v>3658</v>
      </c>
      <c r="I45" s="77">
        <v>3668</v>
      </c>
      <c r="J45" s="73">
        <v>1591045.1800000002</v>
      </c>
      <c r="K45" s="52">
        <v>69</v>
      </c>
      <c r="L45" s="51">
        <v>16489.740000000002</v>
      </c>
      <c r="M45" s="77">
        <v>1741</v>
      </c>
      <c r="N45" s="76">
        <v>597470.25</v>
      </c>
      <c r="O45" s="75">
        <v>1637</v>
      </c>
      <c r="P45" s="74">
        <v>382571.2900000026</v>
      </c>
      <c r="Q45" s="74">
        <v>8045.6499999999942</v>
      </c>
      <c r="R45" s="53">
        <f t="shared" si="2"/>
        <v>90133.35</v>
      </c>
      <c r="S45" s="73">
        <v>1591045.1800000002</v>
      </c>
    </row>
    <row r="46" spans="1:19" x14ac:dyDescent="0.25">
      <c r="A46" s="28"/>
      <c r="B46" s="45" t="str">
        <f t="shared" si="0"/>
        <v>Jan-2023</v>
      </c>
      <c r="C46" s="57">
        <v>44935</v>
      </c>
      <c r="D46" s="43">
        <f t="shared" si="1"/>
        <v>1177</v>
      </c>
      <c r="E46" s="76">
        <v>1753</v>
      </c>
      <c r="F46" s="50">
        <v>8245</v>
      </c>
      <c r="G46" s="49">
        <v>4048047</v>
      </c>
      <c r="H46" s="73">
        <v>8235</v>
      </c>
      <c r="I46" s="77">
        <v>8245</v>
      </c>
      <c r="J46" s="73">
        <v>3975704.7800000012</v>
      </c>
      <c r="K46" s="52">
        <v>92</v>
      </c>
      <c r="L46" s="51">
        <v>23408.35</v>
      </c>
      <c r="M46" s="77">
        <v>3151</v>
      </c>
      <c r="N46" s="76">
        <v>1031648.44</v>
      </c>
      <c r="O46" s="75">
        <v>2932</v>
      </c>
      <c r="P46" s="74">
        <v>952402.64000000095</v>
      </c>
      <c r="Q46" s="74">
        <v>16892.460000000054</v>
      </c>
      <c r="R46" s="53">
        <f t="shared" si="2"/>
        <v>202402.35</v>
      </c>
      <c r="S46" s="73">
        <v>3975704.7800000003</v>
      </c>
    </row>
    <row r="47" spans="1:19" x14ac:dyDescent="0.25">
      <c r="A47" s="28"/>
      <c r="B47" s="45" t="str">
        <f t="shared" si="0"/>
        <v>Jan-2023</v>
      </c>
      <c r="C47" s="57">
        <v>44936</v>
      </c>
      <c r="D47" s="43">
        <f t="shared" si="1"/>
        <v>1176</v>
      </c>
      <c r="E47" s="76">
        <v>1360</v>
      </c>
      <c r="F47" s="50">
        <v>2874</v>
      </c>
      <c r="G47" s="49">
        <v>1409653</v>
      </c>
      <c r="H47" s="73">
        <v>2870</v>
      </c>
      <c r="I47" s="77">
        <v>2874</v>
      </c>
      <c r="J47" s="73">
        <v>1288708.1599999997</v>
      </c>
      <c r="K47" s="52">
        <v>41</v>
      </c>
      <c r="L47" s="51">
        <v>9309.9299999999985</v>
      </c>
      <c r="M47" s="77">
        <v>1270</v>
      </c>
      <c r="N47" s="76">
        <v>431545.59</v>
      </c>
      <c r="O47" s="75">
        <v>1194</v>
      </c>
      <c r="P47" s="74">
        <v>309347.28000000131</v>
      </c>
      <c r="Q47" s="74">
        <v>6311.2100000000037</v>
      </c>
      <c r="R47" s="53">
        <f t="shared" si="2"/>
        <v>70482.650000000009</v>
      </c>
      <c r="S47" s="73">
        <v>1288708.1599999997</v>
      </c>
    </row>
    <row r="48" spans="1:19" x14ac:dyDescent="0.25">
      <c r="A48" s="28"/>
      <c r="B48" s="45" t="str">
        <f t="shared" si="0"/>
        <v>Jan-2023</v>
      </c>
      <c r="C48" s="57">
        <v>44937</v>
      </c>
      <c r="D48" s="43">
        <f t="shared" si="1"/>
        <v>1175</v>
      </c>
      <c r="E48" s="76">
        <v>1723</v>
      </c>
      <c r="F48" s="50">
        <v>3489</v>
      </c>
      <c r="G48" s="49">
        <v>1709789</v>
      </c>
      <c r="H48" s="73">
        <v>3483</v>
      </c>
      <c r="I48" s="77">
        <v>3489</v>
      </c>
      <c r="J48" s="73">
        <v>1549959.8299999994</v>
      </c>
      <c r="K48" s="52">
        <v>62</v>
      </c>
      <c r="L48" s="51">
        <v>9773.6700000000019</v>
      </c>
      <c r="M48" s="77">
        <v>1571</v>
      </c>
      <c r="N48" s="76">
        <v>534536.51</v>
      </c>
      <c r="O48" s="75">
        <v>1472</v>
      </c>
      <c r="P48" s="74">
        <v>372328.39000000263</v>
      </c>
      <c r="Q48" s="74">
        <v>8024.490000000008</v>
      </c>
      <c r="R48" s="53">
        <f t="shared" si="2"/>
        <v>85489.450000000012</v>
      </c>
      <c r="S48" s="73">
        <v>1549959.83</v>
      </c>
    </row>
    <row r="49" spans="1:19" x14ac:dyDescent="0.25">
      <c r="A49" s="28"/>
      <c r="B49" s="45" t="str">
        <f t="shared" si="0"/>
        <v>Jan-2023</v>
      </c>
      <c r="C49" s="57">
        <v>44938</v>
      </c>
      <c r="D49" s="43">
        <f t="shared" si="1"/>
        <v>1174</v>
      </c>
      <c r="E49" s="76">
        <v>1729</v>
      </c>
      <c r="F49" s="50">
        <v>3880</v>
      </c>
      <c r="G49" s="49">
        <v>1902288</v>
      </c>
      <c r="H49" s="73">
        <v>3870</v>
      </c>
      <c r="I49" s="77">
        <v>3880</v>
      </c>
      <c r="J49" s="73">
        <v>1754806.15</v>
      </c>
      <c r="K49" s="52">
        <v>51</v>
      </c>
      <c r="L49" s="51">
        <v>11342.550000000001</v>
      </c>
      <c r="M49" s="77">
        <v>1722</v>
      </c>
      <c r="N49" s="76">
        <v>572197.59</v>
      </c>
      <c r="O49" s="75">
        <v>1613</v>
      </c>
      <c r="P49" s="74">
        <v>420986.87000000017</v>
      </c>
      <c r="Q49" s="74">
        <v>9191.1800000000021</v>
      </c>
      <c r="R49" s="53">
        <f t="shared" si="2"/>
        <v>95114.400000000009</v>
      </c>
      <c r="S49" s="73">
        <v>1754806.15</v>
      </c>
    </row>
    <row r="50" spans="1:19" x14ac:dyDescent="0.25">
      <c r="A50" s="28"/>
      <c r="B50" s="45" t="str">
        <f t="shared" si="0"/>
        <v>Jan-2023</v>
      </c>
      <c r="C50" s="57">
        <v>44939</v>
      </c>
      <c r="D50" s="43">
        <f t="shared" si="1"/>
        <v>1173</v>
      </c>
      <c r="E50" s="76">
        <v>1632</v>
      </c>
      <c r="F50" s="50">
        <v>3690</v>
      </c>
      <c r="G50" s="49">
        <v>1810883</v>
      </c>
      <c r="H50" s="73">
        <v>3683</v>
      </c>
      <c r="I50" s="77">
        <v>3690</v>
      </c>
      <c r="J50" s="73">
        <v>1605506.2400000002</v>
      </c>
      <c r="K50" s="52">
        <v>63</v>
      </c>
      <c r="L50" s="51">
        <v>12891.69</v>
      </c>
      <c r="M50" s="77">
        <v>1703</v>
      </c>
      <c r="N50" s="76">
        <v>592901.88</v>
      </c>
      <c r="O50" s="75">
        <v>1593</v>
      </c>
      <c r="P50" s="74">
        <v>384776.11000000063</v>
      </c>
      <c r="Q50" s="74">
        <v>8020.0800000000072</v>
      </c>
      <c r="R50" s="53">
        <f t="shared" si="2"/>
        <v>90544.150000000009</v>
      </c>
      <c r="S50" s="73">
        <v>1605506.24</v>
      </c>
    </row>
    <row r="51" spans="1:19" x14ac:dyDescent="0.25">
      <c r="A51" s="28"/>
      <c r="B51" s="45" t="str">
        <f t="shared" si="0"/>
        <v>Jan-2023</v>
      </c>
      <c r="C51" s="57">
        <v>44940</v>
      </c>
      <c r="D51" s="43">
        <f t="shared" si="1"/>
        <v>1172</v>
      </c>
      <c r="E51" s="76">
        <v>1451</v>
      </c>
      <c r="F51" s="50">
        <v>3408</v>
      </c>
      <c r="G51" s="49">
        <v>1672094</v>
      </c>
      <c r="H51" s="73">
        <v>3402</v>
      </c>
      <c r="I51" s="77">
        <v>3408</v>
      </c>
      <c r="J51" s="73">
        <v>1449751.4300000002</v>
      </c>
      <c r="K51" s="52">
        <v>42</v>
      </c>
      <c r="L51" s="51">
        <v>9244.4</v>
      </c>
      <c r="M51" s="77">
        <v>1619</v>
      </c>
      <c r="N51" s="76">
        <v>571517.48</v>
      </c>
      <c r="O51" s="75">
        <v>1512</v>
      </c>
      <c r="P51" s="74">
        <v>347667.88999999868</v>
      </c>
      <c r="Q51" s="74">
        <v>7553.3000000000056</v>
      </c>
      <c r="R51" s="53">
        <f t="shared" si="2"/>
        <v>83604.700000000012</v>
      </c>
      <c r="S51" s="73">
        <v>1449751.4300000002</v>
      </c>
    </row>
    <row r="52" spans="1:19" x14ac:dyDescent="0.25">
      <c r="A52" s="28"/>
      <c r="B52" s="45" t="str">
        <f t="shared" si="0"/>
        <v>Jan-2023</v>
      </c>
      <c r="C52" s="57">
        <v>44941</v>
      </c>
      <c r="D52" s="43">
        <f t="shared" si="1"/>
        <v>1171</v>
      </c>
      <c r="E52" s="76">
        <v>1470</v>
      </c>
      <c r="F52" s="50">
        <v>3349</v>
      </c>
      <c r="G52" s="49">
        <v>1644783</v>
      </c>
      <c r="H52" s="73">
        <v>3343</v>
      </c>
      <c r="I52" s="77">
        <v>3349</v>
      </c>
      <c r="J52" s="73">
        <v>1475630.74</v>
      </c>
      <c r="K52" s="52">
        <v>55</v>
      </c>
      <c r="L52" s="51">
        <v>13203.4</v>
      </c>
      <c r="M52" s="77">
        <v>1596</v>
      </c>
      <c r="N52" s="76">
        <v>523971.94</v>
      </c>
      <c r="O52" s="75">
        <v>1456</v>
      </c>
      <c r="P52" s="74">
        <v>353110.16999999952</v>
      </c>
      <c r="Q52" s="74">
        <v>7477.9400000000005</v>
      </c>
      <c r="R52" s="53">
        <f t="shared" si="2"/>
        <v>82239.150000000009</v>
      </c>
      <c r="S52" s="73">
        <v>1475630.74</v>
      </c>
    </row>
    <row r="53" spans="1:19" x14ac:dyDescent="0.25">
      <c r="A53" s="28"/>
      <c r="B53" s="45" t="str">
        <f t="shared" si="0"/>
        <v>Jan-2023</v>
      </c>
      <c r="C53" s="57">
        <v>44942</v>
      </c>
      <c r="D53" s="43">
        <f t="shared" si="1"/>
        <v>1170</v>
      </c>
      <c r="E53" s="76">
        <v>1657</v>
      </c>
      <c r="F53" s="50">
        <v>3491</v>
      </c>
      <c r="G53" s="49">
        <v>1714723</v>
      </c>
      <c r="H53" s="73">
        <v>3486</v>
      </c>
      <c r="I53" s="77">
        <v>3491</v>
      </c>
      <c r="J53" s="73">
        <v>1519914.0299999998</v>
      </c>
      <c r="K53" s="52">
        <v>52</v>
      </c>
      <c r="L53" s="51">
        <v>8712.7200000000012</v>
      </c>
      <c r="M53" s="77">
        <v>1697</v>
      </c>
      <c r="N53" s="76">
        <v>559776.30000000005</v>
      </c>
      <c r="O53" s="75">
        <v>1556</v>
      </c>
      <c r="P53" s="74">
        <v>363578.55999999936</v>
      </c>
      <c r="Q53" s="74">
        <v>7664.09</v>
      </c>
      <c r="R53" s="53">
        <f t="shared" si="2"/>
        <v>85736.150000000009</v>
      </c>
      <c r="S53" s="73">
        <v>1519914.0299999998</v>
      </c>
    </row>
    <row r="54" spans="1:19" x14ac:dyDescent="0.25">
      <c r="A54" s="28"/>
      <c r="B54" s="45" t="str">
        <f t="shared" si="0"/>
        <v>Jan-2023</v>
      </c>
      <c r="C54" s="57">
        <v>44943</v>
      </c>
      <c r="D54" s="43">
        <f t="shared" si="1"/>
        <v>1169</v>
      </c>
      <c r="E54" s="76">
        <v>1579</v>
      </c>
      <c r="F54" s="50">
        <v>5844</v>
      </c>
      <c r="G54" s="49">
        <v>2867168</v>
      </c>
      <c r="H54" s="73">
        <v>5829</v>
      </c>
      <c r="I54" s="77">
        <v>5844</v>
      </c>
      <c r="J54" s="73">
        <v>2782799.6300000008</v>
      </c>
      <c r="K54" s="52">
        <v>96</v>
      </c>
      <c r="L54" s="51">
        <v>25051.82</v>
      </c>
      <c r="M54" s="77">
        <v>2187</v>
      </c>
      <c r="N54" s="76">
        <v>747224.71</v>
      </c>
      <c r="O54" s="75">
        <v>2017</v>
      </c>
      <c r="P54" s="74">
        <v>662062.50000000105</v>
      </c>
      <c r="Q54" s="74">
        <v>10613.219999999992</v>
      </c>
      <c r="R54" s="53">
        <f t="shared" si="2"/>
        <v>143358.39999999999</v>
      </c>
      <c r="S54" s="73">
        <v>2782799.63</v>
      </c>
    </row>
    <row r="55" spans="1:19" x14ac:dyDescent="0.25">
      <c r="A55" s="28"/>
      <c r="B55" s="45" t="str">
        <f t="shared" si="0"/>
        <v>Jan-2023</v>
      </c>
      <c r="C55" s="57">
        <v>44944</v>
      </c>
      <c r="D55" s="43">
        <f t="shared" si="1"/>
        <v>1168</v>
      </c>
      <c r="E55" s="76">
        <v>1508</v>
      </c>
      <c r="F55" s="50">
        <v>3751</v>
      </c>
      <c r="G55" s="49">
        <v>1840445</v>
      </c>
      <c r="H55" s="73">
        <v>3742</v>
      </c>
      <c r="I55" s="77">
        <v>3751</v>
      </c>
      <c r="J55" s="73">
        <v>1622060.0599999998</v>
      </c>
      <c r="K55" s="52">
        <v>55</v>
      </c>
      <c r="L55" s="51">
        <v>12798.420000000002</v>
      </c>
      <c r="M55" s="77">
        <v>1731</v>
      </c>
      <c r="N55" s="76">
        <v>607781.5</v>
      </c>
      <c r="O55" s="75">
        <v>1630</v>
      </c>
      <c r="P55" s="74">
        <v>386809.3599999962</v>
      </c>
      <c r="Q55" s="74">
        <v>7500.8999999999969</v>
      </c>
      <c r="R55" s="53">
        <f t="shared" si="2"/>
        <v>92022.25</v>
      </c>
      <c r="S55" s="73">
        <v>1622060.0599999998</v>
      </c>
    </row>
    <row r="56" spans="1:19" x14ac:dyDescent="0.25">
      <c r="A56" s="28"/>
      <c r="B56" s="45" t="str">
        <f t="shared" si="0"/>
        <v>Jan-2023</v>
      </c>
      <c r="C56" s="57">
        <v>44945</v>
      </c>
      <c r="D56" s="43">
        <f t="shared" si="1"/>
        <v>1167</v>
      </c>
      <c r="E56" s="76">
        <v>1437</v>
      </c>
      <c r="F56" s="50">
        <v>3306</v>
      </c>
      <c r="G56" s="49">
        <v>1627732</v>
      </c>
      <c r="H56" s="73">
        <v>3298</v>
      </c>
      <c r="I56" s="77">
        <v>3306</v>
      </c>
      <c r="J56" s="73">
        <v>1420160.7299999997</v>
      </c>
      <c r="K56" s="52">
        <v>45</v>
      </c>
      <c r="L56" s="51">
        <v>10973.100000000002</v>
      </c>
      <c r="M56" s="77">
        <v>1551</v>
      </c>
      <c r="N56" s="76">
        <v>549945.47</v>
      </c>
      <c r="O56" s="75">
        <v>1456</v>
      </c>
      <c r="P56" s="74">
        <v>339681.15999999992</v>
      </c>
      <c r="Q56" s="74">
        <v>7777.4600000000009</v>
      </c>
      <c r="R56" s="53">
        <f t="shared" si="2"/>
        <v>81386.600000000006</v>
      </c>
      <c r="S56" s="73">
        <v>1420160.7299999997</v>
      </c>
    </row>
    <row r="57" spans="1:19" x14ac:dyDescent="0.25">
      <c r="A57" s="28"/>
      <c r="B57" s="45" t="str">
        <f t="shared" si="0"/>
        <v>Jan-2023</v>
      </c>
      <c r="C57" s="57">
        <v>44946</v>
      </c>
      <c r="D57" s="43">
        <f t="shared" si="1"/>
        <v>1166</v>
      </c>
      <c r="E57" s="76">
        <v>1369</v>
      </c>
      <c r="F57" s="50">
        <v>3068</v>
      </c>
      <c r="G57" s="49">
        <v>1510459</v>
      </c>
      <c r="H57" s="73">
        <v>3060</v>
      </c>
      <c r="I57" s="77">
        <v>3068</v>
      </c>
      <c r="J57" s="73">
        <v>1322481.55</v>
      </c>
      <c r="K57" s="52">
        <v>47</v>
      </c>
      <c r="L57" s="51">
        <v>9695.1500000000015</v>
      </c>
      <c r="M57" s="77">
        <v>1492</v>
      </c>
      <c r="N57" s="76">
        <v>506661.35</v>
      </c>
      <c r="O57" s="75">
        <v>1377</v>
      </c>
      <c r="P57" s="74">
        <v>316646.50000000006</v>
      </c>
      <c r="Q57" s="74">
        <v>7730.4799999999987</v>
      </c>
      <c r="R57" s="53">
        <f t="shared" si="2"/>
        <v>75522.95</v>
      </c>
      <c r="S57" s="73">
        <v>1322481.5500000003</v>
      </c>
    </row>
    <row r="58" spans="1:19" x14ac:dyDescent="0.25">
      <c r="A58" s="28"/>
      <c r="B58" s="45" t="str">
        <f t="shared" si="0"/>
        <v>Jan-2023</v>
      </c>
      <c r="C58" s="57">
        <v>44947</v>
      </c>
      <c r="D58" s="43">
        <f t="shared" si="1"/>
        <v>1165</v>
      </c>
      <c r="E58" s="76">
        <v>1286</v>
      </c>
      <c r="F58" s="50">
        <v>2937</v>
      </c>
      <c r="G58" s="49">
        <v>1442731</v>
      </c>
      <c r="H58" s="73">
        <v>2930</v>
      </c>
      <c r="I58" s="77">
        <v>2937</v>
      </c>
      <c r="J58" s="73">
        <v>1241879.1700000006</v>
      </c>
      <c r="K58" s="52">
        <v>50</v>
      </c>
      <c r="L58" s="51">
        <v>10694.910000000002</v>
      </c>
      <c r="M58" s="77">
        <v>1470</v>
      </c>
      <c r="N58" s="76">
        <v>499289.75</v>
      </c>
      <c r="O58" s="75">
        <v>1359</v>
      </c>
      <c r="P58" s="74">
        <v>295761.6300000007</v>
      </c>
      <c r="Q58" s="74">
        <v>5797.3999999999915</v>
      </c>
      <c r="R58" s="53">
        <f t="shared" si="2"/>
        <v>72136.55</v>
      </c>
      <c r="S58" s="73">
        <v>1241879.1700000002</v>
      </c>
    </row>
    <row r="59" spans="1:19" x14ac:dyDescent="0.25">
      <c r="A59" s="28"/>
      <c r="B59" s="45" t="str">
        <f t="shared" si="0"/>
        <v>Jan-2023</v>
      </c>
      <c r="C59" s="57">
        <v>44948</v>
      </c>
      <c r="D59" s="43">
        <f t="shared" si="1"/>
        <v>1164</v>
      </c>
      <c r="E59" s="76">
        <v>1230</v>
      </c>
      <c r="F59" s="50">
        <v>2732</v>
      </c>
      <c r="G59" s="49">
        <v>1338742</v>
      </c>
      <c r="H59" s="73">
        <v>2729</v>
      </c>
      <c r="I59" s="77">
        <v>2732</v>
      </c>
      <c r="J59" s="73">
        <v>1203104.44</v>
      </c>
      <c r="K59" s="52">
        <v>42</v>
      </c>
      <c r="L59" s="51">
        <v>6230.9400000000005</v>
      </c>
      <c r="M59" s="77">
        <v>1271</v>
      </c>
      <c r="N59" s="76">
        <v>423134.66</v>
      </c>
      <c r="O59" s="75">
        <v>1171</v>
      </c>
      <c r="P59" s="74">
        <v>286226.16000000021</v>
      </c>
      <c r="Q59" s="74">
        <v>5702.2799999999943</v>
      </c>
      <c r="R59" s="53">
        <f t="shared" si="2"/>
        <v>66937.100000000006</v>
      </c>
      <c r="S59" s="73">
        <v>1203104.44</v>
      </c>
    </row>
    <row r="60" spans="1:19" x14ac:dyDescent="0.25">
      <c r="A60" s="28"/>
      <c r="B60" s="45" t="str">
        <f t="shared" si="0"/>
        <v>Jan-2023</v>
      </c>
      <c r="C60" s="57">
        <v>44949</v>
      </c>
      <c r="D60" s="43">
        <f t="shared" si="1"/>
        <v>1163</v>
      </c>
      <c r="E60" s="76">
        <v>1355</v>
      </c>
      <c r="F60" s="50">
        <v>2836</v>
      </c>
      <c r="G60" s="49">
        <v>1400187</v>
      </c>
      <c r="H60" s="73">
        <v>2834</v>
      </c>
      <c r="I60" s="77">
        <v>2836</v>
      </c>
      <c r="J60" s="73">
        <v>1220957.1900000004</v>
      </c>
      <c r="K60" s="52">
        <v>39</v>
      </c>
      <c r="L60" s="51">
        <v>7712.170000000001</v>
      </c>
      <c r="M60" s="77">
        <v>1341</v>
      </c>
      <c r="N60" s="76">
        <v>473282.12</v>
      </c>
      <c r="O60" s="75">
        <v>1241</v>
      </c>
      <c r="P60" s="74">
        <v>291334.08000000089</v>
      </c>
      <c r="Q60" s="74">
        <v>6640.0700000000043</v>
      </c>
      <c r="R60" s="53">
        <f t="shared" si="2"/>
        <v>70009.350000000006</v>
      </c>
      <c r="S60" s="73">
        <v>1220957.1900000002</v>
      </c>
    </row>
    <row r="61" spans="1:19" x14ac:dyDescent="0.25">
      <c r="A61" s="28"/>
      <c r="B61" s="45" t="str">
        <f t="shared" si="0"/>
        <v>Jan-2023</v>
      </c>
      <c r="C61" s="57">
        <v>44950</v>
      </c>
      <c r="D61" s="43">
        <f t="shared" si="1"/>
        <v>1162</v>
      </c>
      <c r="E61" s="76">
        <v>1148</v>
      </c>
      <c r="F61" s="50">
        <v>2401</v>
      </c>
      <c r="G61" s="49">
        <v>1182360</v>
      </c>
      <c r="H61" s="73">
        <v>2390</v>
      </c>
      <c r="I61" s="77">
        <v>2401</v>
      </c>
      <c r="J61" s="73">
        <v>1043919.8400000001</v>
      </c>
      <c r="K61" s="52">
        <v>27</v>
      </c>
      <c r="L61" s="51">
        <v>9178.659999999998</v>
      </c>
      <c r="M61" s="77">
        <v>1109</v>
      </c>
      <c r="N61" s="76">
        <v>388782.28</v>
      </c>
      <c r="O61" s="75">
        <v>1041</v>
      </c>
      <c r="P61" s="74">
        <v>248484.96999999974</v>
      </c>
      <c r="Q61" s="74">
        <v>5507.7099999999991</v>
      </c>
      <c r="R61" s="53">
        <f t="shared" si="2"/>
        <v>59118</v>
      </c>
      <c r="S61" s="73">
        <v>1043918.4100000001</v>
      </c>
    </row>
    <row r="62" spans="1:19" x14ac:dyDescent="0.25">
      <c r="A62" s="28"/>
      <c r="B62" s="45" t="str">
        <f t="shared" si="0"/>
        <v>Jan-2023</v>
      </c>
      <c r="C62" s="57">
        <v>44951</v>
      </c>
      <c r="D62" s="43">
        <f t="shared" si="1"/>
        <v>1161</v>
      </c>
      <c r="E62" s="76">
        <v>1200</v>
      </c>
      <c r="F62" s="50">
        <v>2429</v>
      </c>
      <c r="G62" s="49">
        <v>1195403</v>
      </c>
      <c r="H62" s="73">
        <v>2417</v>
      </c>
      <c r="I62" s="77">
        <v>2429</v>
      </c>
      <c r="J62" s="73">
        <v>1060618.2000000002</v>
      </c>
      <c r="K62" s="52">
        <v>43</v>
      </c>
      <c r="L62" s="51">
        <v>11968.67</v>
      </c>
      <c r="M62" s="77">
        <v>1085</v>
      </c>
      <c r="N62" s="76">
        <v>387356.99</v>
      </c>
      <c r="O62" s="75">
        <v>1010</v>
      </c>
      <c r="P62" s="74">
        <v>251988.17999999947</v>
      </c>
      <c r="Q62" s="74">
        <v>5057.8200000000043</v>
      </c>
      <c r="R62" s="53">
        <f t="shared" si="2"/>
        <v>59770.15</v>
      </c>
      <c r="S62" s="73">
        <v>1060618.2</v>
      </c>
    </row>
    <row r="63" spans="1:19" x14ac:dyDescent="0.25">
      <c r="A63" s="28"/>
      <c r="B63" s="45" t="str">
        <f t="shared" si="0"/>
        <v>Jan-2023</v>
      </c>
      <c r="C63" s="57">
        <v>44952</v>
      </c>
      <c r="D63" s="43">
        <f t="shared" si="1"/>
        <v>1160</v>
      </c>
      <c r="E63" s="76">
        <v>1219</v>
      </c>
      <c r="F63" s="50">
        <v>2316</v>
      </c>
      <c r="G63" s="49">
        <v>1137841</v>
      </c>
      <c r="H63" s="73">
        <v>2314</v>
      </c>
      <c r="I63" s="77">
        <v>2316</v>
      </c>
      <c r="J63" s="73">
        <v>1035329.3699999999</v>
      </c>
      <c r="K63" s="52">
        <v>32</v>
      </c>
      <c r="L63" s="51">
        <v>9562.1</v>
      </c>
      <c r="M63" s="77">
        <v>983</v>
      </c>
      <c r="N63" s="76">
        <v>348229.04</v>
      </c>
      <c r="O63" s="75">
        <v>920</v>
      </c>
      <c r="P63" s="74">
        <v>244374.49999999927</v>
      </c>
      <c r="Q63" s="74">
        <v>3538.9399999999973</v>
      </c>
      <c r="R63" s="53">
        <f t="shared" si="2"/>
        <v>56892.05</v>
      </c>
      <c r="S63" s="73">
        <v>1035329.3699999999</v>
      </c>
    </row>
    <row r="64" spans="1:19" x14ac:dyDescent="0.25">
      <c r="A64" s="28"/>
      <c r="B64" s="45" t="str">
        <f t="shared" si="0"/>
        <v>Jan-2023</v>
      </c>
      <c r="C64" s="57">
        <v>44953</v>
      </c>
      <c r="D64" s="43">
        <f t="shared" si="1"/>
        <v>1159</v>
      </c>
      <c r="E64" s="76">
        <v>1150</v>
      </c>
      <c r="F64" s="50">
        <v>2299</v>
      </c>
      <c r="G64" s="49">
        <v>1132205</v>
      </c>
      <c r="H64" s="73">
        <v>2292</v>
      </c>
      <c r="I64" s="77">
        <v>2299</v>
      </c>
      <c r="J64" s="73">
        <v>1006979.4500000001</v>
      </c>
      <c r="K64" s="52">
        <v>33</v>
      </c>
      <c r="L64" s="51">
        <v>8621.35</v>
      </c>
      <c r="M64" s="77">
        <v>1011</v>
      </c>
      <c r="N64" s="76">
        <v>364008.87</v>
      </c>
      <c r="O64" s="75">
        <v>960</v>
      </c>
      <c r="P64" s="74">
        <v>238336.31999999995</v>
      </c>
      <c r="Q64" s="74">
        <v>4237.2599999999948</v>
      </c>
      <c r="R64" s="53">
        <f t="shared" si="2"/>
        <v>56610.25</v>
      </c>
      <c r="S64" s="73">
        <v>1006979.4499999998</v>
      </c>
    </row>
    <row r="65" spans="1:19" x14ac:dyDescent="0.25">
      <c r="A65" s="28"/>
      <c r="B65" s="45" t="str">
        <f t="shared" si="0"/>
        <v>Jan-2023</v>
      </c>
      <c r="C65" s="57">
        <v>44954</v>
      </c>
      <c r="D65" s="43">
        <f t="shared" si="1"/>
        <v>1158</v>
      </c>
      <c r="E65" s="76">
        <v>1121</v>
      </c>
      <c r="F65" s="50">
        <v>2299</v>
      </c>
      <c r="G65" s="49">
        <v>1130184</v>
      </c>
      <c r="H65" s="73">
        <v>2296</v>
      </c>
      <c r="I65" s="77">
        <v>2299</v>
      </c>
      <c r="J65" s="73">
        <v>991539.98999999987</v>
      </c>
      <c r="K65" s="52">
        <v>32</v>
      </c>
      <c r="L65" s="51">
        <v>7831.73</v>
      </c>
      <c r="M65" s="77">
        <v>1093</v>
      </c>
      <c r="N65" s="76">
        <v>375344.32</v>
      </c>
      <c r="O65" s="75">
        <v>1021</v>
      </c>
      <c r="P65" s="74">
        <v>234475.24000000037</v>
      </c>
      <c r="Q65" s="74">
        <v>4088.0399999999959</v>
      </c>
      <c r="R65" s="53">
        <f t="shared" si="2"/>
        <v>56509.200000000004</v>
      </c>
      <c r="S65" s="73">
        <v>991539.98999999987</v>
      </c>
    </row>
    <row r="66" spans="1:19" x14ac:dyDescent="0.25">
      <c r="A66" s="28"/>
      <c r="B66" s="45" t="str">
        <f t="shared" si="0"/>
        <v>Jan-2023</v>
      </c>
      <c r="C66" s="57">
        <v>44955</v>
      </c>
      <c r="D66" s="43">
        <f t="shared" si="1"/>
        <v>1157</v>
      </c>
      <c r="E66" s="76">
        <v>1022</v>
      </c>
      <c r="F66" s="50">
        <v>2215</v>
      </c>
      <c r="G66" s="49">
        <v>1082139</v>
      </c>
      <c r="H66" s="73">
        <v>2213</v>
      </c>
      <c r="I66" s="77">
        <v>2215</v>
      </c>
      <c r="J66" s="73">
        <v>977986.90999999992</v>
      </c>
      <c r="K66" s="52">
        <v>30</v>
      </c>
      <c r="L66" s="51">
        <v>4646.0800000000008</v>
      </c>
      <c r="M66" s="77">
        <v>1043</v>
      </c>
      <c r="N66" s="76">
        <v>336326.43</v>
      </c>
      <c r="O66" s="75">
        <v>974</v>
      </c>
      <c r="P66" s="74">
        <v>231253.58999999921</v>
      </c>
      <c r="Q66" s="74">
        <v>4027.6499999999992</v>
      </c>
      <c r="R66" s="53">
        <f t="shared" si="2"/>
        <v>54106.950000000004</v>
      </c>
      <c r="S66" s="73">
        <v>977986.90999999992</v>
      </c>
    </row>
    <row r="67" spans="1:19" x14ac:dyDescent="0.25">
      <c r="A67" s="28"/>
      <c r="B67" s="45" t="str">
        <f t="shared" si="0"/>
        <v>Jan-2023</v>
      </c>
      <c r="C67" s="57">
        <v>44956</v>
      </c>
      <c r="D67" s="43">
        <f t="shared" si="1"/>
        <v>1156</v>
      </c>
      <c r="E67" s="76">
        <v>964</v>
      </c>
      <c r="F67" s="50">
        <v>1984</v>
      </c>
      <c r="G67" s="49">
        <v>974305</v>
      </c>
      <c r="H67" s="73">
        <v>1984</v>
      </c>
      <c r="I67" s="77">
        <v>1984</v>
      </c>
      <c r="J67" s="73">
        <v>844843.41999999993</v>
      </c>
      <c r="K67" s="52">
        <v>24</v>
      </c>
      <c r="L67" s="51">
        <v>4309.8099999999995</v>
      </c>
      <c r="M67" s="77">
        <v>941</v>
      </c>
      <c r="N67" s="76">
        <v>331370.21000000002</v>
      </c>
      <c r="O67" s="75">
        <v>881</v>
      </c>
      <c r="P67" s="74">
        <v>200673.06999999989</v>
      </c>
      <c r="Q67" s="74">
        <v>4719.3999999999996</v>
      </c>
      <c r="R67" s="53">
        <f t="shared" si="2"/>
        <v>48715.25</v>
      </c>
      <c r="S67" s="73">
        <v>844843.41999999993</v>
      </c>
    </row>
    <row r="68" spans="1:19" x14ac:dyDescent="0.25">
      <c r="A68" s="28"/>
      <c r="B68" s="45" t="str">
        <f t="shared" si="0"/>
        <v>Jan-2023</v>
      </c>
      <c r="C68" s="57">
        <v>44957</v>
      </c>
      <c r="D68" s="43">
        <f t="shared" si="1"/>
        <v>1155</v>
      </c>
      <c r="E68" s="76">
        <v>1000</v>
      </c>
      <c r="F68" s="50">
        <v>2038</v>
      </c>
      <c r="G68" s="49">
        <v>1001712</v>
      </c>
      <c r="H68" s="73">
        <v>2036</v>
      </c>
      <c r="I68" s="77">
        <v>2038</v>
      </c>
      <c r="J68" s="73">
        <v>878419.94</v>
      </c>
      <c r="K68" s="52">
        <v>38</v>
      </c>
      <c r="L68" s="51">
        <v>7012.13</v>
      </c>
      <c r="M68" s="77">
        <v>982</v>
      </c>
      <c r="N68" s="76">
        <v>330848.71999999997</v>
      </c>
      <c r="O68" s="75">
        <v>927</v>
      </c>
      <c r="P68" s="74">
        <v>206886.65999999916</v>
      </c>
      <c r="Q68" s="74">
        <v>3132.4399999999987</v>
      </c>
      <c r="R68" s="53">
        <f t="shared" si="2"/>
        <v>50085.600000000006</v>
      </c>
      <c r="S68" s="73">
        <v>878419.94</v>
      </c>
    </row>
    <row r="69" spans="1:19" x14ac:dyDescent="0.25">
      <c r="A69" s="28"/>
      <c r="B69" s="45" t="str">
        <f t="shared" ref="B69:B132" si="3">TEXT(C69,"MMM-YYYY")</f>
        <v>Feb-2023</v>
      </c>
      <c r="C69" s="57">
        <v>44958</v>
      </c>
      <c r="D69" s="43">
        <f t="shared" ref="D69:D132" si="4">$A$1-C69</f>
        <v>1154</v>
      </c>
      <c r="E69" s="76">
        <v>959</v>
      </c>
      <c r="F69" s="50">
        <v>1982</v>
      </c>
      <c r="G69" s="49">
        <v>974418</v>
      </c>
      <c r="H69" s="73">
        <v>1972</v>
      </c>
      <c r="I69" s="77">
        <v>1982</v>
      </c>
      <c r="J69" s="73">
        <v>795529.5</v>
      </c>
      <c r="K69" s="52">
        <v>33</v>
      </c>
      <c r="L69" s="51">
        <v>9993.5599999999977</v>
      </c>
      <c r="M69" s="77">
        <v>1070</v>
      </c>
      <c r="N69" s="76">
        <v>367913.45</v>
      </c>
      <c r="O69" s="75">
        <v>1003</v>
      </c>
      <c r="P69" s="74">
        <v>187881.61999999965</v>
      </c>
      <c r="Q69" s="74">
        <v>3695.8899999999971</v>
      </c>
      <c r="R69" s="53">
        <f t="shared" ref="R69:R132" si="5">G69*5%</f>
        <v>48720.9</v>
      </c>
      <c r="S69" s="73">
        <v>795529.48</v>
      </c>
    </row>
    <row r="70" spans="1:19" x14ac:dyDescent="0.25">
      <c r="A70" s="28"/>
      <c r="B70" s="45" t="str">
        <f t="shared" si="3"/>
        <v>Feb-2023</v>
      </c>
      <c r="C70" s="57">
        <v>44959</v>
      </c>
      <c r="D70" s="43">
        <f t="shared" si="4"/>
        <v>1153</v>
      </c>
      <c r="E70" s="76">
        <v>978</v>
      </c>
      <c r="F70" s="50">
        <v>1915</v>
      </c>
      <c r="G70" s="49">
        <v>943160</v>
      </c>
      <c r="H70" s="73">
        <v>1910</v>
      </c>
      <c r="I70" s="77">
        <v>1915</v>
      </c>
      <c r="J70" s="73">
        <v>812636.09</v>
      </c>
      <c r="K70" s="52">
        <v>23</v>
      </c>
      <c r="L70" s="51">
        <v>5962.91</v>
      </c>
      <c r="M70" s="77">
        <v>878</v>
      </c>
      <c r="N70" s="76">
        <v>322583.19</v>
      </c>
      <c r="O70" s="75">
        <v>836</v>
      </c>
      <c r="P70" s="74">
        <v>191241.51999999987</v>
      </c>
      <c r="Q70" s="74">
        <v>2976.1099999999979</v>
      </c>
      <c r="R70" s="53">
        <f t="shared" si="5"/>
        <v>47158</v>
      </c>
      <c r="S70" s="73">
        <v>812636.09</v>
      </c>
    </row>
    <row r="71" spans="1:19" x14ac:dyDescent="0.25">
      <c r="A71" s="28"/>
      <c r="B71" s="45" t="str">
        <f t="shared" si="3"/>
        <v>Feb-2023</v>
      </c>
      <c r="C71" s="57">
        <v>44960</v>
      </c>
      <c r="D71" s="43">
        <f t="shared" si="4"/>
        <v>1152</v>
      </c>
      <c r="E71" s="76">
        <v>1039</v>
      </c>
      <c r="F71" s="50">
        <v>2149</v>
      </c>
      <c r="G71" s="49">
        <v>1055321</v>
      </c>
      <c r="H71" s="73">
        <v>2143</v>
      </c>
      <c r="I71" s="77">
        <v>2149</v>
      </c>
      <c r="J71" s="73">
        <v>901683.15</v>
      </c>
      <c r="K71" s="52">
        <v>38</v>
      </c>
      <c r="L71" s="51">
        <v>8943.2999999999993</v>
      </c>
      <c r="M71" s="77">
        <v>1110</v>
      </c>
      <c r="N71" s="76">
        <v>369356.27</v>
      </c>
      <c r="O71" s="75">
        <v>1034</v>
      </c>
      <c r="P71" s="74">
        <v>213100.12000000081</v>
      </c>
      <c r="Q71" s="74">
        <v>4394.7000000000007</v>
      </c>
      <c r="R71" s="53">
        <f t="shared" si="5"/>
        <v>52766.05</v>
      </c>
      <c r="S71" s="73">
        <v>901683.15</v>
      </c>
    </row>
    <row r="72" spans="1:19" x14ac:dyDescent="0.25">
      <c r="A72" s="28"/>
      <c r="B72" s="45" t="str">
        <f t="shared" si="3"/>
        <v>Feb-2023</v>
      </c>
      <c r="C72" s="57">
        <v>44961</v>
      </c>
      <c r="D72" s="43">
        <f t="shared" si="4"/>
        <v>1151</v>
      </c>
      <c r="E72" s="76">
        <v>1016</v>
      </c>
      <c r="F72" s="50">
        <v>2473</v>
      </c>
      <c r="G72" s="49">
        <v>1214420</v>
      </c>
      <c r="H72" s="73">
        <v>2470</v>
      </c>
      <c r="I72" s="77">
        <v>2473</v>
      </c>
      <c r="J72" s="73">
        <v>890794.74</v>
      </c>
      <c r="K72" s="52">
        <v>42</v>
      </c>
      <c r="L72" s="51">
        <v>8681.8700000000008</v>
      </c>
      <c r="M72" s="77">
        <v>1471</v>
      </c>
      <c r="N72" s="76">
        <v>538880.86</v>
      </c>
      <c r="O72" s="75">
        <v>1358</v>
      </c>
      <c r="P72" s="74">
        <v>211501.12000000055</v>
      </c>
      <c r="Q72" s="74">
        <v>5386.0699999999988</v>
      </c>
      <c r="R72" s="53">
        <f t="shared" si="5"/>
        <v>60721</v>
      </c>
      <c r="S72" s="73">
        <v>890794.74</v>
      </c>
    </row>
    <row r="73" spans="1:19" x14ac:dyDescent="0.25">
      <c r="A73" s="28"/>
      <c r="B73" s="45" t="str">
        <f t="shared" si="3"/>
        <v>Feb-2023</v>
      </c>
      <c r="C73" s="57">
        <v>44962</v>
      </c>
      <c r="D73" s="43">
        <f t="shared" si="4"/>
        <v>1150</v>
      </c>
      <c r="E73" s="76">
        <v>998</v>
      </c>
      <c r="F73" s="50">
        <v>2324</v>
      </c>
      <c r="G73" s="49">
        <v>1142341</v>
      </c>
      <c r="H73" s="73">
        <v>2319</v>
      </c>
      <c r="I73" s="77">
        <v>2324</v>
      </c>
      <c r="J73" s="73">
        <v>909308.99</v>
      </c>
      <c r="K73" s="52">
        <v>35</v>
      </c>
      <c r="L73" s="51">
        <v>9053.0999999999985</v>
      </c>
      <c r="M73" s="77">
        <v>1341</v>
      </c>
      <c r="N73" s="76">
        <v>449701.44</v>
      </c>
      <c r="O73" s="75">
        <v>1225</v>
      </c>
      <c r="P73" s="74">
        <v>214986.78999999916</v>
      </c>
      <c r="Q73" s="74">
        <v>4686.0099999999993</v>
      </c>
      <c r="R73" s="53">
        <f t="shared" si="5"/>
        <v>57117.05</v>
      </c>
      <c r="S73" s="73">
        <v>909308.98999999987</v>
      </c>
    </row>
    <row r="74" spans="1:19" x14ac:dyDescent="0.25">
      <c r="A74" s="28"/>
      <c r="B74" s="45" t="str">
        <f t="shared" si="3"/>
        <v>Feb-2023</v>
      </c>
      <c r="C74" s="57">
        <v>44963</v>
      </c>
      <c r="D74" s="43">
        <f t="shared" si="4"/>
        <v>1149</v>
      </c>
      <c r="E74" s="76">
        <v>934</v>
      </c>
      <c r="F74" s="50">
        <v>2183</v>
      </c>
      <c r="G74" s="49">
        <v>1077144</v>
      </c>
      <c r="H74" s="73">
        <v>2180</v>
      </c>
      <c r="I74" s="77">
        <v>2183</v>
      </c>
      <c r="J74" s="73">
        <v>838054.31</v>
      </c>
      <c r="K74" s="52">
        <v>29</v>
      </c>
      <c r="L74" s="51">
        <v>6720.66</v>
      </c>
      <c r="M74" s="77">
        <v>1196</v>
      </c>
      <c r="N74" s="76">
        <v>441385.53</v>
      </c>
      <c r="O74" s="75">
        <v>1122</v>
      </c>
      <c r="P74" s="74">
        <v>198047.87999999945</v>
      </c>
      <c r="Q74" s="74">
        <v>4736.6499999999978</v>
      </c>
      <c r="R74" s="53">
        <f t="shared" si="5"/>
        <v>53857.200000000004</v>
      </c>
      <c r="S74" s="73">
        <v>838054.31</v>
      </c>
    </row>
    <row r="75" spans="1:19" x14ac:dyDescent="0.25">
      <c r="A75" s="28"/>
      <c r="B75" s="45" t="str">
        <f t="shared" si="3"/>
        <v>Feb-2023</v>
      </c>
      <c r="C75" s="57">
        <v>44964</v>
      </c>
      <c r="D75" s="43">
        <f t="shared" si="4"/>
        <v>1148</v>
      </c>
      <c r="E75" s="76">
        <v>961</v>
      </c>
      <c r="F75" s="50">
        <v>2027</v>
      </c>
      <c r="G75" s="49">
        <v>995684</v>
      </c>
      <c r="H75" s="73">
        <v>2024</v>
      </c>
      <c r="I75" s="77">
        <v>2027</v>
      </c>
      <c r="J75" s="73">
        <v>858215.1</v>
      </c>
      <c r="K75" s="52">
        <v>29</v>
      </c>
      <c r="L75" s="51">
        <v>4443.58</v>
      </c>
      <c r="M75" s="77">
        <v>980</v>
      </c>
      <c r="N75" s="76">
        <v>341791.09</v>
      </c>
      <c r="O75" s="75">
        <v>907</v>
      </c>
      <c r="P75" s="74">
        <v>201299.36000000002</v>
      </c>
      <c r="Q75" s="74">
        <v>3292.2600000000011</v>
      </c>
      <c r="R75" s="53">
        <f t="shared" si="5"/>
        <v>49784.200000000004</v>
      </c>
      <c r="S75" s="73">
        <v>858215.1</v>
      </c>
    </row>
    <row r="76" spans="1:19" x14ac:dyDescent="0.25">
      <c r="A76" s="28"/>
      <c r="B76" s="45" t="str">
        <f t="shared" si="3"/>
        <v>Feb-2023</v>
      </c>
      <c r="C76" s="57">
        <v>44965</v>
      </c>
      <c r="D76" s="43">
        <f t="shared" si="4"/>
        <v>1147</v>
      </c>
      <c r="E76" s="76">
        <v>960</v>
      </c>
      <c r="F76" s="50">
        <v>2084</v>
      </c>
      <c r="G76" s="49">
        <v>1026512</v>
      </c>
      <c r="H76" s="73">
        <v>2083</v>
      </c>
      <c r="I76" s="77">
        <v>2084</v>
      </c>
      <c r="J76" s="73">
        <v>879690.67</v>
      </c>
      <c r="K76" s="52">
        <v>24</v>
      </c>
      <c r="L76" s="51">
        <v>3691.4500000000003</v>
      </c>
      <c r="M76" s="77">
        <v>1006</v>
      </c>
      <c r="N76" s="76">
        <v>354670.68</v>
      </c>
      <c r="O76" s="75">
        <v>939</v>
      </c>
      <c r="P76" s="74">
        <v>206198.17999999947</v>
      </c>
      <c r="Q76" s="74">
        <v>3293.37</v>
      </c>
      <c r="R76" s="53">
        <f t="shared" si="5"/>
        <v>51325.600000000006</v>
      </c>
      <c r="S76" s="73">
        <v>879690.67</v>
      </c>
    </row>
    <row r="77" spans="1:19" x14ac:dyDescent="0.25">
      <c r="A77" s="28"/>
      <c r="B77" s="45" t="str">
        <f t="shared" si="3"/>
        <v>Feb-2023</v>
      </c>
      <c r="C77" s="57">
        <v>44966</v>
      </c>
      <c r="D77" s="43">
        <f t="shared" si="4"/>
        <v>1146</v>
      </c>
      <c r="E77" s="76">
        <v>1412</v>
      </c>
      <c r="F77" s="50">
        <v>2582</v>
      </c>
      <c r="G77" s="49">
        <v>1273413</v>
      </c>
      <c r="H77" s="73">
        <v>2576</v>
      </c>
      <c r="I77" s="77">
        <v>2582</v>
      </c>
      <c r="J77" s="73">
        <v>1087496.1800000004</v>
      </c>
      <c r="K77" s="52">
        <v>44</v>
      </c>
      <c r="L77" s="51">
        <v>11689.400000000001</v>
      </c>
      <c r="M77" s="77">
        <v>1308</v>
      </c>
      <c r="N77" s="76">
        <v>445532.78</v>
      </c>
      <c r="O77" s="75">
        <v>1200</v>
      </c>
      <c r="P77" s="74">
        <v>256187.3799999998</v>
      </c>
      <c r="Q77" s="74">
        <v>5522.0999999999985</v>
      </c>
      <c r="R77" s="53">
        <f t="shared" si="5"/>
        <v>63670.65</v>
      </c>
      <c r="S77" s="73">
        <v>1087496.18</v>
      </c>
    </row>
    <row r="78" spans="1:19" x14ac:dyDescent="0.25">
      <c r="A78" s="28"/>
      <c r="B78" s="45" t="str">
        <f t="shared" si="3"/>
        <v>Feb-2023</v>
      </c>
      <c r="C78" s="57">
        <v>44967</v>
      </c>
      <c r="D78" s="43">
        <f t="shared" si="4"/>
        <v>1145</v>
      </c>
      <c r="E78" s="76">
        <v>997</v>
      </c>
      <c r="F78" s="50">
        <v>2525</v>
      </c>
      <c r="G78" s="49">
        <v>1243668</v>
      </c>
      <c r="H78" s="73">
        <v>2517</v>
      </c>
      <c r="I78" s="77">
        <v>2525</v>
      </c>
      <c r="J78" s="73">
        <v>971913.4099999998</v>
      </c>
      <c r="K78" s="52">
        <v>38</v>
      </c>
      <c r="L78" s="51">
        <v>7962.5399999999991</v>
      </c>
      <c r="M78" s="77">
        <v>1401</v>
      </c>
      <c r="N78" s="76">
        <v>505379.13</v>
      </c>
      <c r="O78" s="75">
        <v>1310</v>
      </c>
      <c r="P78" s="74">
        <v>229619.26000000065</v>
      </c>
      <c r="Q78" s="74">
        <v>6117.1299999999992</v>
      </c>
      <c r="R78" s="53">
        <f t="shared" si="5"/>
        <v>62183.4</v>
      </c>
      <c r="S78" s="73">
        <v>971913.40999999992</v>
      </c>
    </row>
    <row r="79" spans="1:19" x14ac:dyDescent="0.25">
      <c r="A79" s="28"/>
      <c r="B79" s="45" t="str">
        <f t="shared" si="3"/>
        <v>Feb-2023</v>
      </c>
      <c r="C79" s="57">
        <v>44968</v>
      </c>
      <c r="D79" s="43">
        <f t="shared" si="4"/>
        <v>1144</v>
      </c>
      <c r="E79" s="76">
        <v>832</v>
      </c>
      <c r="F79" s="50">
        <v>2367</v>
      </c>
      <c r="G79" s="49">
        <v>1161989</v>
      </c>
      <c r="H79" s="73">
        <v>2357</v>
      </c>
      <c r="I79" s="77">
        <v>2367</v>
      </c>
      <c r="J79" s="73">
        <v>879692.82000000007</v>
      </c>
      <c r="K79" s="52">
        <v>61</v>
      </c>
      <c r="L79" s="51">
        <v>14002.429999999998</v>
      </c>
      <c r="M79" s="77">
        <v>1367</v>
      </c>
      <c r="N79" s="76">
        <v>493935.15</v>
      </c>
      <c r="O79" s="75">
        <v>1263</v>
      </c>
      <c r="P79" s="74">
        <v>207591.71999999924</v>
      </c>
      <c r="Q79" s="74">
        <v>5070.99</v>
      </c>
      <c r="R79" s="53">
        <f t="shared" si="5"/>
        <v>58099.450000000004</v>
      </c>
      <c r="S79" s="73">
        <v>879692.82000000018</v>
      </c>
    </row>
    <row r="80" spans="1:19" x14ac:dyDescent="0.25">
      <c r="A80" s="28"/>
      <c r="B80" s="45" t="str">
        <f t="shared" si="3"/>
        <v>Feb-2023</v>
      </c>
      <c r="C80" s="57">
        <v>44969</v>
      </c>
      <c r="D80" s="43">
        <f t="shared" si="4"/>
        <v>1143</v>
      </c>
      <c r="E80" s="76">
        <v>607</v>
      </c>
      <c r="F80" s="50">
        <v>1708</v>
      </c>
      <c r="G80" s="49">
        <v>843737</v>
      </c>
      <c r="H80" s="73">
        <v>1702</v>
      </c>
      <c r="I80" s="77">
        <v>1708</v>
      </c>
      <c r="J80" s="73">
        <v>670744.15</v>
      </c>
      <c r="K80" s="52">
        <v>25</v>
      </c>
      <c r="L80" s="51">
        <v>7250.7800000000007</v>
      </c>
      <c r="M80" s="77">
        <v>928</v>
      </c>
      <c r="N80" s="76">
        <v>334445.40000000002</v>
      </c>
      <c r="O80" s="75">
        <v>865</v>
      </c>
      <c r="P80" s="74">
        <v>158554.4999999991</v>
      </c>
      <c r="Q80" s="74">
        <v>4242.4299999999985</v>
      </c>
      <c r="R80" s="53">
        <f t="shared" si="5"/>
        <v>42186.850000000006</v>
      </c>
      <c r="S80" s="73">
        <v>670744.15000000014</v>
      </c>
    </row>
    <row r="81" spans="1:19" x14ac:dyDescent="0.25">
      <c r="A81" s="28"/>
      <c r="B81" s="45" t="str">
        <f t="shared" si="3"/>
        <v>Feb-2023</v>
      </c>
      <c r="C81" s="57">
        <v>44970</v>
      </c>
      <c r="D81" s="43">
        <f t="shared" si="4"/>
        <v>1142</v>
      </c>
      <c r="E81" s="76">
        <v>950</v>
      </c>
      <c r="F81" s="50">
        <v>2382</v>
      </c>
      <c r="G81" s="49">
        <v>1172879</v>
      </c>
      <c r="H81" s="73">
        <v>2378</v>
      </c>
      <c r="I81" s="77">
        <v>2382</v>
      </c>
      <c r="J81" s="73">
        <v>939878.14999999979</v>
      </c>
      <c r="K81" s="52">
        <v>37</v>
      </c>
      <c r="L81" s="51">
        <v>8515.5600000000013</v>
      </c>
      <c r="M81" s="77">
        <v>1222</v>
      </c>
      <c r="N81" s="76">
        <v>455771.13</v>
      </c>
      <c r="O81" s="75">
        <v>1165</v>
      </c>
      <c r="P81" s="74">
        <v>221530.94999999943</v>
      </c>
      <c r="Q81" s="74">
        <v>5555.68</v>
      </c>
      <c r="R81" s="53">
        <f t="shared" si="5"/>
        <v>58643.950000000004</v>
      </c>
      <c r="S81" s="73">
        <v>939878.14999999991</v>
      </c>
    </row>
    <row r="82" spans="1:19" x14ac:dyDescent="0.25">
      <c r="A82" s="28"/>
      <c r="B82" s="45" t="str">
        <f t="shared" si="3"/>
        <v>Feb-2023</v>
      </c>
      <c r="C82" s="57">
        <v>44971</v>
      </c>
      <c r="D82" s="43">
        <f t="shared" si="4"/>
        <v>1141</v>
      </c>
      <c r="E82" s="76">
        <v>742</v>
      </c>
      <c r="F82" s="50">
        <v>2251</v>
      </c>
      <c r="G82" s="49">
        <v>1108652</v>
      </c>
      <c r="H82" s="73">
        <v>2239</v>
      </c>
      <c r="I82" s="77">
        <v>2251</v>
      </c>
      <c r="J82" s="73">
        <v>882701.87</v>
      </c>
      <c r="K82" s="52">
        <v>39</v>
      </c>
      <c r="L82" s="51">
        <v>11951.509999999998</v>
      </c>
      <c r="M82" s="77">
        <v>1195</v>
      </c>
      <c r="N82" s="76">
        <v>434585.2</v>
      </c>
      <c r="O82" s="75">
        <v>1133</v>
      </c>
      <c r="P82" s="74">
        <v>207272.40999999875</v>
      </c>
      <c r="Q82" s="74">
        <v>4518.4800000000041</v>
      </c>
      <c r="R82" s="53">
        <f t="shared" si="5"/>
        <v>55432.600000000006</v>
      </c>
      <c r="S82" s="73">
        <v>882701.87000000011</v>
      </c>
    </row>
    <row r="83" spans="1:19" x14ac:dyDescent="0.25">
      <c r="A83" s="28"/>
      <c r="B83" s="45" t="str">
        <f t="shared" si="3"/>
        <v>Feb-2023</v>
      </c>
      <c r="C83" s="57">
        <v>44972</v>
      </c>
      <c r="D83" s="43">
        <f t="shared" si="4"/>
        <v>1140</v>
      </c>
      <c r="E83" s="76">
        <v>662</v>
      </c>
      <c r="F83" s="50">
        <v>2173</v>
      </c>
      <c r="G83" s="49">
        <v>1108260</v>
      </c>
      <c r="H83" s="73">
        <v>2165</v>
      </c>
      <c r="I83" s="77">
        <v>2173</v>
      </c>
      <c r="J83" s="73">
        <v>795998.94</v>
      </c>
      <c r="K83" s="52">
        <v>46</v>
      </c>
      <c r="L83" s="51">
        <v>11532.53</v>
      </c>
      <c r="M83" s="77">
        <v>1337</v>
      </c>
      <c r="N83" s="76">
        <v>502216.46</v>
      </c>
      <c r="O83" s="75">
        <v>1249</v>
      </c>
      <c r="P83" s="74">
        <v>187894.85999999873</v>
      </c>
      <c r="Q83" s="74">
        <v>5031.2400000000016</v>
      </c>
      <c r="R83" s="53">
        <f t="shared" si="5"/>
        <v>55413</v>
      </c>
      <c r="S83" s="73">
        <v>795998.94000000006</v>
      </c>
    </row>
    <row r="84" spans="1:19" x14ac:dyDescent="0.25">
      <c r="A84" s="28"/>
      <c r="B84" s="45" t="str">
        <f t="shared" si="3"/>
        <v>Feb-2023</v>
      </c>
      <c r="C84" s="57">
        <v>44973</v>
      </c>
      <c r="D84" s="43">
        <f t="shared" si="4"/>
        <v>1139</v>
      </c>
      <c r="E84" s="76">
        <v>1208</v>
      </c>
      <c r="F84" s="50">
        <v>4347</v>
      </c>
      <c r="G84" s="49">
        <v>2516923</v>
      </c>
      <c r="H84" s="73">
        <v>4320</v>
      </c>
      <c r="I84" s="77">
        <v>4347</v>
      </c>
      <c r="J84" s="73">
        <v>1532025.38</v>
      </c>
      <c r="K84" s="52">
        <v>113</v>
      </c>
      <c r="L84" s="51">
        <v>32721.160000000007</v>
      </c>
      <c r="M84" s="77">
        <v>3177</v>
      </c>
      <c r="N84" s="76">
        <v>1357501.52</v>
      </c>
      <c r="O84" s="75">
        <v>2910</v>
      </c>
      <c r="P84" s="74">
        <v>365303.21000000095</v>
      </c>
      <c r="Q84" s="74">
        <v>14174.300000000007</v>
      </c>
      <c r="R84" s="53">
        <f t="shared" si="5"/>
        <v>125846.15000000001</v>
      </c>
      <c r="S84" s="73">
        <v>1532025.38</v>
      </c>
    </row>
    <row r="85" spans="1:19" x14ac:dyDescent="0.25">
      <c r="A85" s="28"/>
      <c r="B85" s="45" t="str">
        <f t="shared" si="3"/>
        <v>Feb-2023</v>
      </c>
      <c r="C85" s="57">
        <v>44974</v>
      </c>
      <c r="D85" s="43">
        <f t="shared" si="4"/>
        <v>1138</v>
      </c>
      <c r="E85" s="76">
        <v>841</v>
      </c>
      <c r="F85" s="50">
        <v>4036</v>
      </c>
      <c r="G85" s="49">
        <v>2278753</v>
      </c>
      <c r="H85" s="73">
        <v>4015</v>
      </c>
      <c r="I85" s="77">
        <v>4036</v>
      </c>
      <c r="J85" s="73">
        <v>1339703.1200000006</v>
      </c>
      <c r="K85" s="52">
        <v>84</v>
      </c>
      <c r="L85" s="51">
        <v>26647.570000000011</v>
      </c>
      <c r="M85" s="77">
        <v>2946</v>
      </c>
      <c r="N85" s="76">
        <v>1266317.97</v>
      </c>
      <c r="O85" s="75">
        <v>2731</v>
      </c>
      <c r="P85" s="74">
        <v>319279.28000000096</v>
      </c>
      <c r="Q85" s="74">
        <v>12541.210000000006</v>
      </c>
      <c r="R85" s="53">
        <f t="shared" si="5"/>
        <v>113937.65000000001</v>
      </c>
      <c r="S85" s="73">
        <v>1339703.1200000006</v>
      </c>
    </row>
    <row r="86" spans="1:19" x14ac:dyDescent="0.25">
      <c r="A86" s="28"/>
      <c r="B86" s="45" t="str">
        <f t="shared" si="3"/>
        <v>Feb-2023</v>
      </c>
      <c r="C86" s="57">
        <v>44975</v>
      </c>
      <c r="D86" s="43">
        <f t="shared" si="4"/>
        <v>1137</v>
      </c>
      <c r="E86" s="76">
        <v>633</v>
      </c>
      <c r="F86" s="50">
        <v>3142</v>
      </c>
      <c r="G86" s="49">
        <v>1872882</v>
      </c>
      <c r="H86" s="73">
        <v>3132</v>
      </c>
      <c r="I86" s="77">
        <v>3142</v>
      </c>
      <c r="J86" s="73">
        <v>1130663.4500000002</v>
      </c>
      <c r="K86" s="52">
        <v>77</v>
      </c>
      <c r="L86" s="51">
        <v>21765.58</v>
      </c>
      <c r="M86" s="77">
        <v>2341</v>
      </c>
      <c r="N86" s="76">
        <v>1019610.33</v>
      </c>
      <c r="O86" s="75">
        <v>2167</v>
      </c>
      <c r="P86" s="74">
        <v>270895.50999999902</v>
      </c>
      <c r="Q86" s="74">
        <v>12167.949999999997</v>
      </c>
      <c r="R86" s="53">
        <f t="shared" si="5"/>
        <v>93644.1</v>
      </c>
      <c r="S86" s="73">
        <v>1130663.4500000004</v>
      </c>
    </row>
    <row r="87" spans="1:19" x14ac:dyDescent="0.25">
      <c r="A87" s="28"/>
      <c r="B87" s="45" t="str">
        <f t="shared" si="3"/>
        <v>Feb-2023</v>
      </c>
      <c r="C87" s="57">
        <v>44976</v>
      </c>
      <c r="D87" s="43">
        <f t="shared" si="4"/>
        <v>1136</v>
      </c>
      <c r="E87" s="76">
        <v>707</v>
      </c>
      <c r="F87" s="50">
        <v>3451</v>
      </c>
      <c r="G87" s="49">
        <v>2200844</v>
      </c>
      <c r="H87" s="73">
        <v>3442</v>
      </c>
      <c r="I87" s="77">
        <v>3451</v>
      </c>
      <c r="J87" s="73">
        <v>1306600.5699999998</v>
      </c>
      <c r="K87" s="52">
        <v>60</v>
      </c>
      <c r="L87" s="51">
        <v>14225.550000000003</v>
      </c>
      <c r="M87" s="77">
        <v>2582</v>
      </c>
      <c r="N87" s="76">
        <v>1216234.58</v>
      </c>
      <c r="O87" s="75">
        <v>2351</v>
      </c>
      <c r="P87" s="74">
        <v>312912.83000000031</v>
      </c>
      <c r="Q87" s="74">
        <v>14113.28000000001</v>
      </c>
      <c r="R87" s="53">
        <f t="shared" si="5"/>
        <v>110042.20000000001</v>
      </c>
      <c r="S87" s="73">
        <v>1306600.5699999998</v>
      </c>
    </row>
    <row r="88" spans="1:19" x14ac:dyDescent="0.25">
      <c r="A88" s="28"/>
      <c r="B88" s="45" t="str">
        <f t="shared" si="3"/>
        <v>Feb-2023</v>
      </c>
      <c r="C88" s="57">
        <v>44977</v>
      </c>
      <c r="D88" s="43">
        <f t="shared" si="4"/>
        <v>1135</v>
      </c>
      <c r="E88" s="76">
        <v>724</v>
      </c>
      <c r="F88" s="50">
        <v>3561</v>
      </c>
      <c r="G88" s="49">
        <v>2265294</v>
      </c>
      <c r="H88" s="73">
        <v>3543</v>
      </c>
      <c r="I88" s="77">
        <v>3561</v>
      </c>
      <c r="J88" s="73">
        <v>1321406.7599999995</v>
      </c>
      <c r="K88" s="52">
        <v>88</v>
      </c>
      <c r="L88" s="51">
        <v>27893.030000000006</v>
      </c>
      <c r="M88" s="77">
        <v>2601</v>
      </c>
      <c r="N88" s="76">
        <v>1271004</v>
      </c>
      <c r="O88" s="75">
        <v>2422</v>
      </c>
      <c r="P88" s="74">
        <v>315521.17999999801</v>
      </c>
      <c r="Q88" s="74">
        <v>13301.740000000009</v>
      </c>
      <c r="R88" s="53">
        <f t="shared" si="5"/>
        <v>113264.70000000001</v>
      </c>
      <c r="S88" s="73">
        <v>1321406.6399999997</v>
      </c>
    </row>
    <row r="89" spans="1:19" x14ac:dyDescent="0.25">
      <c r="A89" s="28"/>
      <c r="B89" s="45" t="str">
        <f t="shared" si="3"/>
        <v>Feb-2023</v>
      </c>
      <c r="C89" s="57">
        <v>44978</v>
      </c>
      <c r="D89" s="43">
        <f t="shared" si="4"/>
        <v>1134</v>
      </c>
      <c r="E89" s="76">
        <v>879</v>
      </c>
      <c r="F89" s="50">
        <v>3590</v>
      </c>
      <c r="G89" s="49">
        <v>2139465</v>
      </c>
      <c r="H89" s="73">
        <v>3583</v>
      </c>
      <c r="I89" s="77">
        <v>3590</v>
      </c>
      <c r="J89" s="73">
        <v>1431343.2200000002</v>
      </c>
      <c r="K89" s="52">
        <v>65</v>
      </c>
      <c r="L89" s="51">
        <v>12618.5</v>
      </c>
      <c r="M89" s="77">
        <v>2435</v>
      </c>
      <c r="N89" s="76">
        <v>1056780</v>
      </c>
      <c r="O89" s="75">
        <v>2260</v>
      </c>
      <c r="P89" s="74">
        <v>340473.24999999761</v>
      </c>
      <c r="Q89" s="74">
        <v>13381.229999999994</v>
      </c>
      <c r="R89" s="53">
        <f t="shared" si="5"/>
        <v>106973.25</v>
      </c>
      <c r="S89" s="73">
        <v>1431343.2200000004</v>
      </c>
    </row>
    <row r="90" spans="1:19" x14ac:dyDescent="0.25">
      <c r="A90" s="28"/>
      <c r="B90" s="45" t="str">
        <f t="shared" si="3"/>
        <v>Feb-2023</v>
      </c>
      <c r="C90" s="57">
        <v>44979</v>
      </c>
      <c r="D90" s="43">
        <f t="shared" si="4"/>
        <v>1133</v>
      </c>
      <c r="E90" s="76">
        <v>526</v>
      </c>
      <c r="F90" s="50">
        <v>2279</v>
      </c>
      <c r="G90" s="49">
        <v>1314506</v>
      </c>
      <c r="H90" s="73">
        <v>2262</v>
      </c>
      <c r="I90" s="77">
        <v>2279</v>
      </c>
      <c r="J90" s="73">
        <v>920597.19000000029</v>
      </c>
      <c r="K90" s="52">
        <v>71</v>
      </c>
      <c r="L90" s="51">
        <v>15060.55</v>
      </c>
      <c r="M90" s="77">
        <v>1532</v>
      </c>
      <c r="N90" s="76">
        <v>618596.71</v>
      </c>
      <c r="O90" s="75">
        <v>1413</v>
      </c>
      <c r="P90" s="74">
        <v>219940.02000000083</v>
      </c>
      <c r="Q90" s="74">
        <v>9903.9000000000051</v>
      </c>
      <c r="R90" s="53">
        <f t="shared" si="5"/>
        <v>65725.3</v>
      </c>
      <c r="S90" s="73">
        <v>920597.19000000006</v>
      </c>
    </row>
    <row r="91" spans="1:19" x14ac:dyDescent="0.25">
      <c r="A91" s="28"/>
      <c r="B91" s="45" t="str">
        <f t="shared" si="3"/>
        <v>Feb-2023</v>
      </c>
      <c r="C91" s="57">
        <v>44980</v>
      </c>
      <c r="D91" s="43">
        <f t="shared" si="4"/>
        <v>1132</v>
      </c>
      <c r="E91" s="76">
        <v>836</v>
      </c>
      <c r="F91" s="50">
        <v>3126</v>
      </c>
      <c r="G91" s="49">
        <v>1733425</v>
      </c>
      <c r="H91" s="73">
        <v>3118</v>
      </c>
      <c r="I91" s="77">
        <v>3126</v>
      </c>
      <c r="J91" s="73">
        <v>1345206.7199999997</v>
      </c>
      <c r="K91" s="52">
        <v>59</v>
      </c>
      <c r="L91" s="51">
        <v>11228.330000000002</v>
      </c>
      <c r="M91" s="77">
        <v>1903</v>
      </c>
      <c r="N91" s="76">
        <v>711044</v>
      </c>
      <c r="O91" s="75">
        <v>1764</v>
      </c>
      <c r="P91" s="74">
        <v>317739.61000000156</v>
      </c>
      <c r="Q91" s="74">
        <v>11155.400000000011</v>
      </c>
      <c r="R91" s="53">
        <f t="shared" si="5"/>
        <v>86671.25</v>
      </c>
      <c r="S91" s="73">
        <v>1345206.7199999993</v>
      </c>
    </row>
    <row r="92" spans="1:19" x14ac:dyDescent="0.25">
      <c r="A92" s="28"/>
      <c r="B92" s="45" t="str">
        <f t="shared" si="3"/>
        <v>Feb-2023</v>
      </c>
      <c r="C92" s="57">
        <v>44981</v>
      </c>
      <c r="D92" s="43">
        <f t="shared" si="4"/>
        <v>1131</v>
      </c>
      <c r="E92" s="76">
        <v>706</v>
      </c>
      <c r="F92" s="50">
        <v>2661</v>
      </c>
      <c r="G92" s="49">
        <v>1476873</v>
      </c>
      <c r="H92" s="73">
        <v>2652</v>
      </c>
      <c r="I92" s="77">
        <v>2661</v>
      </c>
      <c r="J92" s="73">
        <v>1076830.43</v>
      </c>
      <c r="K92" s="52">
        <v>47</v>
      </c>
      <c r="L92" s="51">
        <v>10868.749999999998</v>
      </c>
      <c r="M92" s="77">
        <v>1664</v>
      </c>
      <c r="N92" s="76">
        <v>658295.16</v>
      </c>
      <c r="O92" s="75">
        <v>1534</v>
      </c>
      <c r="P92" s="74">
        <v>254006.94999999966</v>
      </c>
      <c r="Q92" s="74">
        <v>8394.010000000002</v>
      </c>
      <c r="R92" s="53">
        <f t="shared" si="5"/>
        <v>73843.650000000009</v>
      </c>
      <c r="S92" s="73">
        <v>1076830.43</v>
      </c>
    </row>
    <row r="93" spans="1:19" x14ac:dyDescent="0.25">
      <c r="A93" s="28"/>
      <c r="B93" s="45" t="str">
        <f t="shared" si="3"/>
        <v>Feb-2023</v>
      </c>
      <c r="C93" s="57">
        <v>44982</v>
      </c>
      <c r="D93" s="43">
        <f t="shared" si="4"/>
        <v>1130</v>
      </c>
      <c r="E93" s="76">
        <v>645</v>
      </c>
      <c r="F93" s="50">
        <v>2460</v>
      </c>
      <c r="G93" s="49">
        <v>1386866</v>
      </c>
      <c r="H93" s="73">
        <v>2453</v>
      </c>
      <c r="I93" s="77">
        <v>2460</v>
      </c>
      <c r="J93" s="73">
        <v>1045624.7600000001</v>
      </c>
      <c r="K93" s="52">
        <v>59</v>
      </c>
      <c r="L93" s="51">
        <v>13052.99</v>
      </c>
      <c r="M93" s="77">
        <v>1624</v>
      </c>
      <c r="N93" s="76">
        <v>594159.81999999995</v>
      </c>
      <c r="O93" s="75">
        <v>1480</v>
      </c>
      <c r="P93" s="74">
        <v>247109.70999999935</v>
      </c>
      <c r="Q93" s="74">
        <v>8992.44</v>
      </c>
      <c r="R93" s="53">
        <f t="shared" si="5"/>
        <v>69343.3</v>
      </c>
      <c r="S93" s="73">
        <v>1045624.76</v>
      </c>
    </row>
    <row r="94" spans="1:19" x14ac:dyDescent="0.25">
      <c r="A94" s="28"/>
      <c r="B94" s="45" t="str">
        <f t="shared" si="3"/>
        <v>Feb-2023</v>
      </c>
      <c r="C94" s="57">
        <v>44983</v>
      </c>
      <c r="D94" s="43">
        <f t="shared" si="4"/>
        <v>1129</v>
      </c>
      <c r="E94" s="76">
        <v>553</v>
      </c>
      <c r="F94" s="50">
        <v>2047</v>
      </c>
      <c r="G94" s="49">
        <v>1124846</v>
      </c>
      <c r="H94" s="73">
        <v>2039</v>
      </c>
      <c r="I94" s="77">
        <v>2047</v>
      </c>
      <c r="J94" s="73">
        <v>857886.1</v>
      </c>
      <c r="K94" s="52">
        <v>39</v>
      </c>
      <c r="L94" s="51">
        <v>10602.010000000002</v>
      </c>
      <c r="M94" s="77">
        <v>1248</v>
      </c>
      <c r="N94" s="76">
        <v>471776.64</v>
      </c>
      <c r="O94" s="75">
        <v>1155</v>
      </c>
      <c r="P94" s="74">
        <v>203182.63999999972</v>
      </c>
      <c r="Q94" s="74">
        <v>8656.7699999999968</v>
      </c>
      <c r="R94" s="53">
        <f t="shared" si="5"/>
        <v>56242.3</v>
      </c>
      <c r="S94" s="73">
        <v>857886.09999999986</v>
      </c>
    </row>
    <row r="95" spans="1:19" x14ac:dyDescent="0.25">
      <c r="A95" s="28"/>
      <c r="B95" s="45" t="str">
        <f t="shared" si="3"/>
        <v>Feb-2023</v>
      </c>
      <c r="C95" s="57">
        <v>44984</v>
      </c>
      <c r="D95" s="43">
        <f t="shared" si="4"/>
        <v>1128</v>
      </c>
      <c r="E95" s="76">
        <v>644</v>
      </c>
      <c r="F95" s="50">
        <v>2448</v>
      </c>
      <c r="G95" s="49">
        <v>1368624</v>
      </c>
      <c r="H95" s="73">
        <v>2436</v>
      </c>
      <c r="I95" s="77">
        <v>2448</v>
      </c>
      <c r="J95" s="73">
        <v>1001895.2199999999</v>
      </c>
      <c r="K95" s="52">
        <v>72</v>
      </c>
      <c r="L95" s="51">
        <v>15041.650000000001</v>
      </c>
      <c r="M95" s="77">
        <v>1718</v>
      </c>
      <c r="N95" s="76">
        <v>610337.04</v>
      </c>
      <c r="O95" s="75">
        <v>1538</v>
      </c>
      <c r="P95" s="74">
        <v>237420.68999999925</v>
      </c>
      <c r="Q95" s="74">
        <v>9732.5000000000036</v>
      </c>
      <c r="R95" s="53">
        <f t="shared" si="5"/>
        <v>68431.199999999997</v>
      </c>
      <c r="S95" s="73">
        <v>1001895.2199999997</v>
      </c>
    </row>
    <row r="96" spans="1:19" x14ac:dyDescent="0.25">
      <c r="A96" s="28"/>
      <c r="B96" s="45" t="str">
        <f t="shared" si="3"/>
        <v>Feb-2023</v>
      </c>
      <c r="C96" s="57">
        <v>44985</v>
      </c>
      <c r="D96" s="43">
        <f t="shared" si="4"/>
        <v>1127</v>
      </c>
      <c r="E96" s="76">
        <v>777</v>
      </c>
      <c r="F96" s="50">
        <v>1490</v>
      </c>
      <c r="G96" s="49">
        <v>849219</v>
      </c>
      <c r="H96" s="73">
        <v>1490</v>
      </c>
      <c r="I96" s="77">
        <v>1490</v>
      </c>
      <c r="J96" s="73">
        <v>735998.52000000037</v>
      </c>
      <c r="K96" s="52">
        <v>42</v>
      </c>
      <c r="L96" s="51">
        <v>2983.5699999999997</v>
      </c>
      <c r="M96" s="77">
        <v>1017</v>
      </c>
      <c r="N96" s="76">
        <v>291939.65000000002</v>
      </c>
      <c r="O96" s="75">
        <v>927</v>
      </c>
      <c r="P96" s="74">
        <v>173376.54000000033</v>
      </c>
      <c r="Q96" s="74">
        <v>6308.4300000000021</v>
      </c>
      <c r="R96" s="53">
        <f t="shared" si="5"/>
        <v>42460.950000000004</v>
      </c>
      <c r="S96" s="73">
        <v>735998.52000000025</v>
      </c>
    </row>
    <row r="97" spans="1:19" x14ac:dyDescent="0.25">
      <c r="A97" s="28"/>
      <c r="B97" s="45" t="str">
        <f t="shared" si="3"/>
        <v>Mar-2023</v>
      </c>
      <c r="C97" s="57">
        <v>44986</v>
      </c>
      <c r="D97" s="43">
        <f t="shared" si="4"/>
        <v>1126</v>
      </c>
      <c r="E97" s="76">
        <v>766</v>
      </c>
      <c r="F97" s="50">
        <v>2366</v>
      </c>
      <c r="G97" s="49">
        <v>1302145</v>
      </c>
      <c r="H97" s="73">
        <v>2362</v>
      </c>
      <c r="I97" s="77">
        <v>2366</v>
      </c>
      <c r="J97" s="73">
        <v>1070865.7700000007</v>
      </c>
      <c r="K97" s="52">
        <v>64</v>
      </c>
      <c r="L97" s="51">
        <v>9101.0500000000011</v>
      </c>
      <c r="M97" s="77">
        <v>1460</v>
      </c>
      <c r="N97" s="76">
        <v>495821.5</v>
      </c>
      <c r="O97" s="75">
        <v>1321</v>
      </c>
      <c r="P97" s="74">
        <v>252263.78000000105</v>
      </c>
      <c r="Q97" s="74">
        <v>8944.8400000000074</v>
      </c>
      <c r="R97" s="53">
        <f t="shared" si="5"/>
        <v>65107.25</v>
      </c>
      <c r="S97" s="73">
        <v>1070865.7700000007</v>
      </c>
    </row>
    <row r="98" spans="1:19" x14ac:dyDescent="0.25">
      <c r="A98" s="28"/>
      <c r="B98" s="45" t="str">
        <f t="shared" si="3"/>
        <v>Mar-2023</v>
      </c>
      <c r="C98" s="57">
        <v>44987</v>
      </c>
      <c r="D98" s="43">
        <f t="shared" si="4"/>
        <v>1125</v>
      </c>
      <c r="E98" s="76">
        <v>929</v>
      </c>
      <c r="F98" s="50">
        <v>2453</v>
      </c>
      <c r="G98" s="49">
        <v>1363936</v>
      </c>
      <c r="H98" s="73">
        <v>2427</v>
      </c>
      <c r="I98" s="77">
        <v>2453</v>
      </c>
      <c r="J98" s="73">
        <v>987674.60000000021</v>
      </c>
      <c r="K98" s="52">
        <v>67</v>
      </c>
      <c r="L98" s="51">
        <v>32259.600000000002</v>
      </c>
      <c r="M98" s="77">
        <v>1568</v>
      </c>
      <c r="N98" s="76">
        <v>613832.74</v>
      </c>
      <c r="O98" s="75">
        <v>1440</v>
      </c>
      <c r="P98" s="74">
        <v>232163.78999999908</v>
      </c>
      <c r="Q98" s="74">
        <v>7992.58</v>
      </c>
      <c r="R98" s="53">
        <f t="shared" si="5"/>
        <v>68196.800000000003</v>
      </c>
      <c r="S98" s="73">
        <v>987674.6</v>
      </c>
    </row>
    <row r="99" spans="1:19" x14ac:dyDescent="0.25">
      <c r="A99" s="28"/>
      <c r="B99" s="45" t="str">
        <f t="shared" si="3"/>
        <v>Mar-2023</v>
      </c>
      <c r="C99" s="57">
        <v>44988</v>
      </c>
      <c r="D99" s="43">
        <f t="shared" si="4"/>
        <v>1124</v>
      </c>
      <c r="E99" s="76">
        <v>941</v>
      </c>
      <c r="F99" s="50">
        <v>1344</v>
      </c>
      <c r="G99" s="49">
        <v>757141</v>
      </c>
      <c r="H99" s="73">
        <v>1339</v>
      </c>
      <c r="I99" s="77">
        <v>1344</v>
      </c>
      <c r="J99" s="73">
        <v>541445.48</v>
      </c>
      <c r="K99" s="52">
        <v>32</v>
      </c>
      <c r="L99" s="51">
        <v>16513.22</v>
      </c>
      <c r="M99" s="77">
        <v>791</v>
      </c>
      <c r="N99" s="76">
        <v>346707.96</v>
      </c>
      <c r="O99" s="75">
        <v>723</v>
      </c>
      <c r="P99" s="74">
        <v>127599.18999999986</v>
      </c>
      <c r="Q99" s="74">
        <v>4637.5700000000006</v>
      </c>
      <c r="R99" s="53">
        <f t="shared" si="5"/>
        <v>37857.050000000003</v>
      </c>
      <c r="S99" s="73">
        <v>541445.48</v>
      </c>
    </row>
    <row r="100" spans="1:19" x14ac:dyDescent="0.25">
      <c r="A100" s="28"/>
      <c r="B100" s="45" t="str">
        <f t="shared" si="3"/>
        <v>Mar-2023</v>
      </c>
      <c r="C100" s="57">
        <v>44989</v>
      </c>
      <c r="D100" s="43">
        <f t="shared" si="4"/>
        <v>1123</v>
      </c>
      <c r="E100" s="76">
        <v>744</v>
      </c>
      <c r="F100" s="50">
        <v>2268</v>
      </c>
      <c r="G100" s="49">
        <v>1301366</v>
      </c>
      <c r="H100" s="73">
        <v>2256</v>
      </c>
      <c r="I100" s="77">
        <v>2268</v>
      </c>
      <c r="J100" s="73">
        <v>890574.85999999964</v>
      </c>
      <c r="K100" s="52">
        <v>35</v>
      </c>
      <c r="L100" s="51">
        <v>12542.51</v>
      </c>
      <c r="M100" s="77">
        <v>1504</v>
      </c>
      <c r="N100" s="76">
        <v>629073.56999999995</v>
      </c>
      <c r="O100" s="75">
        <v>1390</v>
      </c>
      <c r="P100" s="74">
        <v>209553.87999999899</v>
      </c>
      <c r="Q100" s="74">
        <v>7684.9199999999973</v>
      </c>
      <c r="R100" s="53">
        <f t="shared" si="5"/>
        <v>65068.3</v>
      </c>
      <c r="S100" s="73">
        <v>890574.85999999975</v>
      </c>
    </row>
    <row r="101" spans="1:19" x14ac:dyDescent="0.25">
      <c r="A101" s="28"/>
      <c r="B101" s="45" t="str">
        <f t="shared" si="3"/>
        <v>Mar-2023</v>
      </c>
      <c r="C101" s="57">
        <v>44990</v>
      </c>
      <c r="D101" s="43">
        <f t="shared" si="4"/>
        <v>1122</v>
      </c>
      <c r="E101" s="76">
        <v>744</v>
      </c>
      <c r="F101" s="50">
        <v>2254</v>
      </c>
      <c r="G101" s="49">
        <v>1248205</v>
      </c>
      <c r="H101" s="73">
        <v>2245</v>
      </c>
      <c r="I101" s="77">
        <v>2254</v>
      </c>
      <c r="J101" s="73">
        <v>896122.11</v>
      </c>
      <c r="K101" s="52">
        <v>42</v>
      </c>
      <c r="L101" s="51">
        <v>12462.400000000001</v>
      </c>
      <c r="M101" s="77">
        <v>1383</v>
      </c>
      <c r="N101" s="76">
        <v>567605.09</v>
      </c>
      <c r="O101" s="75">
        <v>1272</v>
      </c>
      <c r="P101" s="74">
        <v>210639.47999999981</v>
      </c>
      <c r="Q101" s="74">
        <v>7647.9500000000007</v>
      </c>
      <c r="R101" s="53">
        <f t="shared" si="5"/>
        <v>62410.25</v>
      </c>
      <c r="S101" s="73">
        <v>896122.1100000001</v>
      </c>
    </row>
    <row r="102" spans="1:19" x14ac:dyDescent="0.25">
      <c r="A102" s="28"/>
      <c r="B102" s="45" t="str">
        <f t="shared" si="3"/>
        <v>Mar-2023</v>
      </c>
      <c r="C102" s="57">
        <v>44991</v>
      </c>
      <c r="D102" s="43">
        <f t="shared" si="4"/>
        <v>1121</v>
      </c>
      <c r="E102" s="76">
        <v>1052</v>
      </c>
      <c r="F102" s="50">
        <v>2983</v>
      </c>
      <c r="G102" s="49">
        <v>1642140</v>
      </c>
      <c r="H102" s="73">
        <v>2965</v>
      </c>
      <c r="I102" s="77">
        <v>2983</v>
      </c>
      <c r="J102" s="73">
        <v>1225992.5600000005</v>
      </c>
      <c r="K102" s="52">
        <v>60</v>
      </c>
      <c r="L102" s="51">
        <v>21874.26</v>
      </c>
      <c r="M102" s="77">
        <v>1738</v>
      </c>
      <c r="N102" s="76">
        <v>710037.11</v>
      </c>
      <c r="O102" s="75">
        <v>1576</v>
      </c>
      <c r="P102" s="74">
        <v>287174.0199999981</v>
      </c>
      <c r="Q102" s="74">
        <v>9552.3800000000065</v>
      </c>
      <c r="R102" s="53">
        <f t="shared" si="5"/>
        <v>82107</v>
      </c>
      <c r="S102" s="73">
        <v>1225992.5599999998</v>
      </c>
    </row>
    <row r="103" spans="1:19" x14ac:dyDescent="0.25">
      <c r="A103" s="28"/>
      <c r="B103" s="45" t="str">
        <f t="shared" si="3"/>
        <v>Mar-2023</v>
      </c>
      <c r="C103" s="57">
        <v>44992</v>
      </c>
      <c r="D103" s="43">
        <f t="shared" si="4"/>
        <v>1120</v>
      </c>
      <c r="E103" s="76">
        <v>1324</v>
      </c>
      <c r="F103" s="50">
        <v>2049</v>
      </c>
      <c r="G103" s="49">
        <v>1116260</v>
      </c>
      <c r="H103" s="73">
        <v>2045</v>
      </c>
      <c r="I103" s="77">
        <v>2049</v>
      </c>
      <c r="J103" s="73">
        <v>905870.39999999967</v>
      </c>
      <c r="K103" s="52">
        <v>36</v>
      </c>
      <c r="L103" s="51">
        <v>9912.35</v>
      </c>
      <c r="M103" s="77">
        <v>1091</v>
      </c>
      <c r="N103" s="76">
        <v>426158.15</v>
      </c>
      <c r="O103" s="75">
        <v>1004</v>
      </c>
      <c r="P103" s="74">
        <v>211504.20000000045</v>
      </c>
      <c r="Q103" s="74">
        <v>6471.1200000000026</v>
      </c>
      <c r="R103" s="53">
        <f t="shared" si="5"/>
        <v>55813</v>
      </c>
      <c r="S103" s="73">
        <v>905870.39999999991</v>
      </c>
    </row>
    <row r="104" spans="1:19" x14ac:dyDescent="0.25">
      <c r="A104" s="28"/>
      <c r="B104" s="45" t="str">
        <f t="shared" si="3"/>
        <v>Mar-2023</v>
      </c>
      <c r="C104" s="57">
        <v>44993</v>
      </c>
      <c r="D104" s="43">
        <f t="shared" si="4"/>
        <v>1119</v>
      </c>
      <c r="E104" s="76">
        <v>1319</v>
      </c>
      <c r="F104" s="50">
        <v>1829</v>
      </c>
      <c r="G104" s="49">
        <v>1008421</v>
      </c>
      <c r="H104" s="73">
        <v>1825</v>
      </c>
      <c r="I104" s="77">
        <v>1829</v>
      </c>
      <c r="J104" s="73">
        <v>763599.08000000019</v>
      </c>
      <c r="K104" s="52">
        <v>14</v>
      </c>
      <c r="L104" s="51">
        <v>5664.12</v>
      </c>
      <c r="M104" s="77">
        <v>1140</v>
      </c>
      <c r="N104" s="76">
        <v>427509.94</v>
      </c>
      <c r="O104" s="75">
        <v>1034</v>
      </c>
      <c r="P104" s="74">
        <v>178873.22000000023</v>
      </c>
      <c r="Q104" s="74">
        <v>6219.2500000000036</v>
      </c>
      <c r="R104" s="53">
        <f t="shared" si="5"/>
        <v>50421.05</v>
      </c>
      <c r="S104" s="73">
        <v>763599.08000000007</v>
      </c>
    </row>
    <row r="105" spans="1:19" x14ac:dyDescent="0.25">
      <c r="A105" s="28"/>
      <c r="B105" s="45" t="str">
        <f t="shared" si="3"/>
        <v>Mar-2023</v>
      </c>
      <c r="C105" s="57">
        <v>44994</v>
      </c>
      <c r="D105" s="43">
        <f t="shared" si="4"/>
        <v>1118</v>
      </c>
      <c r="E105" s="76">
        <v>1431</v>
      </c>
      <c r="F105" s="50">
        <v>3269</v>
      </c>
      <c r="G105" s="49">
        <v>1773650</v>
      </c>
      <c r="H105" s="73">
        <v>3258</v>
      </c>
      <c r="I105" s="77">
        <v>3269</v>
      </c>
      <c r="J105" s="73">
        <v>1435432.0199999996</v>
      </c>
      <c r="K105" s="52">
        <v>69</v>
      </c>
      <c r="L105" s="51">
        <v>18566.48</v>
      </c>
      <c r="M105" s="77">
        <v>1716</v>
      </c>
      <c r="N105" s="76">
        <v>677799.48</v>
      </c>
      <c r="O105" s="75">
        <v>1561</v>
      </c>
      <c r="P105" s="74">
        <v>334837.62999999867</v>
      </c>
      <c r="Q105" s="74">
        <v>10450.020000000002</v>
      </c>
      <c r="R105" s="53">
        <f t="shared" si="5"/>
        <v>88682.5</v>
      </c>
      <c r="S105" s="73">
        <v>1435432.0199999996</v>
      </c>
    </row>
    <row r="106" spans="1:19" x14ac:dyDescent="0.25">
      <c r="A106" s="28"/>
      <c r="B106" s="45" t="str">
        <f t="shared" si="3"/>
        <v>Mar-2023</v>
      </c>
      <c r="C106" s="57">
        <v>44995</v>
      </c>
      <c r="D106" s="43">
        <f t="shared" si="4"/>
        <v>1117</v>
      </c>
      <c r="E106" s="76">
        <v>1183</v>
      </c>
      <c r="F106" s="50">
        <v>2534</v>
      </c>
      <c r="G106" s="49">
        <v>1375790</v>
      </c>
      <c r="H106" s="73">
        <v>2520</v>
      </c>
      <c r="I106" s="77">
        <v>2534</v>
      </c>
      <c r="J106" s="73">
        <v>1128233.5699999998</v>
      </c>
      <c r="K106" s="52">
        <v>42</v>
      </c>
      <c r="L106" s="51">
        <v>16631.309999999998</v>
      </c>
      <c r="M106" s="77">
        <v>1362</v>
      </c>
      <c r="N106" s="76">
        <v>516180.06</v>
      </c>
      <c r="O106" s="75">
        <v>1220</v>
      </c>
      <c r="P106" s="74">
        <v>262627.74999999878</v>
      </c>
      <c r="Q106" s="74">
        <v>7884.4099999999989</v>
      </c>
      <c r="R106" s="53">
        <f t="shared" si="5"/>
        <v>68789.5</v>
      </c>
      <c r="S106" s="73">
        <v>1128233.5699999996</v>
      </c>
    </row>
    <row r="107" spans="1:19" x14ac:dyDescent="0.25">
      <c r="A107" s="28"/>
      <c r="B107" s="45" t="str">
        <f t="shared" si="3"/>
        <v>Mar-2023</v>
      </c>
      <c r="C107" s="57">
        <v>44996</v>
      </c>
      <c r="D107" s="43">
        <f t="shared" si="4"/>
        <v>1116</v>
      </c>
      <c r="E107" s="76">
        <v>1086</v>
      </c>
      <c r="F107" s="50">
        <v>2257</v>
      </c>
      <c r="G107" s="49">
        <v>1219230</v>
      </c>
      <c r="H107" s="73">
        <v>2245</v>
      </c>
      <c r="I107" s="77">
        <v>2257</v>
      </c>
      <c r="J107" s="73">
        <v>952753.46000000008</v>
      </c>
      <c r="K107" s="52">
        <v>48</v>
      </c>
      <c r="L107" s="51">
        <v>14286.539999999999</v>
      </c>
      <c r="M107" s="77">
        <v>1248</v>
      </c>
      <c r="N107" s="76">
        <v>491024.3</v>
      </c>
      <c r="O107" s="75">
        <v>1138</v>
      </c>
      <c r="P107" s="74">
        <v>222026.05999999944</v>
      </c>
      <c r="Q107" s="74">
        <v>6990.0900000000038</v>
      </c>
      <c r="R107" s="53">
        <f t="shared" si="5"/>
        <v>60961.5</v>
      </c>
      <c r="S107" s="73">
        <v>952753.4600000002</v>
      </c>
    </row>
    <row r="108" spans="1:19" x14ac:dyDescent="0.25">
      <c r="A108" s="28"/>
      <c r="B108" s="45" t="str">
        <f t="shared" si="3"/>
        <v>Mar-2023</v>
      </c>
      <c r="C108" s="57">
        <v>44997</v>
      </c>
      <c r="D108" s="43">
        <f t="shared" si="4"/>
        <v>1115</v>
      </c>
      <c r="E108" s="76">
        <v>1092</v>
      </c>
      <c r="F108" s="50">
        <v>2119</v>
      </c>
      <c r="G108" s="49">
        <v>1127652</v>
      </c>
      <c r="H108" s="73">
        <v>2113</v>
      </c>
      <c r="I108" s="77">
        <v>2119</v>
      </c>
      <c r="J108" s="73">
        <v>928980.25000000012</v>
      </c>
      <c r="K108" s="52">
        <v>31</v>
      </c>
      <c r="L108" s="51">
        <v>7053.72</v>
      </c>
      <c r="M108" s="77">
        <v>1188</v>
      </c>
      <c r="N108" s="76">
        <v>416424.63</v>
      </c>
      <c r="O108" s="75">
        <v>1082</v>
      </c>
      <c r="P108" s="74">
        <v>216011.47</v>
      </c>
      <c r="Q108" s="74">
        <v>6322.66</v>
      </c>
      <c r="R108" s="53">
        <f t="shared" si="5"/>
        <v>56382.600000000006</v>
      </c>
      <c r="S108" s="73">
        <v>928980.25000000023</v>
      </c>
    </row>
    <row r="109" spans="1:19" x14ac:dyDescent="0.25">
      <c r="A109" s="28"/>
      <c r="B109" s="45" t="str">
        <f t="shared" si="3"/>
        <v>Mar-2023</v>
      </c>
      <c r="C109" s="57">
        <v>44998</v>
      </c>
      <c r="D109" s="43">
        <f t="shared" si="4"/>
        <v>1114</v>
      </c>
      <c r="E109" s="76">
        <v>1264</v>
      </c>
      <c r="F109" s="50">
        <v>2464</v>
      </c>
      <c r="G109" s="49">
        <v>1331227</v>
      </c>
      <c r="H109" s="73">
        <v>2453</v>
      </c>
      <c r="I109" s="77">
        <v>2464</v>
      </c>
      <c r="J109" s="73">
        <v>1074482.49</v>
      </c>
      <c r="K109" s="52">
        <v>41</v>
      </c>
      <c r="L109" s="51">
        <v>11422.690000000002</v>
      </c>
      <c r="M109" s="77">
        <v>1323</v>
      </c>
      <c r="N109" s="76">
        <v>510591.53</v>
      </c>
      <c r="O109" s="75">
        <v>1194</v>
      </c>
      <c r="P109" s="74">
        <v>249176.91</v>
      </c>
      <c r="Q109" s="74">
        <v>6843.87</v>
      </c>
      <c r="R109" s="53">
        <f t="shared" si="5"/>
        <v>66561.350000000006</v>
      </c>
      <c r="S109" s="73">
        <v>1074482.4900000002</v>
      </c>
    </row>
    <row r="110" spans="1:19" x14ac:dyDescent="0.25">
      <c r="A110" s="28"/>
      <c r="B110" s="45" t="str">
        <f t="shared" si="3"/>
        <v>Mar-2023</v>
      </c>
      <c r="C110" s="57">
        <v>44999</v>
      </c>
      <c r="D110" s="43">
        <f t="shared" si="4"/>
        <v>1113</v>
      </c>
      <c r="E110" s="76">
        <v>1192</v>
      </c>
      <c r="F110" s="50">
        <v>2211</v>
      </c>
      <c r="G110" s="49">
        <v>1188101</v>
      </c>
      <c r="H110" s="73">
        <v>2204</v>
      </c>
      <c r="I110" s="77">
        <v>2211</v>
      </c>
      <c r="J110" s="73">
        <v>961520.54000000027</v>
      </c>
      <c r="K110" s="52">
        <v>30</v>
      </c>
      <c r="L110" s="51">
        <v>9294.7700000000023</v>
      </c>
      <c r="M110" s="77">
        <v>1206</v>
      </c>
      <c r="N110" s="76">
        <v>455075.72</v>
      </c>
      <c r="O110" s="75">
        <v>1089</v>
      </c>
      <c r="P110" s="74">
        <v>223482.1699999992</v>
      </c>
      <c r="Q110" s="74">
        <v>6959.0200000000059</v>
      </c>
      <c r="R110" s="53">
        <f t="shared" si="5"/>
        <v>59405.05</v>
      </c>
      <c r="S110" s="73">
        <v>961520.54000000027</v>
      </c>
    </row>
    <row r="111" spans="1:19" x14ac:dyDescent="0.25">
      <c r="A111" s="28"/>
      <c r="B111" s="45" t="str">
        <f t="shared" si="3"/>
        <v>Mar-2023</v>
      </c>
      <c r="C111" s="57">
        <v>45000</v>
      </c>
      <c r="D111" s="43">
        <f t="shared" si="4"/>
        <v>1112</v>
      </c>
      <c r="E111" s="76">
        <v>1268</v>
      </c>
      <c r="F111" s="50">
        <v>2291</v>
      </c>
      <c r="G111" s="49">
        <v>1245064</v>
      </c>
      <c r="H111" s="73">
        <v>2284</v>
      </c>
      <c r="I111" s="77">
        <v>2291</v>
      </c>
      <c r="J111" s="73">
        <v>995133.87</v>
      </c>
      <c r="K111" s="52">
        <v>37</v>
      </c>
      <c r="L111" s="51">
        <v>10344.17</v>
      </c>
      <c r="M111" s="77">
        <v>1319</v>
      </c>
      <c r="N111" s="76">
        <v>502964.04</v>
      </c>
      <c r="O111" s="75">
        <v>1201</v>
      </c>
      <c r="P111" s="74">
        <v>230755.63999999902</v>
      </c>
      <c r="Q111" s="74">
        <v>6731.4499999999944</v>
      </c>
      <c r="R111" s="53">
        <f t="shared" si="5"/>
        <v>62253.200000000004</v>
      </c>
      <c r="S111" s="73">
        <v>995133.87000000034</v>
      </c>
    </row>
    <row r="112" spans="1:19" x14ac:dyDescent="0.25">
      <c r="A112" s="28"/>
      <c r="B112" s="45" t="str">
        <f t="shared" si="3"/>
        <v>Mar-2023</v>
      </c>
      <c r="C112" s="57">
        <v>45001</v>
      </c>
      <c r="D112" s="43">
        <f t="shared" si="4"/>
        <v>1111</v>
      </c>
      <c r="E112" s="76">
        <v>1282</v>
      </c>
      <c r="F112" s="50">
        <v>2386</v>
      </c>
      <c r="G112" s="49">
        <v>1276022</v>
      </c>
      <c r="H112" s="73">
        <v>2379</v>
      </c>
      <c r="I112" s="77">
        <v>2386</v>
      </c>
      <c r="J112" s="73">
        <v>1071773.2399999995</v>
      </c>
      <c r="K112" s="52">
        <v>34</v>
      </c>
      <c r="L112" s="51">
        <v>11614.59</v>
      </c>
      <c r="M112" s="77">
        <v>1231</v>
      </c>
      <c r="N112" s="76">
        <v>464004.64</v>
      </c>
      <c r="O112" s="75">
        <v>1116</v>
      </c>
      <c r="P112" s="74">
        <v>248807.73999999976</v>
      </c>
      <c r="Q112" s="74">
        <v>7749.5099999999975</v>
      </c>
      <c r="R112" s="53">
        <f t="shared" si="5"/>
        <v>63801.100000000006</v>
      </c>
      <c r="S112" s="73">
        <v>1071773.2399999998</v>
      </c>
    </row>
    <row r="113" spans="1:19" x14ac:dyDescent="0.25">
      <c r="A113" s="28"/>
      <c r="B113" s="45" t="str">
        <f t="shared" si="3"/>
        <v>Mar-2023</v>
      </c>
      <c r="C113" s="57">
        <v>45002</v>
      </c>
      <c r="D113" s="43">
        <f t="shared" si="4"/>
        <v>1110</v>
      </c>
      <c r="E113" s="76">
        <v>1200</v>
      </c>
      <c r="F113" s="50">
        <v>2469</v>
      </c>
      <c r="G113" s="49">
        <v>1349766</v>
      </c>
      <c r="H113" s="73">
        <v>2460</v>
      </c>
      <c r="I113" s="77">
        <v>2469</v>
      </c>
      <c r="J113" s="73">
        <v>1064571.2199999997</v>
      </c>
      <c r="K113" s="52">
        <v>51</v>
      </c>
      <c r="L113" s="51">
        <v>16985.32</v>
      </c>
      <c r="M113" s="77">
        <v>1422</v>
      </c>
      <c r="N113" s="76">
        <v>549248.05000000005</v>
      </c>
      <c r="O113" s="75">
        <v>1318</v>
      </c>
      <c r="P113" s="74">
        <v>246693.59999999873</v>
      </c>
      <c r="Q113" s="74">
        <v>7188.5399999999991</v>
      </c>
      <c r="R113" s="53">
        <f t="shared" si="5"/>
        <v>67488.3</v>
      </c>
      <c r="S113" s="73">
        <v>1064571.2199999997</v>
      </c>
    </row>
    <row r="114" spans="1:19" x14ac:dyDescent="0.25">
      <c r="A114" s="28"/>
      <c r="B114" s="45" t="str">
        <f t="shared" si="3"/>
        <v>Mar-2023</v>
      </c>
      <c r="C114" s="57">
        <v>45003</v>
      </c>
      <c r="D114" s="43">
        <f t="shared" si="4"/>
        <v>1109</v>
      </c>
      <c r="E114" s="76">
        <v>1173</v>
      </c>
      <c r="F114" s="50">
        <v>2343</v>
      </c>
      <c r="G114" s="49">
        <v>1269526</v>
      </c>
      <c r="H114" s="73">
        <v>2328</v>
      </c>
      <c r="I114" s="77">
        <v>2343</v>
      </c>
      <c r="J114" s="73">
        <v>1013699.8400000004</v>
      </c>
      <c r="K114" s="52">
        <v>43</v>
      </c>
      <c r="L114" s="51">
        <v>12069.74</v>
      </c>
      <c r="M114" s="77">
        <v>1350</v>
      </c>
      <c r="N114" s="76">
        <v>506957.27</v>
      </c>
      <c r="O114" s="75">
        <v>1233</v>
      </c>
      <c r="P114" s="74">
        <v>234264.27999999968</v>
      </c>
      <c r="Q114" s="74">
        <v>6422.75</v>
      </c>
      <c r="R114" s="53">
        <f t="shared" si="5"/>
        <v>63476.3</v>
      </c>
      <c r="S114" s="73">
        <v>1013699.8400000001</v>
      </c>
    </row>
    <row r="115" spans="1:19" x14ac:dyDescent="0.25">
      <c r="A115" s="28"/>
      <c r="B115" s="45" t="str">
        <f t="shared" si="3"/>
        <v>Mar-2023</v>
      </c>
      <c r="C115" s="57">
        <v>45004</v>
      </c>
      <c r="D115" s="43">
        <f t="shared" si="4"/>
        <v>1108</v>
      </c>
      <c r="E115" s="76">
        <v>1119</v>
      </c>
      <c r="F115" s="50">
        <v>2057</v>
      </c>
      <c r="G115" s="49">
        <v>1102551</v>
      </c>
      <c r="H115" s="73">
        <v>2055</v>
      </c>
      <c r="I115" s="77">
        <v>2057</v>
      </c>
      <c r="J115" s="73">
        <v>918139.99999999988</v>
      </c>
      <c r="K115" s="52">
        <v>29</v>
      </c>
      <c r="L115" s="51">
        <v>5291.54</v>
      </c>
      <c r="M115" s="77">
        <v>995</v>
      </c>
      <c r="N115" s="76">
        <v>406290.87</v>
      </c>
      <c r="O115" s="75">
        <v>938</v>
      </c>
      <c r="P115" s="74">
        <v>212240.02000000048</v>
      </c>
      <c r="Q115" s="74">
        <v>6064.1700000000028</v>
      </c>
      <c r="R115" s="53">
        <f t="shared" si="5"/>
        <v>55127.55</v>
      </c>
      <c r="S115" s="73">
        <v>918139.99999999977</v>
      </c>
    </row>
    <row r="116" spans="1:19" x14ac:dyDescent="0.25">
      <c r="A116" s="28"/>
      <c r="B116" s="45" t="str">
        <f t="shared" si="3"/>
        <v>Mar-2023</v>
      </c>
      <c r="C116" s="57">
        <v>45005</v>
      </c>
      <c r="D116" s="43">
        <f t="shared" si="4"/>
        <v>1107</v>
      </c>
      <c r="E116" s="76">
        <v>1141</v>
      </c>
      <c r="F116" s="50">
        <v>2082</v>
      </c>
      <c r="G116" s="49">
        <v>1112476</v>
      </c>
      <c r="H116" s="73">
        <v>2075</v>
      </c>
      <c r="I116" s="77">
        <v>2082</v>
      </c>
      <c r="J116" s="73">
        <v>933422.08999999985</v>
      </c>
      <c r="K116" s="52">
        <v>34</v>
      </c>
      <c r="L116" s="51">
        <v>6698.86</v>
      </c>
      <c r="M116" s="77">
        <v>1111</v>
      </c>
      <c r="N116" s="76">
        <v>403350.2</v>
      </c>
      <c r="O116" s="75">
        <v>1008</v>
      </c>
      <c r="P116" s="74">
        <v>214922.22000000035</v>
      </c>
      <c r="Q116" s="74">
        <v>5546.2500000000009</v>
      </c>
      <c r="R116" s="53">
        <f t="shared" si="5"/>
        <v>55623.8</v>
      </c>
      <c r="S116" s="73">
        <v>933422.08999999985</v>
      </c>
    </row>
    <row r="117" spans="1:19" x14ac:dyDescent="0.25">
      <c r="A117" s="28"/>
      <c r="B117" s="45" t="str">
        <f t="shared" si="3"/>
        <v>Mar-2023</v>
      </c>
      <c r="C117" s="57">
        <v>45006</v>
      </c>
      <c r="D117" s="43">
        <f t="shared" si="4"/>
        <v>1106</v>
      </c>
      <c r="E117" s="76">
        <v>1044</v>
      </c>
      <c r="F117" s="50">
        <v>1960</v>
      </c>
      <c r="G117" s="49">
        <v>1053412</v>
      </c>
      <c r="H117" s="73">
        <v>1957</v>
      </c>
      <c r="I117" s="77">
        <v>1960</v>
      </c>
      <c r="J117" s="73">
        <v>867031.17000000027</v>
      </c>
      <c r="K117" s="52">
        <v>25</v>
      </c>
      <c r="L117" s="51">
        <v>6481.4400000000005</v>
      </c>
      <c r="M117" s="77">
        <v>1124</v>
      </c>
      <c r="N117" s="76">
        <v>396456.74</v>
      </c>
      <c r="O117" s="75">
        <v>1038</v>
      </c>
      <c r="P117" s="74">
        <v>200479.29999999944</v>
      </c>
      <c r="Q117" s="74">
        <v>6199.9099999999989</v>
      </c>
      <c r="R117" s="53">
        <f t="shared" si="5"/>
        <v>52670.600000000006</v>
      </c>
      <c r="S117" s="73">
        <v>867031.17000000027</v>
      </c>
    </row>
    <row r="118" spans="1:19" x14ac:dyDescent="0.25">
      <c r="A118" s="28"/>
      <c r="B118" s="45" t="str">
        <f t="shared" si="3"/>
        <v>Mar-2023</v>
      </c>
      <c r="C118" s="57">
        <v>45007</v>
      </c>
      <c r="D118" s="43">
        <f t="shared" si="4"/>
        <v>1105</v>
      </c>
      <c r="E118" s="76">
        <v>1095</v>
      </c>
      <c r="F118" s="50">
        <v>2056</v>
      </c>
      <c r="G118" s="49">
        <v>1100206</v>
      </c>
      <c r="H118" s="73">
        <v>2052</v>
      </c>
      <c r="I118" s="77">
        <v>2056</v>
      </c>
      <c r="J118" s="73">
        <v>920901.99</v>
      </c>
      <c r="K118" s="52">
        <v>29</v>
      </c>
      <c r="L118" s="51">
        <v>6361.53</v>
      </c>
      <c r="M118" s="77">
        <v>1046</v>
      </c>
      <c r="N118" s="76">
        <v>411050.18</v>
      </c>
      <c r="O118" s="75">
        <v>970</v>
      </c>
      <c r="P118" s="74">
        <v>212332.23999999941</v>
      </c>
      <c r="Q118" s="74">
        <v>6170.7100000000019</v>
      </c>
      <c r="R118" s="53">
        <f t="shared" si="5"/>
        <v>55010.3</v>
      </c>
      <c r="S118" s="73">
        <v>920901.98999999987</v>
      </c>
    </row>
    <row r="119" spans="1:19" x14ac:dyDescent="0.25">
      <c r="A119" s="28"/>
      <c r="B119" s="45" t="str">
        <f t="shared" si="3"/>
        <v>Mar-2023</v>
      </c>
      <c r="C119" s="57">
        <v>45008</v>
      </c>
      <c r="D119" s="43">
        <f t="shared" si="4"/>
        <v>1104</v>
      </c>
      <c r="E119" s="76">
        <v>1120</v>
      </c>
      <c r="F119" s="50">
        <v>2016</v>
      </c>
      <c r="G119" s="49">
        <v>1073279</v>
      </c>
      <c r="H119" s="73">
        <v>2011</v>
      </c>
      <c r="I119" s="77">
        <v>2016</v>
      </c>
      <c r="J119" s="73">
        <v>905122.7</v>
      </c>
      <c r="K119" s="52">
        <v>20</v>
      </c>
      <c r="L119" s="51">
        <v>4112.59</v>
      </c>
      <c r="M119" s="77">
        <v>1122</v>
      </c>
      <c r="N119" s="76">
        <v>389254.61</v>
      </c>
      <c r="O119" s="75">
        <v>1027</v>
      </c>
      <c r="P119" s="74">
        <v>207950.13999999952</v>
      </c>
      <c r="Q119" s="74">
        <v>5631.0099999999993</v>
      </c>
      <c r="R119" s="53">
        <f t="shared" si="5"/>
        <v>53663.950000000004</v>
      </c>
      <c r="S119" s="73">
        <v>905122.7</v>
      </c>
    </row>
    <row r="120" spans="1:19" x14ac:dyDescent="0.25">
      <c r="A120" s="28"/>
      <c r="B120" s="45" t="str">
        <f t="shared" si="3"/>
        <v>Mar-2023</v>
      </c>
      <c r="C120" s="57">
        <v>45009</v>
      </c>
      <c r="D120" s="43">
        <f t="shared" si="4"/>
        <v>1103</v>
      </c>
      <c r="E120" s="76">
        <v>1083</v>
      </c>
      <c r="F120" s="50">
        <v>1887</v>
      </c>
      <c r="G120" s="49">
        <v>1007197</v>
      </c>
      <c r="H120" s="73">
        <v>1883</v>
      </c>
      <c r="I120" s="77">
        <v>1887</v>
      </c>
      <c r="J120" s="73">
        <v>853783.26000000024</v>
      </c>
      <c r="K120" s="52">
        <v>21</v>
      </c>
      <c r="L120" s="51">
        <v>4830.0600000000004</v>
      </c>
      <c r="M120" s="77">
        <v>931</v>
      </c>
      <c r="N120" s="76">
        <v>357813.65</v>
      </c>
      <c r="O120" s="75">
        <v>861</v>
      </c>
      <c r="P120" s="74">
        <v>196726.8799999996</v>
      </c>
      <c r="Q120" s="74">
        <v>5653.4100000000008</v>
      </c>
      <c r="R120" s="53">
        <f t="shared" si="5"/>
        <v>50359.850000000006</v>
      </c>
      <c r="S120" s="73">
        <v>853783.26000000024</v>
      </c>
    </row>
    <row r="121" spans="1:19" x14ac:dyDescent="0.25">
      <c r="A121" s="28"/>
      <c r="B121" s="45" t="str">
        <f t="shared" si="3"/>
        <v>Mar-2023</v>
      </c>
      <c r="C121" s="57">
        <v>45010</v>
      </c>
      <c r="D121" s="43">
        <f t="shared" si="4"/>
        <v>1102</v>
      </c>
      <c r="E121" s="76">
        <v>949</v>
      </c>
      <c r="F121" s="50">
        <v>1773</v>
      </c>
      <c r="G121" s="49">
        <v>942481</v>
      </c>
      <c r="H121" s="73">
        <v>1772</v>
      </c>
      <c r="I121" s="77">
        <v>1773</v>
      </c>
      <c r="J121" s="73">
        <v>779682.6</v>
      </c>
      <c r="K121" s="52">
        <v>23</v>
      </c>
      <c r="L121" s="51">
        <v>1697.8100000000002</v>
      </c>
      <c r="M121" s="77">
        <v>989</v>
      </c>
      <c r="N121" s="76">
        <v>352074.18</v>
      </c>
      <c r="O121" s="75">
        <v>893</v>
      </c>
      <c r="P121" s="74">
        <v>180014.31000000107</v>
      </c>
      <c r="Q121" s="74">
        <v>5779.4999999999991</v>
      </c>
      <c r="R121" s="53">
        <f t="shared" si="5"/>
        <v>47124.05</v>
      </c>
      <c r="S121" s="73">
        <v>779682.59999999986</v>
      </c>
    </row>
    <row r="122" spans="1:19" x14ac:dyDescent="0.25">
      <c r="A122" s="28"/>
      <c r="B122" s="45" t="str">
        <f t="shared" si="3"/>
        <v>Mar-2023</v>
      </c>
      <c r="C122" s="57">
        <v>45011</v>
      </c>
      <c r="D122" s="43">
        <f t="shared" si="4"/>
        <v>1101</v>
      </c>
      <c r="E122" s="76">
        <v>973</v>
      </c>
      <c r="F122" s="50">
        <v>1672</v>
      </c>
      <c r="G122" s="49">
        <v>881395</v>
      </c>
      <c r="H122" s="73">
        <v>1666</v>
      </c>
      <c r="I122" s="77">
        <v>1672</v>
      </c>
      <c r="J122" s="73">
        <v>766321.21</v>
      </c>
      <c r="K122" s="52">
        <v>28</v>
      </c>
      <c r="L122" s="51">
        <v>8399.24</v>
      </c>
      <c r="M122" s="77">
        <v>827</v>
      </c>
      <c r="N122" s="76">
        <v>300715.65999999997</v>
      </c>
      <c r="O122" s="75">
        <v>756</v>
      </c>
      <c r="P122" s="74">
        <v>175682.11000000077</v>
      </c>
      <c r="Q122" s="74">
        <v>4544.6500000000033</v>
      </c>
      <c r="R122" s="53">
        <f t="shared" si="5"/>
        <v>44069.75</v>
      </c>
      <c r="S122" s="73">
        <v>766321.21</v>
      </c>
    </row>
    <row r="123" spans="1:19" x14ac:dyDescent="0.25">
      <c r="A123" s="28"/>
      <c r="B123" s="45" t="str">
        <f t="shared" si="3"/>
        <v>Mar-2023</v>
      </c>
      <c r="C123" s="57">
        <v>45012</v>
      </c>
      <c r="D123" s="43">
        <f t="shared" si="4"/>
        <v>1100</v>
      </c>
      <c r="E123" s="76">
        <v>906</v>
      </c>
      <c r="F123" s="50">
        <v>1564</v>
      </c>
      <c r="G123" s="49">
        <v>824683</v>
      </c>
      <c r="H123" s="73">
        <v>1562</v>
      </c>
      <c r="I123" s="77">
        <v>1564</v>
      </c>
      <c r="J123" s="73">
        <v>712716.83</v>
      </c>
      <c r="K123" s="52">
        <v>14</v>
      </c>
      <c r="L123" s="51">
        <v>2539.2600000000002</v>
      </c>
      <c r="M123" s="77">
        <v>779</v>
      </c>
      <c r="N123" s="76">
        <v>281604.68</v>
      </c>
      <c r="O123" s="75">
        <v>703</v>
      </c>
      <c r="P123" s="74">
        <v>162861.6999999996</v>
      </c>
      <c r="Q123" s="74">
        <v>3631.7700000000004</v>
      </c>
      <c r="R123" s="53">
        <f t="shared" si="5"/>
        <v>41234.15</v>
      </c>
      <c r="S123" s="73">
        <v>712716.83</v>
      </c>
    </row>
    <row r="124" spans="1:19" x14ac:dyDescent="0.25">
      <c r="A124" s="28"/>
      <c r="B124" s="45" t="str">
        <f t="shared" si="3"/>
        <v>Mar-2023</v>
      </c>
      <c r="C124" s="57">
        <v>45013</v>
      </c>
      <c r="D124" s="43">
        <f t="shared" si="4"/>
        <v>1099</v>
      </c>
      <c r="E124" s="76">
        <v>982</v>
      </c>
      <c r="F124" s="50">
        <v>1605</v>
      </c>
      <c r="G124" s="49">
        <v>862092</v>
      </c>
      <c r="H124" s="73">
        <v>1601</v>
      </c>
      <c r="I124" s="77">
        <v>1605</v>
      </c>
      <c r="J124" s="73">
        <v>709256.24</v>
      </c>
      <c r="K124" s="52">
        <v>26</v>
      </c>
      <c r="L124" s="51">
        <v>2902.8</v>
      </c>
      <c r="M124" s="77">
        <v>912</v>
      </c>
      <c r="N124" s="76">
        <v>328957.01</v>
      </c>
      <c r="O124" s="75">
        <v>835</v>
      </c>
      <c r="P124" s="74">
        <v>163867.93999999936</v>
      </c>
      <c r="Q124" s="74">
        <v>5870.8000000000047</v>
      </c>
      <c r="R124" s="53">
        <f t="shared" si="5"/>
        <v>43104.600000000006</v>
      </c>
      <c r="S124" s="73">
        <v>709256.23999999987</v>
      </c>
    </row>
    <row r="125" spans="1:19" x14ac:dyDescent="0.25">
      <c r="A125" s="28"/>
      <c r="B125" s="45" t="str">
        <f t="shared" si="3"/>
        <v>Mar-2023</v>
      </c>
      <c r="C125" s="57">
        <v>45014</v>
      </c>
      <c r="D125" s="43">
        <f t="shared" si="4"/>
        <v>1098</v>
      </c>
      <c r="E125" s="76">
        <v>923</v>
      </c>
      <c r="F125" s="50">
        <v>1557</v>
      </c>
      <c r="G125" s="49">
        <v>824875</v>
      </c>
      <c r="H125" s="73">
        <v>1546</v>
      </c>
      <c r="I125" s="77">
        <v>1557</v>
      </c>
      <c r="J125" s="73">
        <v>686759.65</v>
      </c>
      <c r="K125" s="52">
        <v>30</v>
      </c>
      <c r="L125" s="51">
        <v>10192.020000000004</v>
      </c>
      <c r="M125" s="77">
        <v>821</v>
      </c>
      <c r="N125" s="76">
        <v>305243.40999999997</v>
      </c>
      <c r="O125" s="75">
        <v>738</v>
      </c>
      <c r="P125" s="74">
        <v>158123.19999999928</v>
      </c>
      <c r="Q125" s="74">
        <v>4870.57</v>
      </c>
      <c r="R125" s="53">
        <f t="shared" si="5"/>
        <v>41243.75</v>
      </c>
      <c r="S125" s="73">
        <v>686759.65</v>
      </c>
    </row>
    <row r="126" spans="1:19" x14ac:dyDescent="0.25">
      <c r="A126" s="28"/>
      <c r="B126" s="45" t="str">
        <f t="shared" si="3"/>
        <v>Mar-2023</v>
      </c>
      <c r="C126" s="57">
        <v>45015</v>
      </c>
      <c r="D126" s="43">
        <f t="shared" si="4"/>
        <v>1097</v>
      </c>
      <c r="E126" s="76">
        <v>892</v>
      </c>
      <c r="F126" s="50">
        <v>1633</v>
      </c>
      <c r="G126" s="49">
        <v>873569</v>
      </c>
      <c r="H126" s="73">
        <v>1628</v>
      </c>
      <c r="I126" s="77">
        <v>1633</v>
      </c>
      <c r="J126" s="73">
        <v>716036.25000000023</v>
      </c>
      <c r="K126" s="52">
        <v>28</v>
      </c>
      <c r="L126" s="51">
        <v>7462.5700000000006</v>
      </c>
      <c r="M126" s="77">
        <v>899</v>
      </c>
      <c r="N126" s="76">
        <v>330883.73</v>
      </c>
      <c r="O126" s="75">
        <v>795</v>
      </c>
      <c r="P126" s="74">
        <v>164253.38999999964</v>
      </c>
      <c r="Q126" s="74">
        <v>4746.3099999999977</v>
      </c>
      <c r="R126" s="53">
        <f t="shared" si="5"/>
        <v>43678.450000000004</v>
      </c>
      <c r="S126" s="73">
        <v>716036.25000000012</v>
      </c>
    </row>
    <row r="127" spans="1:19" x14ac:dyDescent="0.25">
      <c r="A127" s="28"/>
      <c r="B127" s="45" t="str">
        <f t="shared" si="3"/>
        <v>Mar-2023</v>
      </c>
      <c r="C127" s="57">
        <v>45016</v>
      </c>
      <c r="D127" s="43">
        <f t="shared" si="4"/>
        <v>1096</v>
      </c>
      <c r="E127" s="76">
        <v>1054</v>
      </c>
      <c r="F127" s="50">
        <v>1736</v>
      </c>
      <c r="G127" s="49">
        <v>929007</v>
      </c>
      <c r="H127" s="73">
        <v>1729</v>
      </c>
      <c r="I127" s="77">
        <v>1736</v>
      </c>
      <c r="J127" s="73">
        <v>764470.78</v>
      </c>
      <c r="K127" s="52">
        <v>25</v>
      </c>
      <c r="L127" s="51">
        <v>8868.07</v>
      </c>
      <c r="M127" s="77">
        <v>893</v>
      </c>
      <c r="N127" s="76">
        <v>343214.92</v>
      </c>
      <c r="O127" s="75">
        <v>820</v>
      </c>
      <c r="P127" s="74">
        <v>174400.92999999924</v>
      </c>
      <c r="Q127" s="74">
        <v>4225.6799999999957</v>
      </c>
      <c r="R127" s="53">
        <f t="shared" si="5"/>
        <v>46450.350000000006</v>
      </c>
      <c r="S127" s="73">
        <v>764470.77999999991</v>
      </c>
    </row>
    <row r="128" spans="1:19" x14ac:dyDescent="0.25">
      <c r="A128" s="28"/>
      <c r="B128" s="45" t="str">
        <f t="shared" si="3"/>
        <v>Apr-2023</v>
      </c>
      <c r="C128" s="57">
        <v>45017</v>
      </c>
      <c r="D128" s="43">
        <f t="shared" si="4"/>
        <v>1095</v>
      </c>
      <c r="E128" s="76">
        <v>663</v>
      </c>
      <c r="F128" s="50">
        <v>1485</v>
      </c>
      <c r="G128" s="49">
        <v>816464</v>
      </c>
      <c r="H128" s="73">
        <v>1480</v>
      </c>
      <c r="I128" s="77">
        <v>1485</v>
      </c>
      <c r="J128" s="73">
        <v>606162.02999999991</v>
      </c>
      <c r="K128" s="52">
        <v>14</v>
      </c>
      <c r="L128" s="51">
        <v>4723.3600000000006</v>
      </c>
      <c r="M128" s="77">
        <v>928</v>
      </c>
      <c r="N128" s="76">
        <v>357992.91</v>
      </c>
      <c r="O128" s="75">
        <v>839</v>
      </c>
      <c r="P128" s="74">
        <v>139703.59999999945</v>
      </c>
      <c r="Q128" s="74">
        <v>4994.5599999999968</v>
      </c>
      <c r="R128" s="53">
        <f t="shared" si="5"/>
        <v>40823.200000000004</v>
      </c>
      <c r="S128" s="73">
        <v>606162.02999999991</v>
      </c>
    </row>
    <row r="129" spans="1:19" x14ac:dyDescent="0.25">
      <c r="A129" s="28"/>
      <c r="B129" s="45" t="str">
        <f t="shared" si="3"/>
        <v>Apr-2023</v>
      </c>
      <c r="C129" s="57">
        <v>45018</v>
      </c>
      <c r="D129" s="43">
        <f t="shared" si="4"/>
        <v>1094</v>
      </c>
      <c r="E129" s="76">
        <v>788</v>
      </c>
      <c r="F129" s="50">
        <v>1414</v>
      </c>
      <c r="G129" s="49">
        <v>760303</v>
      </c>
      <c r="H129" s="73">
        <v>1406</v>
      </c>
      <c r="I129" s="77">
        <v>1414</v>
      </c>
      <c r="J129" s="73">
        <v>613494.29</v>
      </c>
      <c r="K129" s="52">
        <v>31</v>
      </c>
      <c r="L129" s="51">
        <v>9100.4100000000017</v>
      </c>
      <c r="M129" s="77">
        <v>792</v>
      </c>
      <c r="N129" s="76">
        <v>292417.95</v>
      </c>
      <c r="O129" s="75">
        <v>713</v>
      </c>
      <c r="P129" s="74">
        <v>140051.79999999999</v>
      </c>
      <c r="Q129" s="74">
        <v>3666.6800000000026</v>
      </c>
      <c r="R129" s="53">
        <f t="shared" si="5"/>
        <v>38015.15</v>
      </c>
      <c r="S129" s="73">
        <v>613494.29</v>
      </c>
    </row>
    <row r="130" spans="1:19" x14ac:dyDescent="0.25">
      <c r="A130" s="28"/>
      <c r="B130" s="45" t="str">
        <f t="shared" si="3"/>
        <v>Apr-2023</v>
      </c>
      <c r="C130" s="57">
        <v>45019</v>
      </c>
      <c r="D130" s="43">
        <f t="shared" si="4"/>
        <v>1093</v>
      </c>
      <c r="E130" s="76">
        <v>787</v>
      </c>
      <c r="F130" s="50">
        <v>1669</v>
      </c>
      <c r="G130" s="49">
        <v>907792</v>
      </c>
      <c r="H130" s="73">
        <v>1660</v>
      </c>
      <c r="I130" s="77">
        <v>1669</v>
      </c>
      <c r="J130" s="73">
        <v>675725.07999999984</v>
      </c>
      <c r="K130" s="52">
        <v>52</v>
      </c>
      <c r="L130" s="51">
        <v>11876.130000000001</v>
      </c>
      <c r="M130" s="77">
        <v>1136</v>
      </c>
      <c r="N130" s="76">
        <v>393886.67</v>
      </c>
      <c r="O130" s="75">
        <v>932</v>
      </c>
      <c r="P130" s="74">
        <v>154969.04999999973</v>
      </c>
      <c r="Q130" s="74">
        <v>4823.4899999999989</v>
      </c>
      <c r="R130" s="53">
        <f t="shared" si="5"/>
        <v>45389.600000000006</v>
      </c>
      <c r="S130" s="73">
        <v>675725.08000000007</v>
      </c>
    </row>
    <row r="131" spans="1:19" x14ac:dyDescent="0.25">
      <c r="A131" s="28"/>
      <c r="B131" s="45" t="str">
        <f t="shared" si="3"/>
        <v>Apr-2023</v>
      </c>
      <c r="C131" s="57">
        <v>45020</v>
      </c>
      <c r="D131" s="43">
        <f t="shared" si="4"/>
        <v>1092</v>
      </c>
      <c r="E131" s="76">
        <v>321</v>
      </c>
      <c r="F131" s="50">
        <v>394</v>
      </c>
      <c r="G131" s="49">
        <v>223210</v>
      </c>
      <c r="H131" s="73">
        <v>394</v>
      </c>
      <c r="I131" s="77">
        <v>394</v>
      </c>
      <c r="J131" s="73">
        <v>158227.20000000001</v>
      </c>
      <c r="K131" s="52">
        <v>7</v>
      </c>
      <c r="L131" s="51">
        <v>1023.5</v>
      </c>
      <c r="M131" s="77">
        <v>273</v>
      </c>
      <c r="N131" s="76">
        <v>104310.49</v>
      </c>
      <c r="O131" s="75">
        <v>249</v>
      </c>
      <c r="P131" s="74">
        <v>36923.76999999999</v>
      </c>
      <c r="Q131" s="74">
        <v>1808.75</v>
      </c>
      <c r="R131" s="53">
        <f t="shared" si="5"/>
        <v>11160.5</v>
      </c>
      <c r="S131" s="73">
        <v>158227.20000000001</v>
      </c>
    </row>
    <row r="132" spans="1:19" x14ac:dyDescent="0.25">
      <c r="A132" s="28"/>
      <c r="B132" s="45" t="str">
        <f t="shared" si="3"/>
        <v>Apr-2023</v>
      </c>
      <c r="C132" s="57">
        <v>45021</v>
      </c>
      <c r="D132" s="43">
        <f t="shared" si="4"/>
        <v>1091</v>
      </c>
      <c r="E132" s="76">
        <v>944</v>
      </c>
      <c r="F132" s="50">
        <v>1873</v>
      </c>
      <c r="G132" s="49">
        <v>1028040</v>
      </c>
      <c r="H132" s="73">
        <v>1867</v>
      </c>
      <c r="I132" s="77">
        <v>1873</v>
      </c>
      <c r="J132" s="73">
        <v>772548.37000000023</v>
      </c>
      <c r="K132" s="52">
        <v>38</v>
      </c>
      <c r="L132" s="51">
        <v>8364.06</v>
      </c>
      <c r="M132" s="77">
        <v>1112</v>
      </c>
      <c r="N132" s="76">
        <v>436037.14</v>
      </c>
      <c r="O132" s="75">
        <v>1015</v>
      </c>
      <c r="P132" s="74">
        <v>177589.92999999964</v>
      </c>
      <c r="Q132" s="74">
        <v>6198.840000000002</v>
      </c>
      <c r="R132" s="53">
        <f t="shared" si="5"/>
        <v>51402</v>
      </c>
      <c r="S132" s="73">
        <v>772548.37000000034</v>
      </c>
    </row>
    <row r="133" spans="1:19" x14ac:dyDescent="0.25">
      <c r="A133" s="28"/>
      <c r="B133" s="45" t="str">
        <f t="shared" ref="B133:B197" si="6">TEXT(C133,"MMM-YYYY")</f>
        <v>Apr-2023</v>
      </c>
      <c r="C133" s="57">
        <v>45022</v>
      </c>
      <c r="D133" s="43">
        <f t="shared" ref="D133:D197" si="7">$A$1-C133</f>
        <v>1090</v>
      </c>
      <c r="E133" s="76">
        <v>829</v>
      </c>
      <c r="F133" s="50">
        <v>1639</v>
      </c>
      <c r="G133" s="49">
        <v>899489</v>
      </c>
      <c r="H133" s="73">
        <v>1633</v>
      </c>
      <c r="I133" s="77">
        <v>1639</v>
      </c>
      <c r="J133" s="73">
        <v>679070.96000000008</v>
      </c>
      <c r="K133" s="52">
        <v>66</v>
      </c>
      <c r="L133" s="51">
        <v>14500.570000000003</v>
      </c>
      <c r="M133" s="77">
        <v>855</v>
      </c>
      <c r="N133" s="76">
        <v>383179.85</v>
      </c>
      <c r="O133" s="75">
        <v>795</v>
      </c>
      <c r="P133" s="74">
        <v>155543.34999999977</v>
      </c>
      <c r="Q133" s="74">
        <v>4850.5800000000027</v>
      </c>
      <c r="R133" s="53">
        <f t="shared" ref="R133:R197" si="8">G133*5%</f>
        <v>44974.450000000004</v>
      </c>
      <c r="S133" s="73">
        <v>679070.9600000002</v>
      </c>
    </row>
    <row r="134" spans="1:19" x14ac:dyDescent="0.25">
      <c r="A134" s="28"/>
      <c r="B134" s="45" t="str">
        <f t="shared" si="6"/>
        <v>Apr-2023</v>
      </c>
      <c r="C134" s="57">
        <v>45023</v>
      </c>
      <c r="D134" s="43">
        <f t="shared" si="7"/>
        <v>1089</v>
      </c>
      <c r="E134" s="76">
        <v>808</v>
      </c>
      <c r="F134" s="50">
        <v>1583</v>
      </c>
      <c r="G134" s="49">
        <v>870620</v>
      </c>
      <c r="H134" s="73">
        <v>1578</v>
      </c>
      <c r="I134" s="77">
        <v>1583</v>
      </c>
      <c r="J134" s="73">
        <v>624620.82999999996</v>
      </c>
      <c r="K134" s="52">
        <v>34</v>
      </c>
      <c r="L134" s="51">
        <v>9770.5000000000018</v>
      </c>
      <c r="M134" s="77">
        <v>1029</v>
      </c>
      <c r="N134" s="76">
        <v>399160.42</v>
      </c>
      <c r="O134" s="75">
        <v>932</v>
      </c>
      <c r="P134" s="74">
        <v>144091.57999999996</v>
      </c>
      <c r="Q134" s="74">
        <v>5747.3699999999981</v>
      </c>
      <c r="R134" s="53">
        <f t="shared" si="8"/>
        <v>43531</v>
      </c>
      <c r="S134" s="73">
        <v>624620.82999999996</v>
      </c>
    </row>
    <row r="135" spans="1:19" x14ac:dyDescent="0.25">
      <c r="A135" s="28"/>
      <c r="B135" s="45" t="str">
        <f t="shared" si="6"/>
        <v>Apr-2023</v>
      </c>
      <c r="C135" s="57">
        <v>45024</v>
      </c>
      <c r="D135" s="43">
        <f t="shared" si="7"/>
        <v>1088</v>
      </c>
      <c r="E135" s="76">
        <v>765</v>
      </c>
      <c r="F135" s="50">
        <v>1453</v>
      </c>
      <c r="G135" s="49">
        <v>791530</v>
      </c>
      <c r="H135" s="73">
        <v>1450</v>
      </c>
      <c r="I135" s="77">
        <v>1453</v>
      </c>
      <c r="J135" s="73">
        <v>604619.74000000011</v>
      </c>
      <c r="K135" s="52">
        <v>15</v>
      </c>
      <c r="L135" s="51">
        <v>7246.3000000000011</v>
      </c>
      <c r="M135" s="77">
        <v>838</v>
      </c>
      <c r="N135" s="76">
        <v>336069.51</v>
      </c>
      <c r="O135" s="75">
        <v>780</v>
      </c>
      <c r="P135" s="74">
        <v>138888.91000000015</v>
      </c>
      <c r="Q135" s="74">
        <v>5090.0799999999954</v>
      </c>
      <c r="R135" s="53">
        <f t="shared" si="8"/>
        <v>39576.5</v>
      </c>
      <c r="S135" s="73">
        <v>604619.74000000011</v>
      </c>
    </row>
    <row r="136" spans="1:19" x14ac:dyDescent="0.25">
      <c r="A136" s="28"/>
      <c r="B136" s="45" t="str">
        <f t="shared" si="6"/>
        <v>Apr-2023</v>
      </c>
      <c r="C136" s="57">
        <v>45025</v>
      </c>
      <c r="D136" s="43">
        <f t="shared" si="7"/>
        <v>1087</v>
      </c>
      <c r="E136" s="76">
        <v>806</v>
      </c>
      <c r="F136" s="50">
        <v>1140</v>
      </c>
      <c r="G136" s="49">
        <v>623470</v>
      </c>
      <c r="H136" s="73">
        <v>1139</v>
      </c>
      <c r="I136" s="77">
        <v>1140</v>
      </c>
      <c r="J136" s="73">
        <v>487723.6700000001</v>
      </c>
      <c r="K136" s="52">
        <v>14</v>
      </c>
      <c r="L136" s="51">
        <v>2718.33</v>
      </c>
      <c r="M136" s="77">
        <v>640</v>
      </c>
      <c r="N136" s="76">
        <v>253276.33</v>
      </c>
      <c r="O136" s="75">
        <v>585</v>
      </c>
      <c r="P136" s="74">
        <v>111478.73000000045</v>
      </c>
      <c r="Q136" s="74">
        <v>3768.9099999999985</v>
      </c>
      <c r="R136" s="53">
        <f t="shared" si="8"/>
        <v>31173.5</v>
      </c>
      <c r="S136" s="73">
        <v>487723.6700000001</v>
      </c>
    </row>
    <row r="137" spans="1:19" x14ac:dyDescent="0.25">
      <c r="A137" s="28"/>
      <c r="B137" s="45" t="str">
        <f t="shared" si="6"/>
        <v>Apr-2023</v>
      </c>
      <c r="C137" s="57">
        <v>45026</v>
      </c>
      <c r="D137" s="43">
        <f t="shared" si="7"/>
        <v>1086</v>
      </c>
      <c r="E137" s="76">
        <v>870</v>
      </c>
      <c r="F137" s="50">
        <v>1583</v>
      </c>
      <c r="G137" s="49">
        <v>840320</v>
      </c>
      <c r="H137" s="73">
        <v>1580</v>
      </c>
      <c r="I137" s="77">
        <v>1583</v>
      </c>
      <c r="J137" s="73">
        <v>726269.55999999982</v>
      </c>
      <c r="K137" s="52">
        <v>20</v>
      </c>
      <c r="L137" s="51">
        <v>1854.73</v>
      </c>
      <c r="M137" s="77">
        <v>786</v>
      </c>
      <c r="N137" s="76">
        <v>284106.39</v>
      </c>
      <c r="O137" s="75">
        <v>722</v>
      </c>
      <c r="P137" s="74">
        <v>164732.7099999997</v>
      </c>
      <c r="Q137" s="74">
        <v>4298.7700000000023</v>
      </c>
      <c r="R137" s="53">
        <f t="shared" si="8"/>
        <v>42016</v>
      </c>
      <c r="S137" s="73">
        <v>726269.55999999971</v>
      </c>
    </row>
    <row r="138" spans="1:19" x14ac:dyDescent="0.25">
      <c r="A138" s="28"/>
      <c r="B138" s="45" t="str">
        <f t="shared" si="6"/>
        <v>Apr-2023</v>
      </c>
      <c r="C138" s="57">
        <v>45027</v>
      </c>
      <c r="D138" s="43">
        <f t="shared" si="7"/>
        <v>1085</v>
      </c>
      <c r="E138" s="76">
        <v>864</v>
      </c>
      <c r="F138" s="50">
        <v>1583</v>
      </c>
      <c r="G138" s="49">
        <v>848262</v>
      </c>
      <c r="H138" s="73">
        <v>1579</v>
      </c>
      <c r="I138" s="77">
        <v>1583</v>
      </c>
      <c r="J138" s="73">
        <v>710708.45</v>
      </c>
      <c r="K138" s="52">
        <v>28</v>
      </c>
      <c r="L138" s="51">
        <v>5985.05</v>
      </c>
      <c r="M138" s="77">
        <v>789</v>
      </c>
      <c r="N138" s="76">
        <v>306922.61</v>
      </c>
      <c r="O138" s="75">
        <v>737</v>
      </c>
      <c r="P138" s="74">
        <v>162063.07999999973</v>
      </c>
      <c r="Q138" s="74">
        <v>4844.0100000000011</v>
      </c>
      <c r="R138" s="53">
        <f t="shared" si="8"/>
        <v>42413.100000000006</v>
      </c>
      <c r="S138" s="73">
        <v>710708.45000000007</v>
      </c>
    </row>
    <row r="139" spans="1:19" x14ac:dyDescent="0.25">
      <c r="A139" s="28"/>
      <c r="B139" s="45" t="str">
        <f t="shared" si="6"/>
        <v>Apr-2023</v>
      </c>
      <c r="C139" s="57">
        <v>45028</v>
      </c>
      <c r="D139" s="43">
        <f t="shared" si="7"/>
        <v>1084</v>
      </c>
      <c r="E139" s="76">
        <v>804</v>
      </c>
      <c r="F139" s="50">
        <v>1444</v>
      </c>
      <c r="G139" s="49">
        <v>779635</v>
      </c>
      <c r="H139" s="73">
        <v>1443</v>
      </c>
      <c r="I139" s="77">
        <v>1444</v>
      </c>
      <c r="J139" s="73">
        <v>650495.96</v>
      </c>
      <c r="K139" s="52">
        <v>26</v>
      </c>
      <c r="L139" s="51">
        <v>6247.8</v>
      </c>
      <c r="M139" s="77">
        <v>693</v>
      </c>
      <c r="N139" s="76">
        <v>284918.28000000003</v>
      </c>
      <c r="O139" s="75">
        <v>647</v>
      </c>
      <c r="P139" s="74">
        <v>148077.51999999979</v>
      </c>
      <c r="Q139" s="74">
        <v>4598.9999999999964</v>
      </c>
      <c r="R139" s="53">
        <f t="shared" si="8"/>
        <v>38981.75</v>
      </c>
      <c r="S139" s="73">
        <v>650495.96</v>
      </c>
    </row>
    <row r="140" spans="1:19" x14ac:dyDescent="0.25">
      <c r="A140" s="28"/>
      <c r="B140" s="45" t="str">
        <f t="shared" si="6"/>
        <v>Apr-2023</v>
      </c>
      <c r="C140" s="57">
        <v>45029</v>
      </c>
      <c r="D140" s="43">
        <f t="shared" si="7"/>
        <v>1083</v>
      </c>
      <c r="E140" s="76">
        <v>767</v>
      </c>
      <c r="F140" s="50">
        <v>1351</v>
      </c>
      <c r="G140" s="49">
        <v>718492</v>
      </c>
      <c r="H140" s="73">
        <v>1351</v>
      </c>
      <c r="I140" s="77">
        <v>1351</v>
      </c>
      <c r="J140" s="73">
        <v>587893.04999999993</v>
      </c>
      <c r="K140" s="52">
        <v>20</v>
      </c>
      <c r="L140" s="51">
        <v>4341.92</v>
      </c>
      <c r="M140" s="77">
        <v>677</v>
      </c>
      <c r="N140" s="76">
        <v>266448.05</v>
      </c>
      <c r="O140" s="75">
        <v>626</v>
      </c>
      <c r="P140" s="74">
        <v>133129.38999999993</v>
      </c>
      <c r="Q140" s="74">
        <v>3553.0099999999993</v>
      </c>
      <c r="R140" s="53">
        <f t="shared" si="8"/>
        <v>35924.6</v>
      </c>
      <c r="S140" s="73">
        <v>587893.04999999993</v>
      </c>
    </row>
    <row r="141" spans="1:19" x14ac:dyDescent="0.25">
      <c r="A141" s="28"/>
      <c r="B141" s="45" t="str">
        <f t="shared" si="6"/>
        <v>Apr-2023</v>
      </c>
      <c r="C141" s="57">
        <v>45030</v>
      </c>
      <c r="D141" s="43">
        <f t="shared" si="7"/>
        <v>1082</v>
      </c>
      <c r="E141" s="76">
        <v>885</v>
      </c>
      <c r="F141" s="50">
        <v>1553</v>
      </c>
      <c r="G141" s="49">
        <v>829669</v>
      </c>
      <c r="H141" s="73">
        <v>1549</v>
      </c>
      <c r="I141" s="77">
        <v>1553</v>
      </c>
      <c r="J141" s="73">
        <v>682163.71</v>
      </c>
      <c r="K141" s="52">
        <v>21</v>
      </c>
      <c r="L141" s="51">
        <v>7179.15</v>
      </c>
      <c r="M141" s="77">
        <v>851</v>
      </c>
      <c r="N141" s="76">
        <v>306315.78999999998</v>
      </c>
      <c r="O141" s="75">
        <v>792</v>
      </c>
      <c r="P141" s="74">
        <v>155116.11999999906</v>
      </c>
      <c r="Q141" s="74">
        <v>4729.8799999999956</v>
      </c>
      <c r="R141" s="53">
        <f t="shared" si="8"/>
        <v>41483.450000000004</v>
      </c>
      <c r="S141" s="73">
        <v>682163.71</v>
      </c>
    </row>
    <row r="142" spans="1:19" x14ac:dyDescent="0.25">
      <c r="A142" s="28"/>
      <c r="B142" s="45" t="str">
        <f t="shared" si="6"/>
        <v>Apr-2023</v>
      </c>
      <c r="C142" s="57">
        <v>45031</v>
      </c>
      <c r="D142" s="43">
        <f t="shared" si="7"/>
        <v>1081</v>
      </c>
      <c r="E142" s="76">
        <v>800</v>
      </c>
      <c r="F142" s="50">
        <v>1488</v>
      </c>
      <c r="G142" s="49">
        <v>810132</v>
      </c>
      <c r="H142" s="73">
        <v>1484</v>
      </c>
      <c r="I142" s="77">
        <v>1488</v>
      </c>
      <c r="J142" s="73">
        <v>628571.39000000025</v>
      </c>
      <c r="K142" s="52">
        <v>27</v>
      </c>
      <c r="L142" s="51">
        <v>6256.79</v>
      </c>
      <c r="M142" s="77">
        <v>845</v>
      </c>
      <c r="N142" s="76">
        <v>328627.81</v>
      </c>
      <c r="O142" s="75">
        <v>773</v>
      </c>
      <c r="P142" s="74">
        <v>142537.99</v>
      </c>
      <c r="Q142" s="74">
        <v>4093.369999999999</v>
      </c>
      <c r="R142" s="53">
        <f t="shared" si="8"/>
        <v>40506.600000000006</v>
      </c>
      <c r="S142" s="73">
        <v>628571.39</v>
      </c>
    </row>
    <row r="143" spans="1:19" x14ac:dyDescent="0.25">
      <c r="A143" s="28"/>
      <c r="B143" s="45" t="str">
        <f t="shared" si="6"/>
        <v>Apr-2023</v>
      </c>
      <c r="C143" s="57">
        <v>45032</v>
      </c>
      <c r="D143" s="43">
        <f t="shared" si="7"/>
        <v>1080</v>
      </c>
      <c r="E143" s="76">
        <v>872</v>
      </c>
      <c r="F143" s="50">
        <v>1382</v>
      </c>
      <c r="G143" s="49">
        <v>731160</v>
      </c>
      <c r="H143" s="73">
        <v>1381</v>
      </c>
      <c r="I143" s="77">
        <v>1382</v>
      </c>
      <c r="J143" s="73">
        <v>616427.52999999991</v>
      </c>
      <c r="K143" s="52">
        <v>21</v>
      </c>
      <c r="L143" s="51">
        <v>4291.67</v>
      </c>
      <c r="M143" s="77">
        <v>692</v>
      </c>
      <c r="N143" s="76">
        <v>259937.88</v>
      </c>
      <c r="O143" s="75">
        <v>634</v>
      </c>
      <c r="P143" s="74">
        <v>139316.19999999987</v>
      </c>
      <c r="Q143" s="74">
        <v>3563.8300000000008</v>
      </c>
      <c r="R143" s="53">
        <f t="shared" si="8"/>
        <v>36558</v>
      </c>
      <c r="S143" s="73">
        <v>616427.52999999991</v>
      </c>
    </row>
    <row r="144" spans="1:19" x14ac:dyDescent="0.25">
      <c r="A144" s="28"/>
      <c r="B144" s="45" t="str">
        <f t="shared" si="6"/>
        <v>Apr-2023</v>
      </c>
      <c r="C144" s="57">
        <v>45033</v>
      </c>
      <c r="D144" s="43">
        <f t="shared" si="7"/>
        <v>1079</v>
      </c>
      <c r="E144" s="76">
        <v>821</v>
      </c>
      <c r="F144" s="50">
        <v>1496</v>
      </c>
      <c r="G144" s="49">
        <v>809423</v>
      </c>
      <c r="H144" s="73">
        <v>1496</v>
      </c>
      <c r="I144" s="77">
        <v>1496</v>
      </c>
      <c r="J144" s="73">
        <v>634898.41999999993</v>
      </c>
      <c r="K144" s="52">
        <v>16</v>
      </c>
      <c r="L144" s="51">
        <v>3472.44</v>
      </c>
      <c r="M144" s="77">
        <v>900</v>
      </c>
      <c r="N144" s="76">
        <v>325714.76</v>
      </c>
      <c r="O144" s="75">
        <v>722</v>
      </c>
      <c r="P144" s="74">
        <v>143618.13000000012</v>
      </c>
      <c r="Q144" s="74">
        <v>3869.2399999999984</v>
      </c>
      <c r="R144" s="53">
        <f t="shared" si="8"/>
        <v>40471.15</v>
      </c>
      <c r="S144" s="73">
        <v>634898.41999999993</v>
      </c>
    </row>
    <row r="145" spans="1:19" x14ac:dyDescent="0.25">
      <c r="A145" s="28"/>
      <c r="B145" s="45" t="str">
        <f t="shared" si="6"/>
        <v>Apr-2023</v>
      </c>
      <c r="C145" s="57">
        <v>45034</v>
      </c>
      <c r="D145" s="43">
        <f t="shared" si="7"/>
        <v>1078</v>
      </c>
      <c r="E145" s="76">
        <v>853</v>
      </c>
      <c r="F145" s="50">
        <v>1451</v>
      </c>
      <c r="G145" s="49">
        <v>773322</v>
      </c>
      <c r="H145" s="73">
        <v>1447</v>
      </c>
      <c r="I145" s="77">
        <v>1451</v>
      </c>
      <c r="J145" s="73">
        <v>634474.86</v>
      </c>
      <c r="K145" s="52">
        <v>13</v>
      </c>
      <c r="L145" s="51">
        <v>4412.26</v>
      </c>
      <c r="M145" s="77">
        <v>736</v>
      </c>
      <c r="N145" s="76">
        <v>284934.42</v>
      </c>
      <c r="O145" s="75">
        <v>677</v>
      </c>
      <c r="P145" s="74">
        <v>143148.82000000033</v>
      </c>
      <c r="Q145" s="74">
        <v>3643.5399999999968</v>
      </c>
      <c r="R145" s="53">
        <f t="shared" si="8"/>
        <v>38666.1</v>
      </c>
      <c r="S145" s="73">
        <v>634474.86</v>
      </c>
    </row>
    <row r="146" spans="1:19" x14ac:dyDescent="0.25">
      <c r="A146" s="28"/>
      <c r="B146" s="45" t="str">
        <f t="shared" si="6"/>
        <v>Apr-2023</v>
      </c>
      <c r="C146" s="57">
        <v>45035</v>
      </c>
      <c r="D146" s="43">
        <f t="shared" si="7"/>
        <v>1077</v>
      </c>
      <c r="E146" s="76">
        <v>877</v>
      </c>
      <c r="F146" s="50">
        <v>1418</v>
      </c>
      <c r="G146" s="49">
        <v>754708</v>
      </c>
      <c r="H146" s="73">
        <v>1416</v>
      </c>
      <c r="I146" s="77">
        <v>1418</v>
      </c>
      <c r="J146" s="73">
        <v>618539.27</v>
      </c>
      <c r="K146" s="52">
        <v>16</v>
      </c>
      <c r="L146" s="51">
        <v>3251.34</v>
      </c>
      <c r="M146" s="77">
        <v>686</v>
      </c>
      <c r="N146" s="76">
        <v>281246.64</v>
      </c>
      <c r="O146" s="75">
        <v>629</v>
      </c>
      <c r="P146" s="74">
        <v>139718.75000000009</v>
      </c>
      <c r="Q146" s="74">
        <v>3755.6800000000021</v>
      </c>
      <c r="R146" s="53">
        <f t="shared" si="8"/>
        <v>37735.4</v>
      </c>
      <c r="S146" s="73">
        <v>618539.27</v>
      </c>
    </row>
    <row r="147" spans="1:19" x14ac:dyDescent="0.25">
      <c r="A147" s="28"/>
      <c r="B147" s="45" t="str">
        <f t="shared" si="6"/>
        <v>Apr-2023</v>
      </c>
      <c r="C147" s="57">
        <v>45036</v>
      </c>
      <c r="D147" s="43">
        <f t="shared" si="7"/>
        <v>1076</v>
      </c>
      <c r="E147" s="76">
        <v>882</v>
      </c>
      <c r="F147" s="50">
        <v>1402</v>
      </c>
      <c r="G147" s="49">
        <v>748323</v>
      </c>
      <c r="H147" s="73">
        <v>1397</v>
      </c>
      <c r="I147" s="77">
        <v>1402</v>
      </c>
      <c r="J147" s="73">
        <v>621938.5199999999</v>
      </c>
      <c r="K147" s="52">
        <v>25</v>
      </c>
      <c r="L147" s="51">
        <v>6930.7100000000009</v>
      </c>
      <c r="M147" s="77">
        <v>703</v>
      </c>
      <c r="N147" s="76">
        <v>268378.94</v>
      </c>
      <c r="O147" s="75">
        <v>656</v>
      </c>
      <c r="P147" s="74">
        <v>140030.38000000003</v>
      </c>
      <c r="Q147" s="74">
        <v>3662.9500000000007</v>
      </c>
      <c r="R147" s="53">
        <f t="shared" si="8"/>
        <v>37416.15</v>
      </c>
      <c r="S147" s="73">
        <v>621938.5199999999</v>
      </c>
    </row>
    <row r="148" spans="1:19" x14ac:dyDescent="0.25">
      <c r="A148" s="28"/>
      <c r="B148" s="45" t="str">
        <f t="shared" si="6"/>
        <v>Apr-2023</v>
      </c>
      <c r="C148" s="57">
        <v>45037</v>
      </c>
      <c r="D148" s="43">
        <f t="shared" si="7"/>
        <v>1075</v>
      </c>
      <c r="E148" s="76">
        <v>818</v>
      </c>
      <c r="F148" s="50">
        <v>1379</v>
      </c>
      <c r="G148" s="49">
        <v>727287</v>
      </c>
      <c r="H148" s="73">
        <v>1374</v>
      </c>
      <c r="I148" s="77">
        <v>1379</v>
      </c>
      <c r="J148" s="73">
        <v>606659.85</v>
      </c>
      <c r="K148" s="52">
        <v>18</v>
      </c>
      <c r="L148" s="51">
        <v>4994.66</v>
      </c>
      <c r="M148" s="77">
        <v>726</v>
      </c>
      <c r="N148" s="76">
        <v>260359.48</v>
      </c>
      <c r="O148" s="75">
        <v>651</v>
      </c>
      <c r="P148" s="74">
        <v>136019.04000000036</v>
      </c>
      <c r="Q148" s="74">
        <v>2850.4299999999994</v>
      </c>
      <c r="R148" s="53">
        <f t="shared" si="8"/>
        <v>36364.35</v>
      </c>
      <c r="S148" s="73">
        <v>606659.72</v>
      </c>
    </row>
    <row r="149" spans="1:19" x14ac:dyDescent="0.25">
      <c r="A149" s="28"/>
      <c r="B149" s="45" t="str">
        <f t="shared" si="6"/>
        <v>Apr-2023</v>
      </c>
      <c r="C149" s="57">
        <v>45038</v>
      </c>
      <c r="D149" s="43">
        <f t="shared" si="7"/>
        <v>1074</v>
      </c>
      <c r="E149" s="76">
        <v>821</v>
      </c>
      <c r="F149" s="50">
        <v>1311</v>
      </c>
      <c r="G149" s="49">
        <v>689755</v>
      </c>
      <c r="H149" s="73">
        <v>1310</v>
      </c>
      <c r="I149" s="77">
        <v>1311</v>
      </c>
      <c r="J149" s="73">
        <v>589350.72</v>
      </c>
      <c r="K149" s="52">
        <v>20</v>
      </c>
      <c r="L149" s="51">
        <v>1279.58</v>
      </c>
      <c r="M149" s="77">
        <v>680</v>
      </c>
      <c r="N149" s="76">
        <v>234275.44</v>
      </c>
      <c r="O149" s="75">
        <v>620</v>
      </c>
      <c r="P149" s="74">
        <v>132268.1499999997</v>
      </c>
      <c r="Q149" s="74">
        <v>3162.58</v>
      </c>
      <c r="R149" s="53">
        <f t="shared" si="8"/>
        <v>34487.75</v>
      </c>
      <c r="S149" s="73">
        <v>589350.72</v>
      </c>
    </row>
    <row r="150" spans="1:19" x14ac:dyDescent="0.25">
      <c r="A150" s="28"/>
      <c r="B150" s="45" t="str">
        <f t="shared" si="6"/>
        <v>Apr-2023</v>
      </c>
      <c r="C150" s="57">
        <v>45039</v>
      </c>
      <c r="D150" s="43">
        <f t="shared" si="7"/>
        <v>1073</v>
      </c>
      <c r="E150" s="76">
        <v>865</v>
      </c>
      <c r="F150" s="50">
        <v>1356</v>
      </c>
      <c r="G150" s="49">
        <v>716475</v>
      </c>
      <c r="H150" s="73">
        <v>1352</v>
      </c>
      <c r="I150" s="77">
        <v>1356</v>
      </c>
      <c r="J150" s="73">
        <v>608580.62</v>
      </c>
      <c r="K150" s="52">
        <v>22</v>
      </c>
      <c r="L150" s="51">
        <v>8244.8700000000008</v>
      </c>
      <c r="M150" s="77">
        <v>652</v>
      </c>
      <c r="N150" s="76">
        <v>247663.15</v>
      </c>
      <c r="O150" s="75">
        <v>594</v>
      </c>
      <c r="P150" s="74">
        <v>136750.93999999994</v>
      </c>
      <c r="Q150" s="74">
        <v>3570.7100000000023</v>
      </c>
      <c r="R150" s="53">
        <f t="shared" si="8"/>
        <v>35823.75</v>
      </c>
      <c r="S150" s="73">
        <v>608580.62</v>
      </c>
    </row>
    <row r="151" spans="1:19" x14ac:dyDescent="0.25">
      <c r="A151" s="28"/>
      <c r="B151" s="45" t="str">
        <f t="shared" si="6"/>
        <v>Apr-2023</v>
      </c>
      <c r="C151" s="57">
        <v>45040</v>
      </c>
      <c r="D151" s="43">
        <f t="shared" si="7"/>
        <v>1072</v>
      </c>
      <c r="E151" s="76">
        <v>866</v>
      </c>
      <c r="F151" s="50">
        <v>1404</v>
      </c>
      <c r="G151" s="49">
        <v>739392</v>
      </c>
      <c r="H151" s="73">
        <v>1395</v>
      </c>
      <c r="I151" s="77">
        <v>1404</v>
      </c>
      <c r="J151" s="73">
        <v>630791.54</v>
      </c>
      <c r="K151" s="52">
        <v>30</v>
      </c>
      <c r="L151" s="51">
        <v>6556.73</v>
      </c>
      <c r="M151" s="77">
        <v>784</v>
      </c>
      <c r="N151" s="76">
        <v>254823.32</v>
      </c>
      <c r="O151" s="75">
        <v>717</v>
      </c>
      <c r="P151" s="74">
        <v>141991.13999999964</v>
      </c>
      <c r="Q151" s="74">
        <v>4070.3300000000022</v>
      </c>
      <c r="R151" s="53">
        <f t="shared" si="8"/>
        <v>36969.599999999999</v>
      </c>
      <c r="S151" s="73">
        <v>630791.54</v>
      </c>
    </row>
    <row r="152" spans="1:19" x14ac:dyDescent="0.25">
      <c r="A152" s="28"/>
      <c r="B152" s="45" t="str">
        <f t="shared" si="6"/>
        <v>Apr-2023</v>
      </c>
      <c r="C152" s="57">
        <v>45041</v>
      </c>
      <c r="D152" s="43">
        <f t="shared" si="7"/>
        <v>1071</v>
      </c>
      <c r="E152" s="76">
        <v>756</v>
      </c>
      <c r="F152" s="50">
        <v>1240</v>
      </c>
      <c r="G152" s="49">
        <v>657340</v>
      </c>
      <c r="H152" s="73">
        <v>1237</v>
      </c>
      <c r="I152" s="77">
        <v>1240</v>
      </c>
      <c r="J152" s="73">
        <v>556837.97</v>
      </c>
      <c r="K152" s="52">
        <v>17</v>
      </c>
      <c r="L152" s="51">
        <v>3205.3700000000003</v>
      </c>
      <c r="M152" s="77">
        <v>709</v>
      </c>
      <c r="N152" s="76">
        <v>229543.39</v>
      </c>
      <c r="O152" s="75">
        <v>637</v>
      </c>
      <c r="P152" s="74">
        <v>124974.70999999976</v>
      </c>
      <c r="Q152" s="74">
        <v>3182.5399999999986</v>
      </c>
      <c r="R152" s="53">
        <f t="shared" si="8"/>
        <v>32867</v>
      </c>
      <c r="S152" s="73">
        <v>556837.97000000009</v>
      </c>
    </row>
    <row r="153" spans="1:19" x14ac:dyDescent="0.25">
      <c r="A153" s="28"/>
      <c r="B153" s="45" t="str">
        <f t="shared" si="6"/>
        <v>Apr-2023</v>
      </c>
      <c r="C153" s="57">
        <v>45042</v>
      </c>
      <c r="D153" s="43">
        <f t="shared" si="7"/>
        <v>1070</v>
      </c>
      <c r="E153" s="76">
        <v>836</v>
      </c>
      <c r="F153" s="50">
        <v>1325</v>
      </c>
      <c r="G153" s="49">
        <v>697740</v>
      </c>
      <c r="H153" s="73">
        <v>1324</v>
      </c>
      <c r="I153" s="77">
        <v>1325</v>
      </c>
      <c r="J153" s="73">
        <v>596322.39999999991</v>
      </c>
      <c r="K153" s="52">
        <v>15</v>
      </c>
      <c r="L153" s="51">
        <v>4358.4400000000005</v>
      </c>
      <c r="M153" s="77">
        <v>617</v>
      </c>
      <c r="N153" s="76">
        <v>237515.45</v>
      </c>
      <c r="O153" s="75">
        <v>561</v>
      </c>
      <c r="P153" s="74">
        <v>133372.35999999999</v>
      </c>
      <c r="Q153" s="74">
        <v>2985.3400000000011</v>
      </c>
      <c r="R153" s="53">
        <f t="shared" si="8"/>
        <v>34887</v>
      </c>
      <c r="S153" s="73">
        <v>596322.39999999991</v>
      </c>
    </row>
    <row r="154" spans="1:19" x14ac:dyDescent="0.25">
      <c r="A154" s="28"/>
      <c r="B154" s="45" t="str">
        <f t="shared" si="6"/>
        <v>Apr-2023</v>
      </c>
      <c r="C154" s="57">
        <v>45043</v>
      </c>
      <c r="D154" s="43">
        <f t="shared" si="7"/>
        <v>1069</v>
      </c>
      <c r="E154" s="76">
        <v>785</v>
      </c>
      <c r="F154" s="50">
        <v>1239</v>
      </c>
      <c r="G154" s="49">
        <v>651680</v>
      </c>
      <c r="H154" s="73">
        <v>1234</v>
      </c>
      <c r="I154" s="77">
        <v>1239</v>
      </c>
      <c r="J154" s="73">
        <v>554843.22</v>
      </c>
      <c r="K154" s="52">
        <v>23</v>
      </c>
      <c r="L154" s="51">
        <v>7993.97</v>
      </c>
      <c r="M154" s="77">
        <v>625</v>
      </c>
      <c r="N154" s="76">
        <v>224203.43</v>
      </c>
      <c r="O154" s="75">
        <v>567</v>
      </c>
      <c r="P154" s="74">
        <v>124441.41000000044</v>
      </c>
      <c r="Q154" s="74">
        <v>3256.7700000000023</v>
      </c>
      <c r="R154" s="53">
        <f t="shared" si="8"/>
        <v>32584</v>
      </c>
      <c r="S154" s="73">
        <v>554843.22</v>
      </c>
    </row>
    <row r="155" spans="1:19" x14ac:dyDescent="0.25">
      <c r="A155" s="28"/>
      <c r="B155" s="45" t="str">
        <f t="shared" si="6"/>
        <v>Apr-2023</v>
      </c>
      <c r="C155" s="57">
        <v>45044</v>
      </c>
      <c r="D155" s="43">
        <f t="shared" si="7"/>
        <v>1068</v>
      </c>
      <c r="E155" s="76">
        <v>783</v>
      </c>
      <c r="F155" s="50">
        <v>1239</v>
      </c>
      <c r="G155" s="49">
        <v>655167</v>
      </c>
      <c r="H155" s="73">
        <v>1237</v>
      </c>
      <c r="I155" s="77">
        <v>1239</v>
      </c>
      <c r="J155" s="73">
        <v>553409.41</v>
      </c>
      <c r="K155" s="52">
        <v>22</v>
      </c>
      <c r="L155" s="51">
        <v>5607.68</v>
      </c>
      <c r="M155" s="77">
        <v>620</v>
      </c>
      <c r="N155" s="76">
        <v>226693.78</v>
      </c>
      <c r="O155" s="75">
        <v>568</v>
      </c>
      <c r="P155" s="74">
        <v>123618.90999999993</v>
      </c>
      <c r="Q155" s="74">
        <v>2836.4200000000005</v>
      </c>
      <c r="R155" s="53">
        <f t="shared" si="8"/>
        <v>32758.350000000002</v>
      </c>
      <c r="S155" s="73">
        <v>553409.41</v>
      </c>
    </row>
    <row r="156" spans="1:19" x14ac:dyDescent="0.25">
      <c r="A156" s="28"/>
      <c r="B156" s="45" t="str">
        <f t="shared" si="6"/>
        <v>Apr-2023</v>
      </c>
      <c r="C156" s="57">
        <v>45045</v>
      </c>
      <c r="D156" s="43">
        <f t="shared" si="7"/>
        <v>1067</v>
      </c>
      <c r="E156" s="76">
        <v>687</v>
      </c>
      <c r="F156" s="50">
        <v>1126</v>
      </c>
      <c r="G156" s="49">
        <v>594410</v>
      </c>
      <c r="H156" s="73">
        <v>1123</v>
      </c>
      <c r="I156" s="77">
        <v>1126</v>
      </c>
      <c r="J156" s="73">
        <v>481484.27999999997</v>
      </c>
      <c r="K156" s="52">
        <v>23</v>
      </c>
      <c r="L156" s="51">
        <v>4617.34</v>
      </c>
      <c r="M156" s="77">
        <v>629</v>
      </c>
      <c r="N156" s="76">
        <v>223138.82</v>
      </c>
      <c r="O156" s="75">
        <v>529</v>
      </c>
      <c r="P156" s="74">
        <v>107694.69999999985</v>
      </c>
      <c r="Q156" s="74">
        <v>2639.9900000000016</v>
      </c>
      <c r="R156" s="53">
        <f t="shared" si="8"/>
        <v>29720.5</v>
      </c>
      <c r="S156" s="73">
        <v>481484.28</v>
      </c>
    </row>
    <row r="157" spans="1:19" x14ac:dyDescent="0.25">
      <c r="A157" s="28"/>
      <c r="B157" s="45" t="str">
        <f t="shared" si="6"/>
        <v>Apr-2023</v>
      </c>
      <c r="C157" s="57">
        <v>45046</v>
      </c>
      <c r="D157" s="43">
        <f t="shared" si="7"/>
        <v>1066</v>
      </c>
      <c r="E157" s="76">
        <v>723</v>
      </c>
      <c r="F157" s="50">
        <v>1087</v>
      </c>
      <c r="G157" s="49">
        <v>572842</v>
      </c>
      <c r="H157" s="73">
        <v>1084</v>
      </c>
      <c r="I157" s="77">
        <v>1087</v>
      </c>
      <c r="J157" s="73">
        <v>491409.60000000009</v>
      </c>
      <c r="K157" s="52">
        <v>16</v>
      </c>
      <c r="L157" s="51">
        <v>2481.37</v>
      </c>
      <c r="M157" s="77">
        <v>496</v>
      </c>
      <c r="N157" s="76">
        <v>192818.64</v>
      </c>
      <c r="O157" s="75">
        <v>456</v>
      </c>
      <c r="P157" s="74">
        <v>109567.51000000031</v>
      </c>
      <c r="Q157" s="74">
        <v>2547.5800000000004</v>
      </c>
      <c r="R157" s="53">
        <f t="shared" si="8"/>
        <v>28642.100000000002</v>
      </c>
      <c r="S157" s="73">
        <v>491409.60000000009</v>
      </c>
    </row>
    <row r="158" spans="1:19" s="97" customFormat="1" x14ac:dyDescent="0.25">
      <c r="A158" s="84"/>
      <c r="B158" s="85"/>
      <c r="C158" s="86"/>
      <c r="D158" s="87"/>
      <c r="E158" s="88"/>
      <c r="F158" s="89"/>
      <c r="G158" s="83">
        <f>SUM(G128:G157)</f>
        <v>22266452</v>
      </c>
      <c r="H158" s="90"/>
      <c r="I158" s="91"/>
      <c r="J158" s="90"/>
      <c r="K158" s="92"/>
      <c r="L158" s="93"/>
      <c r="M158" s="91"/>
      <c r="N158" s="88"/>
      <c r="O158" s="94"/>
      <c r="P158" s="95"/>
      <c r="Q158" s="95"/>
      <c r="R158" s="96"/>
      <c r="S158" s="90"/>
    </row>
    <row r="159" spans="1:19" x14ac:dyDescent="0.25">
      <c r="A159" s="28"/>
      <c r="B159" s="45" t="str">
        <f t="shared" si="6"/>
        <v>May-2023</v>
      </c>
      <c r="C159" s="57">
        <v>45047</v>
      </c>
      <c r="D159" s="43">
        <f t="shared" si="7"/>
        <v>1065</v>
      </c>
      <c r="E159" s="76">
        <v>803</v>
      </c>
      <c r="F159" s="50">
        <v>1204</v>
      </c>
      <c r="G159" s="49">
        <v>633487</v>
      </c>
      <c r="H159" s="73">
        <v>1198</v>
      </c>
      <c r="I159" s="77">
        <v>1204</v>
      </c>
      <c r="J159" s="73">
        <v>559172.02</v>
      </c>
      <c r="K159" s="52">
        <v>23</v>
      </c>
      <c r="L159" s="51">
        <v>6159.8200000000006</v>
      </c>
      <c r="M159" s="77">
        <v>560</v>
      </c>
      <c r="N159" s="76">
        <v>201117.53</v>
      </c>
      <c r="O159" s="75">
        <v>513</v>
      </c>
      <c r="P159" s="74">
        <v>124851.40000000029</v>
      </c>
      <c r="Q159" s="74">
        <v>3084.62</v>
      </c>
      <c r="R159" s="53">
        <f t="shared" si="8"/>
        <v>31674.350000000002</v>
      </c>
      <c r="S159" s="73">
        <v>559172.02</v>
      </c>
    </row>
    <row r="160" spans="1:19" x14ac:dyDescent="0.25">
      <c r="A160" s="28"/>
      <c r="B160" s="45" t="str">
        <f t="shared" si="6"/>
        <v>May-2023</v>
      </c>
      <c r="C160" s="57">
        <v>45048</v>
      </c>
      <c r="D160" s="43">
        <f t="shared" si="7"/>
        <v>1064</v>
      </c>
      <c r="E160" s="76">
        <v>723</v>
      </c>
      <c r="F160" s="50">
        <v>1185</v>
      </c>
      <c r="G160" s="49">
        <v>628819</v>
      </c>
      <c r="H160" s="73">
        <v>1179</v>
      </c>
      <c r="I160" s="77">
        <v>1185</v>
      </c>
      <c r="J160" s="73">
        <v>528162.19999999972</v>
      </c>
      <c r="K160" s="52">
        <v>24</v>
      </c>
      <c r="L160" s="51">
        <v>7038.02</v>
      </c>
      <c r="M160" s="77">
        <v>530</v>
      </c>
      <c r="N160" s="76">
        <v>219662.43</v>
      </c>
      <c r="O160" s="75">
        <v>493</v>
      </c>
      <c r="P160" s="74">
        <v>117706.02999999997</v>
      </c>
      <c r="Q160" s="74">
        <v>2796.4200000000014</v>
      </c>
      <c r="R160" s="53">
        <f t="shared" si="8"/>
        <v>31440.95</v>
      </c>
      <c r="S160" s="73">
        <v>528162.19999999995</v>
      </c>
    </row>
    <row r="161" spans="1:19" x14ac:dyDescent="0.25">
      <c r="A161" s="28"/>
      <c r="B161" s="45" t="str">
        <f t="shared" si="6"/>
        <v>May-2023</v>
      </c>
      <c r="C161" s="57">
        <v>45049</v>
      </c>
      <c r="D161" s="43">
        <f t="shared" si="7"/>
        <v>1063</v>
      </c>
      <c r="E161" s="76">
        <v>686</v>
      </c>
      <c r="F161" s="50">
        <v>1296</v>
      </c>
      <c r="G161" s="49">
        <v>711499</v>
      </c>
      <c r="H161" s="73">
        <v>1291</v>
      </c>
      <c r="I161" s="77">
        <v>1296</v>
      </c>
      <c r="J161" s="73">
        <v>531730.94000000006</v>
      </c>
      <c r="K161" s="52">
        <v>26</v>
      </c>
      <c r="L161" s="51">
        <v>6505.66</v>
      </c>
      <c r="M161" s="77">
        <v>768</v>
      </c>
      <c r="N161" s="76">
        <v>303616.43</v>
      </c>
      <c r="O161" s="75">
        <v>709</v>
      </c>
      <c r="P161" s="74">
        <v>119732.60000000037</v>
      </c>
      <c r="Q161" s="74">
        <v>4320.13</v>
      </c>
      <c r="R161" s="53">
        <f t="shared" si="8"/>
        <v>35574.950000000004</v>
      </c>
      <c r="S161" s="73">
        <v>531730.94000000006</v>
      </c>
    </row>
    <row r="162" spans="1:19" x14ac:dyDescent="0.25">
      <c r="A162" s="28"/>
      <c r="B162" s="45" t="str">
        <f t="shared" si="6"/>
        <v>May-2023</v>
      </c>
      <c r="C162" s="57">
        <v>45050</v>
      </c>
      <c r="D162" s="43">
        <f t="shared" si="7"/>
        <v>1062</v>
      </c>
      <c r="E162" s="76">
        <v>718</v>
      </c>
      <c r="F162" s="50">
        <v>1271</v>
      </c>
      <c r="G162" s="49">
        <v>693629</v>
      </c>
      <c r="H162" s="73">
        <v>1266</v>
      </c>
      <c r="I162" s="77">
        <v>1271</v>
      </c>
      <c r="J162" s="73">
        <v>524415.95000000007</v>
      </c>
      <c r="K162" s="52">
        <v>28</v>
      </c>
      <c r="L162" s="51">
        <v>5397.54</v>
      </c>
      <c r="M162" s="77">
        <v>737</v>
      </c>
      <c r="N162" s="76">
        <v>289493.71999999997</v>
      </c>
      <c r="O162" s="75">
        <v>666</v>
      </c>
      <c r="P162" s="74">
        <v>117459.07000000044</v>
      </c>
      <c r="Q162" s="74">
        <v>3422.6099999999992</v>
      </c>
      <c r="R162" s="53">
        <f t="shared" si="8"/>
        <v>34681.450000000004</v>
      </c>
      <c r="S162" s="73">
        <v>524415.95000000007</v>
      </c>
    </row>
    <row r="163" spans="1:19" x14ac:dyDescent="0.25">
      <c r="A163" s="28"/>
      <c r="B163" s="45" t="str">
        <f t="shared" si="6"/>
        <v>May-2023</v>
      </c>
      <c r="C163" s="57">
        <v>45051</v>
      </c>
      <c r="D163" s="43">
        <f t="shared" si="7"/>
        <v>1061</v>
      </c>
      <c r="E163" s="76">
        <v>743</v>
      </c>
      <c r="F163" s="50">
        <v>1259</v>
      </c>
      <c r="G163" s="49">
        <v>687811</v>
      </c>
      <c r="H163" s="73">
        <v>1257</v>
      </c>
      <c r="I163" s="77">
        <v>1259</v>
      </c>
      <c r="J163" s="73">
        <v>529883.21</v>
      </c>
      <c r="K163" s="52">
        <v>22</v>
      </c>
      <c r="L163" s="51">
        <v>3049</v>
      </c>
      <c r="M163" s="77">
        <v>699</v>
      </c>
      <c r="N163" s="76">
        <v>278625.96000000002</v>
      </c>
      <c r="O163" s="75">
        <v>646</v>
      </c>
      <c r="P163" s="74">
        <v>118555.67999999982</v>
      </c>
      <c r="Q163" s="74">
        <v>3608.8300000000017</v>
      </c>
      <c r="R163" s="53">
        <f t="shared" si="8"/>
        <v>34390.550000000003</v>
      </c>
      <c r="S163" s="73">
        <v>529883.20999999985</v>
      </c>
    </row>
    <row r="164" spans="1:19" x14ac:dyDescent="0.25">
      <c r="A164" s="28"/>
      <c r="B164" s="45" t="str">
        <f t="shared" si="6"/>
        <v>May-2023</v>
      </c>
      <c r="C164" s="57">
        <v>45052</v>
      </c>
      <c r="D164" s="43">
        <f t="shared" si="7"/>
        <v>1060</v>
      </c>
      <c r="E164" s="76">
        <v>656</v>
      </c>
      <c r="F164" s="50">
        <v>1186</v>
      </c>
      <c r="G164" s="49">
        <v>640947</v>
      </c>
      <c r="H164" s="73">
        <v>1178</v>
      </c>
      <c r="I164" s="77">
        <v>1186</v>
      </c>
      <c r="J164" s="73">
        <v>506919.73999999993</v>
      </c>
      <c r="K164" s="52">
        <v>24</v>
      </c>
      <c r="L164" s="51">
        <v>8296.010000000002</v>
      </c>
      <c r="M164" s="77">
        <v>636</v>
      </c>
      <c r="N164" s="76">
        <v>252825.45</v>
      </c>
      <c r="O164" s="75">
        <v>590</v>
      </c>
      <c r="P164" s="74">
        <v>113086.85999999988</v>
      </c>
      <c r="Q164" s="74">
        <v>3285.9799999999982</v>
      </c>
      <c r="R164" s="53">
        <f t="shared" si="8"/>
        <v>32047.350000000002</v>
      </c>
      <c r="S164" s="73">
        <v>506919.74</v>
      </c>
    </row>
    <row r="165" spans="1:19" x14ac:dyDescent="0.25">
      <c r="A165" s="28"/>
      <c r="B165" s="45" t="str">
        <f t="shared" si="6"/>
        <v>May-2023</v>
      </c>
      <c r="C165" s="57">
        <v>45053</v>
      </c>
      <c r="D165" s="43">
        <f t="shared" si="7"/>
        <v>1059</v>
      </c>
      <c r="E165" s="76">
        <v>714</v>
      </c>
      <c r="F165" s="50">
        <v>1212</v>
      </c>
      <c r="G165" s="49">
        <v>639835</v>
      </c>
      <c r="H165" s="73">
        <v>1208</v>
      </c>
      <c r="I165" s="77">
        <v>1212</v>
      </c>
      <c r="J165" s="73">
        <v>536823.07000000007</v>
      </c>
      <c r="K165" s="52">
        <v>25</v>
      </c>
      <c r="L165" s="51">
        <v>6136.8499999999995</v>
      </c>
      <c r="M165" s="77">
        <v>601</v>
      </c>
      <c r="N165" s="76">
        <v>226731</v>
      </c>
      <c r="O165" s="75">
        <v>555</v>
      </c>
      <c r="P165" s="74">
        <v>120058.42000000051</v>
      </c>
      <c r="Q165" s="74">
        <v>3863.9700000000016</v>
      </c>
      <c r="R165" s="53">
        <f t="shared" si="8"/>
        <v>31991.75</v>
      </c>
      <c r="S165" s="73">
        <v>536823.06999999995</v>
      </c>
    </row>
    <row r="166" spans="1:19" x14ac:dyDescent="0.25">
      <c r="A166" s="28"/>
      <c r="B166" s="45" t="str">
        <f t="shared" si="6"/>
        <v>May-2023</v>
      </c>
      <c r="C166" s="57">
        <v>45054</v>
      </c>
      <c r="D166" s="43">
        <f t="shared" si="7"/>
        <v>1058</v>
      </c>
      <c r="E166" s="76">
        <v>755</v>
      </c>
      <c r="F166" s="50">
        <v>1228</v>
      </c>
      <c r="G166" s="49">
        <v>664025</v>
      </c>
      <c r="H166" s="73">
        <v>1228</v>
      </c>
      <c r="I166" s="77">
        <v>1228</v>
      </c>
      <c r="J166" s="73">
        <v>535777.84999999986</v>
      </c>
      <c r="K166" s="52">
        <v>19</v>
      </c>
      <c r="L166" s="51">
        <v>6641.95</v>
      </c>
      <c r="M166" s="77">
        <v>631</v>
      </c>
      <c r="N166" s="76">
        <v>249784.18</v>
      </c>
      <c r="O166" s="75">
        <v>573</v>
      </c>
      <c r="P166" s="74">
        <v>119740.94999999974</v>
      </c>
      <c r="Q166" s="74">
        <v>3650.5499999999988</v>
      </c>
      <c r="R166" s="53">
        <f t="shared" si="8"/>
        <v>33201.25</v>
      </c>
      <c r="S166" s="73">
        <v>535777.84999999986</v>
      </c>
    </row>
    <row r="167" spans="1:19" x14ac:dyDescent="0.25">
      <c r="A167" s="28"/>
      <c r="B167" s="45" t="str">
        <f t="shared" si="6"/>
        <v>May-2023</v>
      </c>
      <c r="C167" s="57">
        <v>45055</v>
      </c>
      <c r="D167" s="43">
        <f t="shared" si="7"/>
        <v>1057</v>
      </c>
      <c r="E167" s="76">
        <v>693</v>
      </c>
      <c r="F167" s="50">
        <v>1236</v>
      </c>
      <c r="G167" s="49">
        <v>660721</v>
      </c>
      <c r="H167" s="73">
        <v>1235</v>
      </c>
      <c r="I167" s="77">
        <v>1236</v>
      </c>
      <c r="J167" s="73">
        <v>542168.05000000005</v>
      </c>
      <c r="K167" s="52">
        <v>20</v>
      </c>
      <c r="L167" s="51">
        <v>5868.23</v>
      </c>
      <c r="M167" s="77">
        <v>652</v>
      </c>
      <c r="N167" s="76">
        <v>244367.41</v>
      </c>
      <c r="O167" s="75">
        <v>591</v>
      </c>
      <c r="P167" s="74">
        <v>121350.63999999978</v>
      </c>
      <c r="Q167" s="74">
        <v>4097.7400000000034</v>
      </c>
      <c r="R167" s="53">
        <f t="shared" si="8"/>
        <v>33036.050000000003</v>
      </c>
      <c r="S167" s="73">
        <v>542168.05000000005</v>
      </c>
    </row>
    <row r="168" spans="1:19" x14ac:dyDescent="0.25">
      <c r="A168" s="28"/>
      <c r="B168" s="45" t="str">
        <f t="shared" si="6"/>
        <v>May-2023</v>
      </c>
      <c r="C168" s="57">
        <v>45056</v>
      </c>
      <c r="D168" s="43">
        <f t="shared" si="7"/>
        <v>1056</v>
      </c>
      <c r="E168" s="76">
        <v>643</v>
      </c>
      <c r="F168" s="50">
        <v>1076</v>
      </c>
      <c r="G168" s="49">
        <v>582975</v>
      </c>
      <c r="H168" s="73">
        <v>1075</v>
      </c>
      <c r="I168" s="77">
        <v>1076</v>
      </c>
      <c r="J168" s="73">
        <v>477965.88999999996</v>
      </c>
      <c r="K168" s="52">
        <v>19</v>
      </c>
      <c r="L168" s="51">
        <v>6032.79</v>
      </c>
      <c r="M168" s="77">
        <v>575</v>
      </c>
      <c r="N168" s="76">
        <v>212357.33</v>
      </c>
      <c r="O168" s="75">
        <v>517</v>
      </c>
      <c r="P168" s="74">
        <v>106354.67000000038</v>
      </c>
      <c r="Q168" s="74">
        <v>2955.22</v>
      </c>
      <c r="R168" s="53">
        <f t="shared" si="8"/>
        <v>29148.75</v>
      </c>
      <c r="S168" s="73">
        <v>477965.89</v>
      </c>
    </row>
    <row r="169" spans="1:19" x14ac:dyDescent="0.25">
      <c r="A169" s="28"/>
      <c r="B169" s="45" t="str">
        <f t="shared" si="6"/>
        <v>May-2023</v>
      </c>
      <c r="C169" s="57">
        <v>45057</v>
      </c>
      <c r="D169" s="43">
        <f t="shared" si="7"/>
        <v>1055</v>
      </c>
      <c r="E169" s="76">
        <v>680</v>
      </c>
      <c r="F169" s="50">
        <v>1159</v>
      </c>
      <c r="G169" s="49">
        <v>621995</v>
      </c>
      <c r="H169" s="73">
        <v>1157</v>
      </c>
      <c r="I169" s="77">
        <v>1159</v>
      </c>
      <c r="J169" s="73">
        <v>499437.14000000007</v>
      </c>
      <c r="K169" s="52">
        <v>17</v>
      </c>
      <c r="L169" s="51">
        <v>4326.7700000000004</v>
      </c>
      <c r="M169" s="77">
        <v>623</v>
      </c>
      <c r="N169" s="76">
        <v>235075.89</v>
      </c>
      <c r="O169" s="75">
        <v>560</v>
      </c>
      <c r="P169" s="74">
        <v>110776.62</v>
      </c>
      <c r="Q169" s="74">
        <v>2847.8200000000011</v>
      </c>
      <c r="R169" s="53">
        <f t="shared" si="8"/>
        <v>31099.75</v>
      </c>
      <c r="S169" s="73">
        <v>499437.14</v>
      </c>
    </row>
    <row r="170" spans="1:19" x14ac:dyDescent="0.25">
      <c r="A170" s="28"/>
      <c r="B170" s="45" t="str">
        <f t="shared" si="6"/>
        <v>May-2023</v>
      </c>
      <c r="C170" s="57">
        <v>45058</v>
      </c>
      <c r="D170" s="43">
        <f t="shared" si="7"/>
        <v>1054</v>
      </c>
      <c r="E170" s="76">
        <v>729</v>
      </c>
      <c r="F170" s="50">
        <v>1089</v>
      </c>
      <c r="G170" s="49">
        <v>578582</v>
      </c>
      <c r="H170" s="73">
        <v>1087</v>
      </c>
      <c r="I170" s="77">
        <v>1089</v>
      </c>
      <c r="J170" s="73">
        <v>487840.01000000007</v>
      </c>
      <c r="K170" s="52">
        <v>18</v>
      </c>
      <c r="L170" s="51">
        <v>3105.09</v>
      </c>
      <c r="M170" s="77">
        <v>576</v>
      </c>
      <c r="N170" s="76">
        <v>201702.12</v>
      </c>
      <c r="O170" s="75">
        <v>516</v>
      </c>
      <c r="P170" s="74">
        <v>108420.42000000001</v>
      </c>
      <c r="Q170" s="74">
        <v>2931.7700000000018</v>
      </c>
      <c r="R170" s="53">
        <f t="shared" si="8"/>
        <v>28929.100000000002</v>
      </c>
      <c r="S170" s="73">
        <v>487840.01</v>
      </c>
    </row>
    <row r="171" spans="1:19" x14ac:dyDescent="0.25">
      <c r="A171" s="28"/>
      <c r="B171" s="45" t="str">
        <f t="shared" si="6"/>
        <v>May-2023</v>
      </c>
      <c r="C171" s="57">
        <v>45059</v>
      </c>
      <c r="D171" s="43">
        <f t="shared" si="7"/>
        <v>1053</v>
      </c>
      <c r="E171" s="76">
        <v>638</v>
      </c>
      <c r="F171" s="50">
        <v>1103</v>
      </c>
      <c r="G171" s="49">
        <v>597857</v>
      </c>
      <c r="H171" s="73">
        <v>1099</v>
      </c>
      <c r="I171" s="77">
        <v>1103</v>
      </c>
      <c r="J171" s="73">
        <v>472050.42</v>
      </c>
      <c r="K171" s="52">
        <v>12</v>
      </c>
      <c r="L171" s="51">
        <v>1973.25</v>
      </c>
      <c r="M171" s="77">
        <v>601</v>
      </c>
      <c r="N171" s="76">
        <v>234168.02</v>
      </c>
      <c r="O171" s="75">
        <v>548</v>
      </c>
      <c r="P171" s="74">
        <v>105205.89000000058</v>
      </c>
      <c r="Q171" s="74">
        <v>3358.2000000000003</v>
      </c>
      <c r="R171" s="53">
        <f t="shared" si="8"/>
        <v>29892.850000000002</v>
      </c>
      <c r="S171" s="73">
        <v>472050.41999999993</v>
      </c>
    </row>
    <row r="172" spans="1:19" x14ac:dyDescent="0.25">
      <c r="A172" s="28"/>
      <c r="B172" s="45" t="str">
        <f t="shared" si="6"/>
        <v>May-2023</v>
      </c>
      <c r="C172" s="57">
        <v>45060</v>
      </c>
      <c r="D172" s="43">
        <f t="shared" si="7"/>
        <v>1052</v>
      </c>
      <c r="E172" s="76">
        <v>719</v>
      </c>
      <c r="F172" s="50">
        <v>1124</v>
      </c>
      <c r="G172" s="49">
        <v>590780</v>
      </c>
      <c r="H172" s="73">
        <v>1118</v>
      </c>
      <c r="I172" s="77">
        <v>1124</v>
      </c>
      <c r="J172" s="73">
        <v>504878.57000000007</v>
      </c>
      <c r="K172" s="52">
        <v>16</v>
      </c>
      <c r="L172" s="51">
        <v>5790.0100000000011</v>
      </c>
      <c r="M172" s="77">
        <v>520</v>
      </c>
      <c r="N172" s="76">
        <v>198937.78</v>
      </c>
      <c r="O172" s="75">
        <v>486</v>
      </c>
      <c r="P172" s="74">
        <v>111727.82999999997</v>
      </c>
      <c r="Q172" s="74">
        <v>2878.8499999999985</v>
      </c>
      <c r="R172" s="53">
        <f t="shared" si="8"/>
        <v>29539</v>
      </c>
      <c r="S172" s="73">
        <v>504878.57</v>
      </c>
    </row>
    <row r="173" spans="1:19" x14ac:dyDescent="0.25">
      <c r="A173" s="28"/>
      <c r="B173" s="45" t="str">
        <f t="shared" si="6"/>
        <v>May-2023</v>
      </c>
      <c r="C173" s="57">
        <v>45061</v>
      </c>
      <c r="D173" s="43">
        <f t="shared" si="7"/>
        <v>1051</v>
      </c>
      <c r="E173" s="76">
        <v>653</v>
      </c>
      <c r="F173" s="50">
        <v>1044</v>
      </c>
      <c r="G173" s="49">
        <v>559449</v>
      </c>
      <c r="H173" s="73">
        <v>1042</v>
      </c>
      <c r="I173" s="77">
        <v>1044</v>
      </c>
      <c r="J173" s="73">
        <v>458731.74</v>
      </c>
      <c r="K173" s="52">
        <v>17</v>
      </c>
      <c r="L173" s="51">
        <v>4621.2700000000004</v>
      </c>
      <c r="M173" s="77">
        <v>582</v>
      </c>
      <c r="N173" s="76">
        <v>202350.65</v>
      </c>
      <c r="O173" s="75">
        <v>532</v>
      </c>
      <c r="P173" s="74">
        <v>101409.38999999996</v>
      </c>
      <c r="Q173" s="74">
        <v>2438.13</v>
      </c>
      <c r="R173" s="53">
        <f t="shared" si="8"/>
        <v>27972.45</v>
      </c>
      <c r="S173" s="73">
        <v>458731.74000000005</v>
      </c>
    </row>
    <row r="174" spans="1:19" x14ac:dyDescent="0.25">
      <c r="A174" s="28"/>
      <c r="B174" s="45" t="str">
        <f t="shared" si="6"/>
        <v>May-2023</v>
      </c>
      <c r="C174" s="57">
        <v>45062</v>
      </c>
      <c r="D174" s="43">
        <f t="shared" si="7"/>
        <v>1050</v>
      </c>
      <c r="E174" s="76">
        <v>730</v>
      </c>
      <c r="F174" s="50">
        <v>1098</v>
      </c>
      <c r="G174" s="49">
        <v>582225</v>
      </c>
      <c r="H174" s="73">
        <v>1097</v>
      </c>
      <c r="I174" s="77">
        <v>1098</v>
      </c>
      <c r="J174" s="73">
        <v>503640.59999999992</v>
      </c>
      <c r="K174" s="52">
        <v>13</v>
      </c>
      <c r="L174" s="51">
        <v>3248.5900000000006</v>
      </c>
      <c r="M174" s="77">
        <v>551</v>
      </c>
      <c r="N174" s="76">
        <v>193840.09</v>
      </c>
      <c r="O174" s="75">
        <v>511</v>
      </c>
      <c r="P174" s="74">
        <v>111354.76000000005</v>
      </c>
      <c r="Q174" s="74">
        <v>2884.5200000000013</v>
      </c>
      <c r="R174" s="53">
        <f t="shared" si="8"/>
        <v>29111.25</v>
      </c>
      <c r="S174" s="73">
        <v>503640.59999999992</v>
      </c>
    </row>
    <row r="175" spans="1:19" x14ac:dyDescent="0.25">
      <c r="A175" s="28"/>
      <c r="B175" s="45" t="str">
        <f t="shared" si="6"/>
        <v>May-2023</v>
      </c>
      <c r="C175" s="57">
        <v>45063</v>
      </c>
      <c r="D175" s="43">
        <f t="shared" si="7"/>
        <v>1049</v>
      </c>
      <c r="E175" s="76">
        <v>723</v>
      </c>
      <c r="F175" s="50">
        <v>1066</v>
      </c>
      <c r="G175" s="49">
        <v>569168</v>
      </c>
      <c r="H175" s="73">
        <v>1063</v>
      </c>
      <c r="I175" s="77">
        <v>1066</v>
      </c>
      <c r="J175" s="73">
        <v>471960.9</v>
      </c>
      <c r="K175" s="52">
        <v>12</v>
      </c>
      <c r="L175" s="51">
        <v>4823.9500000000007</v>
      </c>
      <c r="M175" s="77">
        <v>549</v>
      </c>
      <c r="N175" s="76">
        <v>204177.61</v>
      </c>
      <c r="O175" s="75">
        <v>502</v>
      </c>
      <c r="P175" s="74">
        <v>104872.94999999995</v>
      </c>
      <c r="Q175" s="74">
        <v>3559.0900000000006</v>
      </c>
      <c r="R175" s="53">
        <f t="shared" si="8"/>
        <v>28458.400000000001</v>
      </c>
      <c r="S175" s="73">
        <v>471960.9</v>
      </c>
    </row>
    <row r="176" spans="1:19" x14ac:dyDescent="0.25">
      <c r="A176" s="28"/>
      <c r="B176" s="45" t="str">
        <f t="shared" si="6"/>
        <v>May-2023</v>
      </c>
      <c r="C176" s="57">
        <v>45064</v>
      </c>
      <c r="D176" s="43">
        <f t="shared" si="7"/>
        <v>1048</v>
      </c>
      <c r="E176" s="76">
        <v>636</v>
      </c>
      <c r="F176" s="50">
        <v>1021</v>
      </c>
      <c r="G176" s="49">
        <v>542710</v>
      </c>
      <c r="H176" s="73">
        <v>1016</v>
      </c>
      <c r="I176" s="77">
        <v>1021</v>
      </c>
      <c r="J176" s="73">
        <v>447395.02999999997</v>
      </c>
      <c r="K176" s="52">
        <v>22</v>
      </c>
      <c r="L176" s="51">
        <v>8028.9700000000012</v>
      </c>
      <c r="M176" s="77">
        <v>502</v>
      </c>
      <c r="N176" s="76">
        <v>196705.57</v>
      </c>
      <c r="O176" s="75">
        <v>456</v>
      </c>
      <c r="P176" s="74">
        <v>98611.390000000014</v>
      </c>
      <c r="Q176" s="74">
        <v>2314.0200000000004</v>
      </c>
      <c r="R176" s="53">
        <f t="shared" si="8"/>
        <v>27135.5</v>
      </c>
      <c r="S176" s="73">
        <v>447395.02999999997</v>
      </c>
    </row>
    <row r="177" spans="1:19" x14ac:dyDescent="0.25">
      <c r="A177" s="28"/>
      <c r="B177" s="45" t="str">
        <f t="shared" si="6"/>
        <v>May-2023</v>
      </c>
      <c r="C177" s="57">
        <v>45065</v>
      </c>
      <c r="D177" s="43">
        <f t="shared" si="7"/>
        <v>1047</v>
      </c>
      <c r="E177" s="76">
        <v>630</v>
      </c>
      <c r="F177" s="50">
        <v>1023</v>
      </c>
      <c r="G177" s="49">
        <v>544445</v>
      </c>
      <c r="H177" s="73">
        <v>1019</v>
      </c>
      <c r="I177" s="77">
        <v>1023</v>
      </c>
      <c r="J177" s="73">
        <v>459302.00000000006</v>
      </c>
      <c r="K177" s="52">
        <v>13</v>
      </c>
      <c r="L177" s="51">
        <v>4440.6400000000003</v>
      </c>
      <c r="M177" s="77">
        <v>529</v>
      </c>
      <c r="N177" s="76">
        <v>188208.44</v>
      </c>
      <c r="O177" s="75">
        <v>489</v>
      </c>
      <c r="P177" s="74">
        <v>101015.15000000024</v>
      </c>
      <c r="Q177" s="74">
        <v>2283.4599999999996</v>
      </c>
      <c r="R177" s="53">
        <f t="shared" si="8"/>
        <v>27222.25</v>
      </c>
      <c r="S177" s="73">
        <v>459302.00000000006</v>
      </c>
    </row>
    <row r="178" spans="1:19" x14ac:dyDescent="0.25">
      <c r="A178" s="28"/>
      <c r="B178" s="45" t="str">
        <f t="shared" si="6"/>
        <v>May-2023</v>
      </c>
      <c r="C178" s="57">
        <v>45066</v>
      </c>
      <c r="D178" s="43">
        <f t="shared" si="7"/>
        <v>1046</v>
      </c>
      <c r="E178" s="76">
        <v>636</v>
      </c>
      <c r="F178" s="50">
        <v>1059</v>
      </c>
      <c r="G178" s="49">
        <v>561844</v>
      </c>
      <c r="H178" s="73">
        <v>1059</v>
      </c>
      <c r="I178" s="77">
        <v>1059</v>
      </c>
      <c r="J178" s="73">
        <v>461930.85000000003</v>
      </c>
      <c r="K178" s="52">
        <v>9</v>
      </c>
      <c r="L178" s="51">
        <v>2640.2200000000003</v>
      </c>
      <c r="M178" s="77">
        <v>556</v>
      </c>
      <c r="N178" s="76">
        <v>203925.57</v>
      </c>
      <c r="O178" s="75">
        <v>505</v>
      </c>
      <c r="P178" s="74">
        <v>102251.09999999996</v>
      </c>
      <c r="Q178" s="74">
        <v>3104.3800000000006</v>
      </c>
      <c r="R178" s="53">
        <f t="shared" si="8"/>
        <v>28092.2</v>
      </c>
      <c r="S178" s="73">
        <v>461930.85000000003</v>
      </c>
    </row>
    <row r="179" spans="1:19" x14ac:dyDescent="0.25">
      <c r="A179" s="28"/>
      <c r="B179" s="45" t="str">
        <f t="shared" si="6"/>
        <v>May-2023</v>
      </c>
      <c r="C179" s="57">
        <v>45067</v>
      </c>
      <c r="D179" s="43">
        <f t="shared" si="7"/>
        <v>1045</v>
      </c>
      <c r="E179" s="76">
        <v>654</v>
      </c>
      <c r="F179" s="50">
        <v>985</v>
      </c>
      <c r="G179" s="49">
        <v>518073</v>
      </c>
      <c r="H179" s="73">
        <v>983</v>
      </c>
      <c r="I179" s="77">
        <v>985</v>
      </c>
      <c r="J179" s="73">
        <v>444007.45999999996</v>
      </c>
      <c r="K179" s="52">
        <v>13</v>
      </c>
      <c r="L179" s="51">
        <v>3653.59</v>
      </c>
      <c r="M179" s="77">
        <v>489</v>
      </c>
      <c r="N179" s="76">
        <v>174221.53</v>
      </c>
      <c r="O179" s="75">
        <v>443</v>
      </c>
      <c r="P179" s="74">
        <v>97689.949999999968</v>
      </c>
      <c r="Q179" s="74">
        <v>2415.61</v>
      </c>
      <c r="R179" s="53">
        <f t="shared" si="8"/>
        <v>25903.65</v>
      </c>
      <c r="S179" s="73">
        <v>444007.45999999996</v>
      </c>
    </row>
    <row r="180" spans="1:19" x14ac:dyDescent="0.25">
      <c r="A180" s="28"/>
      <c r="B180" s="45" t="str">
        <f t="shared" si="6"/>
        <v>May-2023</v>
      </c>
      <c r="C180" s="57">
        <v>45068</v>
      </c>
      <c r="D180" s="43">
        <f t="shared" si="7"/>
        <v>1044</v>
      </c>
      <c r="E180" s="76">
        <v>627</v>
      </c>
      <c r="F180" s="50">
        <v>1020</v>
      </c>
      <c r="G180" s="49">
        <v>541392</v>
      </c>
      <c r="H180" s="73">
        <v>1019</v>
      </c>
      <c r="I180" s="77">
        <v>1020</v>
      </c>
      <c r="J180" s="73">
        <v>441333.85000000003</v>
      </c>
      <c r="K180" s="52">
        <v>16</v>
      </c>
      <c r="L180" s="51">
        <v>4463.41</v>
      </c>
      <c r="M180" s="77">
        <v>525</v>
      </c>
      <c r="N180" s="76">
        <v>198672.08</v>
      </c>
      <c r="O180" s="75">
        <v>483</v>
      </c>
      <c r="P180" s="74">
        <v>97336.60000000018</v>
      </c>
      <c r="Q180" s="74">
        <v>2636.87</v>
      </c>
      <c r="R180" s="53">
        <f t="shared" si="8"/>
        <v>27069.600000000002</v>
      </c>
      <c r="S180" s="73">
        <v>441333.85000000003</v>
      </c>
    </row>
    <row r="181" spans="1:19" x14ac:dyDescent="0.25">
      <c r="A181" s="28"/>
      <c r="B181" s="45" t="str">
        <f t="shared" si="6"/>
        <v>May-2023</v>
      </c>
      <c r="C181" s="57">
        <v>45069</v>
      </c>
      <c r="D181" s="43">
        <f t="shared" si="7"/>
        <v>1043</v>
      </c>
      <c r="E181" s="76">
        <v>620</v>
      </c>
      <c r="F181" s="50">
        <v>980</v>
      </c>
      <c r="G181" s="49">
        <v>521362</v>
      </c>
      <c r="H181" s="73">
        <v>978</v>
      </c>
      <c r="I181" s="77">
        <v>980</v>
      </c>
      <c r="J181" s="73">
        <v>437738.91000000003</v>
      </c>
      <c r="K181" s="52">
        <v>12</v>
      </c>
      <c r="L181" s="51">
        <v>2917.58</v>
      </c>
      <c r="M181" s="77">
        <v>495</v>
      </c>
      <c r="N181" s="76">
        <v>184261.11</v>
      </c>
      <c r="O181" s="75">
        <v>461</v>
      </c>
      <c r="P181" s="74">
        <v>96645.679999999847</v>
      </c>
      <c r="Q181" s="74">
        <v>2971.8500000000004</v>
      </c>
      <c r="R181" s="53">
        <f t="shared" si="8"/>
        <v>26068.100000000002</v>
      </c>
      <c r="S181" s="73">
        <v>437738.91000000003</v>
      </c>
    </row>
    <row r="182" spans="1:19" x14ac:dyDescent="0.25">
      <c r="A182" s="28"/>
      <c r="B182" s="45" t="str">
        <f t="shared" si="6"/>
        <v>May-2023</v>
      </c>
      <c r="C182" s="57">
        <v>45070</v>
      </c>
      <c r="D182" s="43">
        <f t="shared" si="7"/>
        <v>1042</v>
      </c>
      <c r="E182" s="76">
        <v>646</v>
      </c>
      <c r="F182" s="50">
        <v>1071</v>
      </c>
      <c r="G182" s="49">
        <v>573170</v>
      </c>
      <c r="H182" s="73">
        <v>1071</v>
      </c>
      <c r="I182" s="77">
        <v>1071</v>
      </c>
      <c r="J182" s="73">
        <v>449049.72</v>
      </c>
      <c r="K182" s="52">
        <v>15</v>
      </c>
      <c r="L182" s="51">
        <v>1947.63</v>
      </c>
      <c r="M182" s="77">
        <v>600</v>
      </c>
      <c r="N182" s="76">
        <v>228253.3</v>
      </c>
      <c r="O182" s="75">
        <v>550</v>
      </c>
      <c r="P182" s="74">
        <v>99641.979999999909</v>
      </c>
      <c r="Q182" s="74">
        <v>3477.3700000000022</v>
      </c>
      <c r="R182" s="53">
        <f t="shared" si="8"/>
        <v>28658.5</v>
      </c>
      <c r="S182" s="73">
        <v>449049.72</v>
      </c>
    </row>
    <row r="183" spans="1:19" x14ac:dyDescent="0.25">
      <c r="A183" s="28"/>
      <c r="B183" s="45" t="str">
        <f t="shared" si="6"/>
        <v>May-2023</v>
      </c>
      <c r="C183" s="57">
        <v>45071</v>
      </c>
      <c r="D183" s="43">
        <f t="shared" si="7"/>
        <v>1041</v>
      </c>
      <c r="E183" s="76">
        <v>695</v>
      </c>
      <c r="F183" s="50">
        <v>1110</v>
      </c>
      <c r="G183" s="49">
        <v>600710</v>
      </c>
      <c r="H183" s="73">
        <v>1108</v>
      </c>
      <c r="I183" s="77">
        <v>1110</v>
      </c>
      <c r="J183" s="73">
        <v>485699.40000000008</v>
      </c>
      <c r="K183" s="52">
        <v>11</v>
      </c>
      <c r="L183" s="51">
        <v>2015.27</v>
      </c>
      <c r="M183" s="77">
        <v>545</v>
      </c>
      <c r="N183" s="76">
        <v>225723.5</v>
      </c>
      <c r="O183" s="75">
        <v>513</v>
      </c>
      <c r="P183" s="74">
        <v>106293.36000000026</v>
      </c>
      <c r="Q183" s="74">
        <v>2377.69</v>
      </c>
      <c r="R183" s="53">
        <f t="shared" si="8"/>
        <v>30035.5</v>
      </c>
      <c r="S183" s="73">
        <v>485699.40000000008</v>
      </c>
    </row>
    <row r="184" spans="1:19" x14ac:dyDescent="0.25">
      <c r="A184" s="28"/>
      <c r="B184" s="45" t="str">
        <f t="shared" si="6"/>
        <v>May-2023</v>
      </c>
      <c r="C184" s="57">
        <v>45072</v>
      </c>
      <c r="D184" s="43">
        <f t="shared" si="7"/>
        <v>1040</v>
      </c>
      <c r="E184" s="76">
        <v>636</v>
      </c>
      <c r="F184" s="50">
        <v>1006</v>
      </c>
      <c r="G184" s="49">
        <v>537681</v>
      </c>
      <c r="H184" s="73">
        <v>1004</v>
      </c>
      <c r="I184" s="77">
        <v>1006</v>
      </c>
      <c r="J184" s="73">
        <v>427197.16000000003</v>
      </c>
      <c r="K184" s="52">
        <v>9</v>
      </c>
      <c r="L184" s="51">
        <v>1652.27</v>
      </c>
      <c r="M184" s="77">
        <v>516</v>
      </c>
      <c r="N184" s="76">
        <v>208945.71</v>
      </c>
      <c r="O184" s="75">
        <v>473</v>
      </c>
      <c r="P184" s="74">
        <v>94025.840000000302</v>
      </c>
      <c r="Q184" s="74">
        <v>2684.7299999999987</v>
      </c>
      <c r="R184" s="53">
        <f t="shared" si="8"/>
        <v>26884.050000000003</v>
      </c>
      <c r="S184" s="73">
        <v>427197.16000000003</v>
      </c>
    </row>
    <row r="185" spans="1:19" x14ac:dyDescent="0.25">
      <c r="A185" s="28"/>
      <c r="B185" s="45" t="str">
        <f t="shared" si="6"/>
        <v>May-2023</v>
      </c>
      <c r="C185" s="57">
        <v>45073</v>
      </c>
      <c r="D185" s="43">
        <f t="shared" si="7"/>
        <v>1039</v>
      </c>
      <c r="E185" s="76">
        <v>596</v>
      </c>
      <c r="F185" s="50">
        <v>983</v>
      </c>
      <c r="G185" s="49">
        <v>533641</v>
      </c>
      <c r="H185" s="73">
        <v>982</v>
      </c>
      <c r="I185" s="77">
        <v>983</v>
      </c>
      <c r="J185" s="73">
        <v>419551.31</v>
      </c>
      <c r="K185" s="52">
        <v>9</v>
      </c>
      <c r="L185" s="51">
        <v>736.13</v>
      </c>
      <c r="M185" s="77">
        <v>473</v>
      </c>
      <c r="N185" s="76">
        <v>208423.39</v>
      </c>
      <c r="O185" s="75">
        <v>460</v>
      </c>
      <c r="P185" s="74">
        <v>92149.500000000044</v>
      </c>
      <c r="Q185" s="74">
        <v>2474.2900000000018</v>
      </c>
      <c r="R185" s="53">
        <f t="shared" si="8"/>
        <v>26682.050000000003</v>
      </c>
      <c r="S185" s="73">
        <v>419551.31</v>
      </c>
    </row>
    <row r="186" spans="1:19" x14ac:dyDescent="0.25">
      <c r="A186" s="28"/>
      <c r="B186" s="45" t="str">
        <f t="shared" si="6"/>
        <v>May-2023</v>
      </c>
      <c r="C186" s="57">
        <v>45074</v>
      </c>
      <c r="D186" s="43">
        <f t="shared" si="7"/>
        <v>1038</v>
      </c>
      <c r="E186" s="76">
        <v>595</v>
      </c>
      <c r="F186" s="50">
        <v>1008</v>
      </c>
      <c r="G186" s="49">
        <v>533255</v>
      </c>
      <c r="H186" s="73">
        <v>1007</v>
      </c>
      <c r="I186" s="77">
        <v>1008</v>
      </c>
      <c r="J186" s="73">
        <v>429701.51000000007</v>
      </c>
      <c r="K186" s="52">
        <v>7</v>
      </c>
      <c r="L186" s="51">
        <v>1534.3200000000002</v>
      </c>
      <c r="M186" s="77">
        <v>539</v>
      </c>
      <c r="N186" s="76">
        <v>203164.9</v>
      </c>
      <c r="O186" s="75">
        <v>500</v>
      </c>
      <c r="P186" s="74">
        <v>94302.120000000345</v>
      </c>
      <c r="Q186" s="74">
        <v>2638.29</v>
      </c>
      <c r="R186" s="53">
        <f t="shared" si="8"/>
        <v>26662.75</v>
      </c>
      <c r="S186" s="73">
        <v>429701.51000000007</v>
      </c>
    </row>
    <row r="187" spans="1:19" x14ac:dyDescent="0.25">
      <c r="A187" s="28"/>
      <c r="B187" s="45" t="str">
        <f t="shared" si="6"/>
        <v>May-2023</v>
      </c>
      <c r="C187" s="57">
        <v>45075</v>
      </c>
      <c r="D187" s="43">
        <f t="shared" si="7"/>
        <v>1037</v>
      </c>
      <c r="E187" s="76">
        <v>632</v>
      </c>
      <c r="F187" s="50">
        <v>987</v>
      </c>
      <c r="G187" s="49">
        <v>523138</v>
      </c>
      <c r="H187" s="73">
        <v>985</v>
      </c>
      <c r="I187" s="77">
        <v>987</v>
      </c>
      <c r="J187" s="73">
        <v>441879.47000000003</v>
      </c>
      <c r="K187" s="52">
        <v>17</v>
      </c>
      <c r="L187" s="51">
        <v>2452.2200000000003</v>
      </c>
      <c r="M187" s="77">
        <v>495</v>
      </c>
      <c r="N187" s="76">
        <v>181309.85</v>
      </c>
      <c r="O187" s="75">
        <v>456</v>
      </c>
      <c r="P187" s="74">
        <v>96645.790000000343</v>
      </c>
      <c r="Q187" s="74">
        <v>2457.4800000000005</v>
      </c>
      <c r="R187" s="53">
        <f t="shared" si="8"/>
        <v>26156.9</v>
      </c>
      <c r="S187" s="73">
        <v>441879.47</v>
      </c>
    </row>
    <row r="188" spans="1:19" x14ac:dyDescent="0.25">
      <c r="A188" s="28"/>
      <c r="B188" s="45" t="str">
        <f t="shared" si="6"/>
        <v>May-2023</v>
      </c>
      <c r="C188" s="57">
        <v>45076</v>
      </c>
      <c r="D188" s="43">
        <f t="shared" si="7"/>
        <v>1036</v>
      </c>
      <c r="E188" s="76">
        <v>586</v>
      </c>
      <c r="F188" s="50">
        <v>1000</v>
      </c>
      <c r="G188" s="49">
        <v>531628</v>
      </c>
      <c r="H188" s="73">
        <v>998</v>
      </c>
      <c r="I188" s="77">
        <v>1000</v>
      </c>
      <c r="J188" s="73">
        <v>433485.50999999989</v>
      </c>
      <c r="K188" s="52">
        <v>19</v>
      </c>
      <c r="L188" s="51">
        <v>3646.55</v>
      </c>
      <c r="M188" s="77">
        <v>534</v>
      </c>
      <c r="N188" s="76">
        <v>194060.49</v>
      </c>
      <c r="O188" s="75">
        <v>495</v>
      </c>
      <c r="P188" s="74">
        <v>94950.049999999814</v>
      </c>
      <c r="Q188" s="74">
        <v>2678.38</v>
      </c>
      <c r="R188" s="53">
        <f t="shared" si="8"/>
        <v>26581.4</v>
      </c>
      <c r="S188" s="73">
        <v>433485.50999999989</v>
      </c>
    </row>
    <row r="189" spans="1:19" x14ac:dyDescent="0.25">
      <c r="A189" s="28"/>
      <c r="B189" s="45" t="str">
        <f t="shared" si="6"/>
        <v>May-2023</v>
      </c>
      <c r="C189" s="57">
        <v>45077</v>
      </c>
      <c r="D189" s="43">
        <f t="shared" si="7"/>
        <v>1035</v>
      </c>
      <c r="E189" s="76">
        <v>586</v>
      </c>
      <c r="F189" s="50">
        <v>304</v>
      </c>
      <c r="G189" s="49">
        <v>164250</v>
      </c>
      <c r="H189" s="73">
        <v>304</v>
      </c>
      <c r="I189" s="77">
        <v>304</v>
      </c>
      <c r="J189" s="73">
        <v>130063.87</v>
      </c>
      <c r="K189" s="52">
        <v>3</v>
      </c>
      <c r="L189" s="51">
        <v>353</v>
      </c>
      <c r="M189" s="77">
        <v>185</v>
      </c>
      <c r="N189" s="76">
        <v>62769.56</v>
      </c>
      <c r="O189" s="75">
        <v>160</v>
      </c>
      <c r="P189" s="74">
        <v>28583.429999999993</v>
      </c>
      <c r="Q189" s="74">
        <v>983.2</v>
      </c>
      <c r="R189" s="53">
        <f t="shared" si="8"/>
        <v>8212.5</v>
      </c>
      <c r="S189" s="73">
        <v>130063.86999999998</v>
      </c>
    </row>
    <row r="190" spans="1:19" x14ac:dyDescent="0.25">
      <c r="A190" s="28"/>
      <c r="B190" s="45" t="str">
        <f t="shared" si="6"/>
        <v>Jun-2023</v>
      </c>
      <c r="C190" s="57">
        <v>45078</v>
      </c>
      <c r="D190" s="43">
        <f t="shared" si="7"/>
        <v>1034</v>
      </c>
      <c r="E190" s="76">
        <v>742</v>
      </c>
      <c r="F190" s="50">
        <v>1392</v>
      </c>
      <c r="G190" s="49">
        <v>744296</v>
      </c>
      <c r="H190" s="73">
        <v>1389</v>
      </c>
      <c r="I190" s="77">
        <v>1392</v>
      </c>
      <c r="J190" s="73">
        <v>596155.1100000001</v>
      </c>
      <c r="K190" s="52">
        <v>23</v>
      </c>
      <c r="L190" s="51">
        <v>3732.36</v>
      </c>
      <c r="M190" s="77">
        <v>933</v>
      </c>
      <c r="N190" s="76">
        <v>281076.77</v>
      </c>
      <c r="O190" s="75">
        <v>680</v>
      </c>
      <c r="P190" s="74">
        <v>130739.28000000035</v>
      </c>
      <c r="Q190" s="74">
        <v>3806.2200000000016</v>
      </c>
      <c r="R190" s="53">
        <f t="shared" si="8"/>
        <v>37214.800000000003</v>
      </c>
      <c r="S190" s="73">
        <v>596155.10999999987</v>
      </c>
    </row>
    <row r="191" spans="1:19" x14ac:dyDescent="0.25">
      <c r="A191" s="28"/>
      <c r="B191" s="45" t="str">
        <f t="shared" si="6"/>
        <v>Jun-2023</v>
      </c>
      <c r="C191" s="57">
        <v>45079</v>
      </c>
      <c r="D191" s="43">
        <f t="shared" si="7"/>
        <v>1033</v>
      </c>
      <c r="E191" s="76">
        <v>691</v>
      </c>
      <c r="F191" s="50">
        <v>1143</v>
      </c>
      <c r="G191" s="49">
        <v>617369</v>
      </c>
      <c r="H191" s="73">
        <v>1139</v>
      </c>
      <c r="I191" s="77">
        <v>1143</v>
      </c>
      <c r="J191" s="73">
        <v>497907.41</v>
      </c>
      <c r="K191" s="52">
        <v>12</v>
      </c>
      <c r="L191" s="51">
        <v>4302.5300000000007</v>
      </c>
      <c r="M191" s="77">
        <v>595</v>
      </c>
      <c r="N191" s="76">
        <v>231946.55</v>
      </c>
      <c r="O191" s="75">
        <v>547</v>
      </c>
      <c r="P191" s="74">
        <v>109095.29999999986</v>
      </c>
      <c r="Q191" s="74">
        <v>3375.2900000000013</v>
      </c>
      <c r="R191" s="53">
        <f t="shared" si="8"/>
        <v>30868.45</v>
      </c>
      <c r="S191" s="73">
        <v>497907.40999999992</v>
      </c>
    </row>
    <row r="192" spans="1:19" x14ac:dyDescent="0.25">
      <c r="A192" s="28"/>
      <c r="B192" s="45" t="str">
        <f t="shared" si="6"/>
        <v>Jun-2023</v>
      </c>
      <c r="C192" s="57">
        <v>45080</v>
      </c>
      <c r="D192" s="43">
        <f t="shared" si="7"/>
        <v>1032</v>
      </c>
      <c r="E192" s="76">
        <v>605</v>
      </c>
      <c r="F192" s="50">
        <v>1092</v>
      </c>
      <c r="G192" s="49">
        <v>598085</v>
      </c>
      <c r="H192" s="73">
        <v>1090</v>
      </c>
      <c r="I192" s="77">
        <v>1092</v>
      </c>
      <c r="J192" s="73">
        <v>420634.25</v>
      </c>
      <c r="K192" s="52">
        <v>12</v>
      </c>
      <c r="L192" s="51">
        <v>2261.9</v>
      </c>
      <c r="M192" s="77">
        <v>642</v>
      </c>
      <c r="N192" s="76">
        <v>274864.94</v>
      </c>
      <c r="O192" s="75">
        <v>610</v>
      </c>
      <c r="P192" s="74">
        <v>92985.289999999688</v>
      </c>
      <c r="Q192" s="74">
        <v>3541.3999999999992</v>
      </c>
      <c r="R192" s="53">
        <f t="shared" si="8"/>
        <v>29904.25</v>
      </c>
      <c r="S192" s="73">
        <v>420634.25</v>
      </c>
    </row>
    <row r="193" spans="1:19" x14ac:dyDescent="0.25">
      <c r="A193" s="28"/>
      <c r="B193" s="45" t="str">
        <f t="shared" si="6"/>
        <v>Jun-2023</v>
      </c>
      <c r="C193" s="57">
        <v>45081</v>
      </c>
      <c r="D193" s="43">
        <f t="shared" si="7"/>
        <v>1031</v>
      </c>
      <c r="E193" s="76">
        <v>560</v>
      </c>
      <c r="F193" s="50">
        <v>990</v>
      </c>
      <c r="G193" s="49">
        <v>533851</v>
      </c>
      <c r="H193" s="73">
        <v>989</v>
      </c>
      <c r="I193" s="77">
        <v>990</v>
      </c>
      <c r="J193" s="73">
        <v>422221.38</v>
      </c>
      <c r="K193" s="52">
        <v>7</v>
      </c>
      <c r="L193" s="51">
        <v>2661.4</v>
      </c>
      <c r="M193" s="77">
        <v>508</v>
      </c>
      <c r="N193" s="76">
        <v>206084.5</v>
      </c>
      <c r="O193" s="75">
        <v>475</v>
      </c>
      <c r="P193" s="74">
        <v>93019.960000000399</v>
      </c>
      <c r="Q193" s="74">
        <v>3365.880000000001</v>
      </c>
      <c r="R193" s="53">
        <f t="shared" si="8"/>
        <v>26692.550000000003</v>
      </c>
      <c r="S193" s="73">
        <v>422221.38</v>
      </c>
    </row>
    <row r="194" spans="1:19" x14ac:dyDescent="0.25">
      <c r="A194" s="28"/>
      <c r="B194" s="45" t="str">
        <f t="shared" si="6"/>
        <v>Jun-2023</v>
      </c>
      <c r="C194" s="57">
        <v>45082</v>
      </c>
      <c r="D194" s="43">
        <f t="shared" si="7"/>
        <v>1030</v>
      </c>
      <c r="E194" s="76">
        <v>614</v>
      </c>
      <c r="F194" s="50">
        <v>975</v>
      </c>
      <c r="G194" s="49">
        <v>530099</v>
      </c>
      <c r="H194" s="73">
        <v>974</v>
      </c>
      <c r="I194" s="77">
        <v>975</v>
      </c>
      <c r="J194" s="73">
        <v>390777.20999999996</v>
      </c>
      <c r="K194" s="52">
        <v>14</v>
      </c>
      <c r="L194" s="51">
        <v>3048.1600000000003</v>
      </c>
      <c r="M194" s="77">
        <v>585</v>
      </c>
      <c r="N194" s="76">
        <v>229068.48</v>
      </c>
      <c r="O194" s="75">
        <v>540</v>
      </c>
      <c r="P194" s="74">
        <v>86483.749999999927</v>
      </c>
      <c r="Q194" s="74">
        <v>3743.9300000000026</v>
      </c>
      <c r="R194" s="53">
        <f t="shared" si="8"/>
        <v>26504.95</v>
      </c>
      <c r="S194" s="73">
        <v>390777.21</v>
      </c>
    </row>
    <row r="195" spans="1:19" x14ac:dyDescent="0.25">
      <c r="A195" s="28"/>
      <c r="B195" s="45" t="str">
        <f t="shared" si="6"/>
        <v>Jun-2023</v>
      </c>
      <c r="C195" s="57">
        <v>45083</v>
      </c>
      <c r="D195" s="43">
        <f t="shared" si="7"/>
        <v>1029</v>
      </c>
      <c r="E195" s="76">
        <v>542</v>
      </c>
      <c r="F195" s="50">
        <v>931</v>
      </c>
      <c r="G195" s="49">
        <v>507945</v>
      </c>
      <c r="H195" s="73">
        <v>927</v>
      </c>
      <c r="I195" s="77">
        <v>931</v>
      </c>
      <c r="J195" s="73">
        <v>403765.39</v>
      </c>
      <c r="K195" s="52">
        <v>11</v>
      </c>
      <c r="L195" s="51">
        <v>2885.46</v>
      </c>
      <c r="M195" s="77">
        <v>455</v>
      </c>
      <c r="N195" s="76">
        <v>194106.68</v>
      </c>
      <c r="O195" s="75">
        <v>436</v>
      </c>
      <c r="P195" s="74">
        <v>88137.210000000065</v>
      </c>
      <c r="Q195" s="74">
        <v>2524.0500000000006</v>
      </c>
      <c r="R195" s="53">
        <f t="shared" si="8"/>
        <v>25397.25</v>
      </c>
      <c r="S195" s="73">
        <v>403765.39</v>
      </c>
    </row>
    <row r="196" spans="1:19" x14ac:dyDescent="0.25">
      <c r="A196" s="28"/>
      <c r="B196" s="45" t="str">
        <f t="shared" si="6"/>
        <v>Jun-2023</v>
      </c>
      <c r="C196" s="57">
        <v>45084</v>
      </c>
      <c r="D196" s="43">
        <f t="shared" si="7"/>
        <v>1028</v>
      </c>
      <c r="E196" s="76">
        <v>564</v>
      </c>
      <c r="F196" s="50">
        <v>948</v>
      </c>
      <c r="G196" s="49">
        <v>520799</v>
      </c>
      <c r="H196" s="73">
        <v>947</v>
      </c>
      <c r="I196" s="77">
        <v>948</v>
      </c>
      <c r="J196" s="73">
        <v>387598.6999999999</v>
      </c>
      <c r="K196" s="52">
        <v>15</v>
      </c>
      <c r="L196" s="51">
        <v>4893.4500000000007</v>
      </c>
      <c r="M196" s="77">
        <v>558</v>
      </c>
      <c r="N196" s="76">
        <v>219334.74</v>
      </c>
      <c r="O196" s="75">
        <v>515</v>
      </c>
      <c r="P196" s="74">
        <v>84882.690000000381</v>
      </c>
      <c r="Q196" s="74">
        <v>2921.860000000001</v>
      </c>
      <c r="R196" s="53">
        <f t="shared" si="8"/>
        <v>26039.95</v>
      </c>
      <c r="S196" s="73">
        <v>387598.6999999999</v>
      </c>
    </row>
    <row r="197" spans="1:19" x14ac:dyDescent="0.25">
      <c r="A197" s="28"/>
      <c r="B197" s="45" t="str">
        <f t="shared" si="6"/>
        <v>Jun-2023</v>
      </c>
      <c r="C197" s="57">
        <v>45085</v>
      </c>
      <c r="D197" s="43">
        <f t="shared" si="7"/>
        <v>1027</v>
      </c>
      <c r="E197" s="76">
        <v>556</v>
      </c>
      <c r="F197" s="50">
        <v>945</v>
      </c>
      <c r="G197" s="49">
        <v>509190</v>
      </c>
      <c r="H197" s="73">
        <v>945</v>
      </c>
      <c r="I197" s="77">
        <v>945</v>
      </c>
      <c r="J197" s="73">
        <v>400628.79000000004</v>
      </c>
      <c r="K197" s="52">
        <v>13</v>
      </c>
      <c r="L197" s="51">
        <v>2798.23</v>
      </c>
      <c r="M197" s="77">
        <v>483</v>
      </c>
      <c r="N197" s="76">
        <v>197449.81</v>
      </c>
      <c r="O197" s="75">
        <v>449</v>
      </c>
      <c r="P197" s="74">
        <v>87106.359999999797</v>
      </c>
      <c r="Q197" s="74">
        <v>2296.3199999999993</v>
      </c>
      <c r="R197" s="53">
        <f t="shared" si="8"/>
        <v>25459.5</v>
      </c>
      <c r="S197" s="73">
        <v>400628.79000000004</v>
      </c>
    </row>
    <row r="198" spans="1:19" x14ac:dyDescent="0.25">
      <c r="A198" s="28"/>
      <c r="B198" s="45" t="str">
        <f t="shared" ref="B198:B261" si="9">TEXT(C198,"MMM-YYYY")</f>
        <v>Jun-2023</v>
      </c>
      <c r="C198" s="57">
        <v>45086</v>
      </c>
      <c r="D198" s="43">
        <f t="shared" ref="D198:D261" si="10">$A$1-C198</f>
        <v>1026</v>
      </c>
      <c r="E198" s="76">
        <v>518</v>
      </c>
      <c r="F198" s="50">
        <v>891</v>
      </c>
      <c r="G198" s="49">
        <v>478655</v>
      </c>
      <c r="H198" s="73">
        <v>888</v>
      </c>
      <c r="I198" s="77">
        <v>891</v>
      </c>
      <c r="J198" s="73">
        <v>360410.27999999997</v>
      </c>
      <c r="K198" s="52">
        <v>16</v>
      </c>
      <c r="L198" s="51">
        <v>3175.11</v>
      </c>
      <c r="M198" s="77">
        <v>483</v>
      </c>
      <c r="N198" s="76">
        <v>198235.26</v>
      </c>
      <c r="O198" s="75">
        <v>457</v>
      </c>
      <c r="P198" s="74">
        <v>78634.850000000137</v>
      </c>
      <c r="Q198" s="74">
        <v>2327.5900000000011</v>
      </c>
      <c r="R198" s="53">
        <f t="shared" ref="R198:R261" si="11">G198*5%</f>
        <v>23932.75</v>
      </c>
      <c r="S198" s="73">
        <v>360410.27999999997</v>
      </c>
    </row>
    <row r="199" spans="1:19" x14ac:dyDescent="0.25">
      <c r="A199" s="28"/>
      <c r="B199" s="45" t="str">
        <f t="shared" si="9"/>
        <v>Jun-2023</v>
      </c>
      <c r="C199" s="57">
        <v>45087</v>
      </c>
      <c r="D199" s="43">
        <f t="shared" si="10"/>
        <v>1025</v>
      </c>
      <c r="E199" s="76">
        <v>393</v>
      </c>
      <c r="F199" s="50">
        <v>653</v>
      </c>
      <c r="G199" s="49">
        <v>362573</v>
      </c>
      <c r="H199" s="73">
        <v>651</v>
      </c>
      <c r="I199" s="77">
        <v>653</v>
      </c>
      <c r="J199" s="73">
        <v>256194.61000000002</v>
      </c>
      <c r="K199" s="52">
        <v>10</v>
      </c>
      <c r="L199" s="51">
        <v>1893.27</v>
      </c>
      <c r="M199" s="77">
        <v>399</v>
      </c>
      <c r="N199" s="76">
        <v>164485.35999999999</v>
      </c>
      <c r="O199" s="75">
        <v>360</v>
      </c>
      <c r="P199" s="74">
        <v>56284.589999999946</v>
      </c>
      <c r="Q199" s="74">
        <v>2079.08</v>
      </c>
      <c r="R199" s="53">
        <f t="shared" si="11"/>
        <v>18128.650000000001</v>
      </c>
      <c r="S199" s="73">
        <v>256194.61000000002</v>
      </c>
    </row>
    <row r="200" spans="1:19" x14ac:dyDescent="0.25">
      <c r="A200" s="28"/>
      <c r="B200" s="45" t="str">
        <f t="shared" si="9"/>
        <v>Jun-2023</v>
      </c>
      <c r="C200" s="57">
        <v>45088</v>
      </c>
      <c r="D200" s="43">
        <f t="shared" si="10"/>
        <v>1024</v>
      </c>
      <c r="E200" s="76">
        <v>436</v>
      </c>
      <c r="F200" s="50">
        <v>700</v>
      </c>
      <c r="G200" s="49">
        <v>374105</v>
      </c>
      <c r="H200" s="73">
        <v>700</v>
      </c>
      <c r="I200" s="77">
        <v>700</v>
      </c>
      <c r="J200" s="73">
        <v>291622.3</v>
      </c>
      <c r="K200" s="52">
        <v>4</v>
      </c>
      <c r="L200" s="51">
        <v>580</v>
      </c>
      <c r="M200" s="77">
        <v>387</v>
      </c>
      <c r="N200" s="76">
        <v>146683.35</v>
      </c>
      <c r="O200" s="75">
        <v>351</v>
      </c>
      <c r="P200" s="74">
        <v>63597.660000000054</v>
      </c>
      <c r="Q200" s="74">
        <v>1945.6499999999992</v>
      </c>
      <c r="R200" s="53">
        <f t="shared" si="11"/>
        <v>18705.25</v>
      </c>
      <c r="S200" s="73">
        <v>291622.3</v>
      </c>
    </row>
    <row r="201" spans="1:19" x14ac:dyDescent="0.25">
      <c r="A201" s="28"/>
      <c r="B201" s="45" t="str">
        <f t="shared" si="9"/>
        <v>Jun-2023</v>
      </c>
      <c r="C201" s="57">
        <v>45089</v>
      </c>
      <c r="D201" s="43">
        <f t="shared" si="10"/>
        <v>1023</v>
      </c>
      <c r="E201" s="76">
        <v>540</v>
      </c>
      <c r="F201" s="50">
        <v>891</v>
      </c>
      <c r="G201" s="49">
        <v>470720</v>
      </c>
      <c r="H201" s="73">
        <v>889</v>
      </c>
      <c r="I201" s="77">
        <v>891</v>
      </c>
      <c r="J201" s="73">
        <v>368010.32999999996</v>
      </c>
      <c r="K201" s="52">
        <v>15</v>
      </c>
      <c r="L201" s="51">
        <v>4656.62</v>
      </c>
      <c r="M201" s="77">
        <v>474</v>
      </c>
      <c r="N201" s="76">
        <v>186343.69</v>
      </c>
      <c r="O201" s="75">
        <v>444</v>
      </c>
      <c r="P201" s="74">
        <v>80140.889999999985</v>
      </c>
      <c r="Q201" s="74">
        <v>2511.5200000000009</v>
      </c>
      <c r="R201" s="53">
        <f t="shared" si="11"/>
        <v>23536</v>
      </c>
      <c r="S201" s="73">
        <v>368010.32999999996</v>
      </c>
    </row>
    <row r="202" spans="1:19" x14ac:dyDescent="0.25">
      <c r="A202" s="28"/>
      <c r="B202" s="45" t="str">
        <f t="shared" si="9"/>
        <v>Jun-2023</v>
      </c>
      <c r="C202" s="57">
        <v>45090</v>
      </c>
      <c r="D202" s="43">
        <f t="shared" si="10"/>
        <v>1022</v>
      </c>
      <c r="E202" s="76">
        <v>597</v>
      </c>
      <c r="F202" s="50">
        <v>951</v>
      </c>
      <c r="G202" s="49">
        <v>502935</v>
      </c>
      <c r="H202" s="73">
        <v>950</v>
      </c>
      <c r="I202" s="77">
        <v>951</v>
      </c>
      <c r="J202" s="73">
        <v>422089.03</v>
      </c>
      <c r="K202" s="52">
        <v>14</v>
      </c>
      <c r="L202" s="51">
        <v>3285.35</v>
      </c>
      <c r="M202" s="77">
        <v>531</v>
      </c>
      <c r="N202" s="76">
        <v>174025.08</v>
      </c>
      <c r="O202" s="75">
        <v>487</v>
      </c>
      <c r="P202" s="74">
        <v>91639.080000000075</v>
      </c>
      <c r="Q202" s="74">
        <v>2622.9499999999989</v>
      </c>
      <c r="R202" s="53">
        <f t="shared" si="11"/>
        <v>25146.75</v>
      </c>
      <c r="S202" s="73">
        <v>422089.03</v>
      </c>
    </row>
    <row r="203" spans="1:19" x14ac:dyDescent="0.25">
      <c r="A203" s="28"/>
      <c r="B203" s="45" t="str">
        <f t="shared" si="9"/>
        <v>Jun-2023</v>
      </c>
      <c r="C203" s="57">
        <v>45091</v>
      </c>
      <c r="D203" s="43">
        <f t="shared" si="10"/>
        <v>1021</v>
      </c>
      <c r="E203" s="76">
        <v>596</v>
      </c>
      <c r="F203" s="50">
        <v>899</v>
      </c>
      <c r="G203" s="49">
        <v>473859</v>
      </c>
      <c r="H203" s="73">
        <v>898</v>
      </c>
      <c r="I203" s="77">
        <v>899</v>
      </c>
      <c r="J203" s="73">
        <v>401392.93</v>
      </c>
      <c r="K203" s="52">
        <v>12</v>
      </c>
      <c r="L203" s="51">
        <v>2106.5299999999997</v>
      </c>
      <c r="M203" s="77">
        <v>409</v>
      </c>
      <c r="N203" s="76">
        <v>160448.95999999999</v>
      </c>
      <c r="O203" s="75">
        <v>387</v>
      </c>
      <c r="P203" s="74">
        <v>86474.139999999883</v>
      </c>
      <c r="Q203" s="74">
        <v>1860.4199999999994</v>
      </c>
      <c r="R203" s="53">
        <f t="shared" si="11"/>
        <v>23692.95</v>
      </c>
      <c r="S203" s="73">
        <v>401392.93000000005</v>
      </c>
    </row>
    <row r="204" spans="1:19" x14ac:dyDescent="0.25">
      <c r="A204" s="28"/>
      <c r="B204" s="45" t="str">
        <f t="shared" si="9"/>
        <v>Jun-2023</v>
      </c>
      <c r="C204" s="57">
        <v>45092</v>
      </c>
      <c r="D204" s="43">
        <f t="shared" si="10"/>
        <v>1020</v>
      </c>
      <c r="E204" s="76">
        <v>556</v>
      </c>
      <c r="F204" s="50">
        <v>872</v>
      </c>
      <c r="G204" s="49">
        <v>457669</v>
      </c>
      <c r="H204" s="73">
        <v>867</v>
      </c>
      <c r="I204" s="77">
        <v>872</v>
      </c>
      <c r="J204" s="73">
        <v>384622.7099999999</v>
      </c>
      <c r="K204" s="52">
        <v>15</v>
      </c>
      <c r="L204" s="51">
        <v>3881.67</v>
      </c>
      <c r="M204" s="77">
        <v>473</v>
      </c>
      <c r="N204" s="76">
        <v>158978.85</v>
      </c>
      <c r="O204" s="75">
        <v>449</v>
      </c>
      <c r="P204" s="74">
        <v>83216.929999999964</v>
      </c>
      <c r="Q204" s="74">
        <v>2253.4200000000005</v>
      </c>
      <c r="R204" s="53">
        <f t="shared" si="11"/>
        <v>22883.45</v>
      </c>
      <c r="S204" s="73">
        <v>384622.70999999996</v>
      </c>
    </row>
    <row r="205" spans="1:19" x14ac:dyDescent="0.25">
      <c r="A205" s="28"/>
      <c r="B205" s="45" t="str">
        <f t="shared" si="9"/>
        <v>Jun-2023</v>
      </c>
      <c r="C205" s="57">
        <v>45093</v>
      </c>
      <c r="D205" s="43">
        <f t="shared" si="10"/>
        <v>1019</v>
      </c>
      <c r="E205" s="76">
        <v>591</v>
      </c>
      <c r="F205" s="50">
        <v>937</v>
      </c>
      <c r="G205" s="49">
        <v>497520</v>
      </c>
      <c r="H205" s="73">
        <v>937</v>
      </c>
      <c r="I205" s="77">
        <v>937</v>
      </c>
      <c r="J205" s="73">
        <v>405706.23999999999</v>
      </c>
      <c r="K205" s="52">
        <v>7</v>
      </c>
      <c r="L205" s="51">
        <v>2608.35</v>
      </c>
      <c r="M205" s="77">
        <v>462</v>
      </c>
      <c r="N205" s="76">
        <v>180967.44</v>
      </c>
      <c r="O205" s="75">
        <v>418</v>
      </c>
      <c r="P205" s="74">
        <v>87558.620000000374</v>
      </c>
      <c r="Q205" s="74">
        <v>2128.5000000000009</v>
      </c>
      <c r="R205" s="53">
        <f t="shared" si="11"/>
        <v>24876</v>
      </c>
      <c r="S205" s="73">
        <v>405706.23999999999</v>
      </c>
    </row>
    <row r="206" spans="1:19" x14ac:dyDescent="0.25">
      <c r="A206" s="28"/>
      <c r="B206" s="45" t="str">
        <f t="shared" si="9"/>
        <v>Jun-2023</v>
      </c>
      <c r="C206" s="57">
        <v>45094</v>
      </c>
      <c r="D206" s="43">
        <f t="shared" si="10"/>
        <v>1018</v>
      </c>
      <c r="E206" s="76">
        <v>574</v>
      </c>
      <c r="F206" s="50">
        <v>873</v>
      </c>
      <c r="G206" s="49">
        <v>461351</v>
      </c>
      <c r="H206" s="73">
        <v>872</v>
      </c>
      <c r="I206" s="77">
        <v>873</v>
      </c>
      <c r="J206" s="73">
        <v>380891.76</v>
      </c>
      <c r="K206" s="52">
        <v>14</v>
      </c>
      <c r="L206" s="51">
        <v>2682.64</v>
      </c>
      <c r="M206" s="77">
        <v>510</v>
      </c>
      <c r="N206" s="76">
        <v>165169.89000000001</v>
      </c>
      <c r="O206" s="75">
        <v>467</v>
      </c>
      <c r="P206" s="74">
        <v>82409.279999999882</v>
      </c>
      <c r="Q206" s="74">
        <v>2460.08</v>
      </c>
      <c r="R206" s="53">
        <f t="shared" si="11"/>
        <v>23067.550000000003</v>
      </c>
      <c r="S206" s="73">
        <v>380891.76000000007</v>
      </c>
    </row>
    <row r="207" spans="1:19" x14ac:dyDescent="0.25">
      <c r="A207" s="28"/>
      <c r="B207" s="45" t="str">
        <f t="shared" si="9"/>
        <v>Jun-2023</v>
      </c>
      <c r="C207" s="57">
        <v>45095</v>
      </c>
      <c r="D207" s="43">
        <f t="shared" si="10"/>
        <v>1017</v>
      </c>
      <c r="E207" s="76">
        <v>602</v>
      </c>
      <c r="F207" s="50">
        <v>924</v>
      </c>
      <c r="G207" s="49">
        <v>479393</v>
      </c>
      <c r="H207" s="73">
        <v>922</v>
      </c>
      <c r="I207" s="77">
        <v>924</v>
      </c>
      <c r="J207" s="73">
        <v>419836.43</v>
      </c>
      <c r="K207" s="52">
        <v>15</v>
      </c>
      <c r="L207" s="51">
        <v>2983.6500000000005</v>
      </c>
      <c r="M207" s="77">
        <v>451</v>
      </c>
      <c r="N207" s="76">
        <v>152162.34</v>
      </c>
      <c r="O207" s="75">
        <v>419</v>
      </c>
      <c r="P207" s="74">
        <v>90003.749999999869</v>
      </c>
      <c r="Q207" s="74">
        <v>1852.1299999999997</v>
      </c>
      <c r="R207" s="53">
        <f t="shared" si="11"/>
        <v>23969.65</v>
      </c>
      <c r="S207" s="73">
        <v>419836.43</v>
      </c>
    </row>
    <row r="208" spans="1:19" x14ac:dyDescent="0.25">
      <c r="A208" s="28"/>
      <c r="B208" s="45" t="str">
        <f t="shared" si="9"/>
        <v>Jun-2023</v>
      </c>
      <c r="C208" s="57">
        <v>45096</v>
      </c>
      <c r="D208" s="43">
        <f t="shared" si="10"/>
        <v>1016</v>
      </c>
      <c r="E208" s="76">
        <v>592</v>
      </c>
      <c r="F208" s="50">
        <v>894</v>
      </c>
      <c r="G208" s="49">
        <v>464155</v>
      </c>
      <c r="H208" s="73">
        <v>894</v>
      </c>
      <c r="I208" s="77">
        <v>894</v>
      </c>
      <c r="J208" s="73">
        <v>403466.02999999997</v>
      </c>
      <c r="K208" s="52">
        <v>11</v>
      </c>
      <c r="L208" s="51">
        <v>1822.72</v>
      </c>
      <c r="M208" s="77">
        <v>413</v>
      </c>
      <c r="N208" s="76">
        <v>149044.48000000001</v>
      </c>
      <c r="O208" s="75">
        <v>386</v>
      </c>
      <c r="P208" s="74">
        <v>86362.630000000281</v>
      </c>
      <c r="Q208" s="74">
        <v>1683.6399999999992</v>
      </c>
      <c r="R208" s="53">
        <f t="shared" si="11"/>
        <v>23207.75</v>
      </c>
      <c r="S208" s="73">
        <v>403466.03</v>
      </c>
    </row>
    <row r="209" spans="1:19" x14ac:dyDescent="0.25">
      <c r="A209" s="28"/>
      <c r="B209" s="45" t="str">
        <f t="shared" si="9"/>
        <v>Jun-2023</v>
      </c>
      <c r="C209" s="57">
        <v>45097</v>
      </c>
      <c r="D209" s="43">
        <f t="shared" si="10"/>
        <v>1015</v>
      </c>
      <c r="E209" s="76">
        <v>630</v>
      </c>
      <c r="F209" s="50">
        <v>932</v>
      </c>
      <c r="G209" s="49">
        <v>491148</v>
      </c>
      <c r="H209" s="73">
        <v>931</v>
      </c>
      <c r="I209" s="77">
        <v>932</v>
      </c>
      <c r="J209" s="73">
        <v>400777.35000000003</v>
      </c>
      <c r="K209" s="52">
        <v>6</v>
      </c>
      <c r="L209" s="51">
        <v>2029.1799999999998</v>
      </c>
      <c r="M209" s="77">
        <v>510</v>
      </c>
      <c r="N209" s="76">
        <v>179919.91</v>
      </c>
      <c r="O209" s="75">
        <v>471</v>
      </c>
      <c r="P209" s="74">
        <v>86055.150000000314</v>
      </c>
      <c r="Q209" s="74">
        <v>2105.71</v>
      </c>
      <c r="R209" s="53">
        <f t="shared" si="11"/>
        <v>24557.4</v>
      </c>
      <c r="S209" s="73">
        <v>400777.35000000003</v>
      </c>
    </row>
    <row r="210" spans="1:19" x14ac:dyDescent="0.25">
      <c r="A210" s="28"/>
      <c r="B210" s="45" t="str">
        <f t="shared" si="9"/>
        <v>Jun-2023</v>
      </c>
      <c r="C210" s="57">
        <v>45098</v>
      </c>
      <c r="D210" s="43">
        <f t="shared" si="10"/>
        <v>1014</v>
      </c>
      <c r="E210" s="76">
        <v>612</v>
      </c>
      <c r="F210" s="50">
        <v>979</v>
      </c>
      <c r="G210" s="49">
        <v>532975</v>
      </c>
      <c r="H210" s="73">
        <v>978</v>
      </c>
      <c r="I210" s="77">
        <v>979</v>
      </c>
      <c r="J210" s="73">
        <v>448353.29</v>
      </c>
      <c r="K210" s="52">
        <v>20</v>
      </c>
      <c r="L210" s="51">
        <v>2614.94</v>
      </c>
      <c r="M210" s="77">
        <v>484</v>
      </c>
      <c r="N210" s="76">
        <v>184609.8</v>
      </c>
      <c r="O210" s="75">
        <v>445</v>
      </c>
      <c r="P210" s="74">
        <v>96618.170000000071</v>
      </c>
      <c r="Q210" s="74">
        <v>2731.29</v>
      </c>
      <c r="R210" s="53">
        <f t="shared" si="11"/>
        <v>26648.75</v>
      </c>
      <c r="S210" s="73">
        <v>448353.28999999992</v>
      </c>
    </row>
    <row r="211" spans="1:19" x14ac:dyDescent="0.25">
      <c r="A211" s="28"/>
      <c r="B211" s="45" t="str">
        <f t="shared" si="9"/>
        <v>Jun-2023</v>
      </c>
      <c r="C211" s="57">
        <v>45099</v>
      </c>
      <c r="D211" s="43">
        <f t="shared" si="10"/>
        <v>1013</v>
      </c>
      <c r="E211" s="76">
        <v>608</v>
      </c>
      <c r="F211" s="50">
        <v>943</v>
      </c>
      <c r="G211" s="49">
        <v>510965</v>
      </c>
      <c r="H211" s="73">
        <v>940</v>
      </c>
      <c r="I211" s="77">
        <v>943</v>
      </c>
      <c r="J211" s="73">
        <v>420304.90000000008</v>
      </c>
      <c r="K211" s="52">
        <v>13</v>
      </c>
      <c r="L211" s="51">
        <v>3259.52</v>
      </c>
      <c r="M211" s="77">
        <v>502</v>
      </c>
      <c r="N211" s="76">
        <v>188327.1</v>
      </c>
      <c r="O211" s="75">
        <v>462</v>
      </c>
      <c r="P211" s="74">
        <v>90553.950000000244</v>
      </c>
      <c r="Q211" s="74">
        <v>2595.88</v>
      </c>
      <c r="R211" s="53">
        <f t="shared" si="11"/>
        <v>25548.25</v>
      </c>
      <c r="S211" s="73">
        <v>420304.9</v>
      </c>
    </row>
    <row r="212" spans="1:19" x14ac:dyDescent="0.25">
      <c r="A212" s="28"/>
      <c r="B212" s="45" t="str">
        <f t="shared" si="9"/>
        <v>Jun-2023</v>
      </c>
      <c r="C212" s="57">
        <v>45100</v>
      </c>
      <c r="D212" s="43">
        <f t="shared" si="10"/>
        <v>1012</v>
      </c>
      <c r="E212" s="76">
        <v>599</v>
      </c>
      <c r="F212" s="50">
        <v>969</v>
      </c>
      <c r="G212" s="49">
        <v>524619</v>
      </c>
      <c r="H212" s="73">
        <v>965</v>
      </c>
      <c r="I212" s="77">
        <v>969</v>
      </c>
      <c r="J212" s="73">
        <v>417712.5400000001</v>
      </c>
      <c r="K212" s="52">
        <v>31</v>
      </c>
      <c r="L212" s="51">
        <v>8276.7599999999984</v>
      </c>
      <c r="M212" s="77">
        <v>611</v>
      </c>
      <c r="N212" s="76">
        <v>197961.39</v>
      </c>
      <c r="O212" s="75">
        <v>540</v>
      </c>
      <c r="P212" s="74">
        <v>90325.500000000364</v>
      </c>
      <c r="Q212" s="74">
        <v>3007.9199999999992</v>
      </c>
      <c r="R212" s="53">
        <f t="shared" si="11"/>
        <v>26230.95</v>
      </c>
      <c r="S212" s="73">
        <v>417712.54000000004</v>
      </c>
    </row>
    <row r="213" spans="1:19" x14ac:dyDescent="0.25">
      <c r="A213" s="28"/>
      <c r="B213" s="45" t="str">
        <f t="shared" si="9"/>
        <v>Jun-2023</v>
      </c>
      <c r="C213" s="57">
        <v>45101</v>
      </c>
      <c r="D213" s="43">
        <f t="shared" si="10"/>
        <v>1011</v>
      </c>
      <c r="E213" s="76">
        <v>560</v>
      </c>
      <c r="F213" s="50">
        <v>888</v>
      </c>
      <c r="G213" s="49">
        <v>484155</v>
      </c>
      <c r="H213" s="73">
        <v>885</v>
      </c>
      <c r="I213" s="77">
        <v>888</v>
      </c>
      <c r="J213" s="73">
        <v>380155.29999999987</v>
      </c>
      <c r="K213" s="52">
        <v>15</v>
      </c>
      <c r="L213" s="51">
        <v>5073.0300000000007</v>
      </c>
      <c r="M213" s="77">
        <v>551</v>
      </c>
      <c r="N213" s="76">
        <v>192401.51</v>
      </c>
      <c r="O213" s="75">
        <v>520</v>
      </c>
      <c r="P213" s="74">
        <v>82810.519999999786</v>
      </c>
      <c r="Q213" s="74">
        <v>3268.2100000000005</v>
      </c>
      <c r="R213" s="53">
        <f t="shared" si="11"/>
        <v>24207.75</v>
      </c>
      <c r="S213" s="73">
        <v>380155.29999999987</v>
      </c>
    </row>
    <row r="214" spans="1:19" x14ac:dyDescent="0.25">
      <c r="A214" s="28"/>
      <c r="B214" s="45" t="str">
        <f t="shared" si="9"/>
        <v>Jun-2023</v>
      </c>
      <c r="C214" s="57">
        <v>45102</v>
      </c>
      <c r="D214" s="43">
        <f t="shared" si="10"/>
        <v>1010</v>
      </c>
      <c r="E214" s="76">
        <v>574</v>
      </c>
      <c r="F214" s="50">
        <v>929</v>
      </c>
      <c r="G214" s="49">
        <v>492292</v>
      </c>
      <c r="H214" s="73">
        <v>927</v>
      </c>
      <c r="I214" s="77">
        <v>929</v>
      </c>
      <c r="J214" s="73">
        <v>419973.09999999992</v>
      </c>
      <c r="K214" s="52">
        <v>12</v>
      </c>
      <c r="L214" s="51">
        <v>2151.23</v>
      </c>
      <c r="M214" s="77">
        <v>486</v>
      </c>
      <c r="N214" s="76">
        <v>165377.38</v>
      </c>
      <c r="O214" s="75">
        <v>451</v>
      </c>
      <c r="P214" s="74">
        <v>89412.419999999882</v>
      </c>
      <c r="Q214" s="74">
        <v>1841.0899999999995</v>
      </c>
      <c r="R214" s="53">
        <f t="shared" si="11"/>
        <v>24614.600000000002</v>
      </c>
      <c r="S214" s="73">
        <v>419973.09999999992</v>
      </c>
    </row>
    <row r="215" spans="1:19" x14ac:dyDescent="0.25">
      <c r="A215" s="28"/>
      <c r="B215" s="45" t="str">
        <f t="shared" si="9"/>
        <v>Jun-2023</v>
      </c>
      <c r="C215" s="57">
        <v>45103</v>
      </c>
      <c r="D215" s="43">
        <f t="shared" si="10"/>
        <v>1009</v>
      </c>
      <c r="E215" s="76">
        <v>637</v>
      </c>
      <c r="F215" s="50">
        <v>1008</v>
      </c>
      <c r="G215" s="49">
        <v>532485</v>
      </c>
      <c r="H215" s="73">
        <v>1005</v>
      </c>
      <c r="I215" s="77">
        <v>1008</v>
      </c>
      <c r="J215" s="73">
        <v>443069.25</v>
      </c>
      <c r="K215" s="52">
        <v>21</v>
      </c>
      <c r="L215" s="51">
        <v>4365.37</v>
      </c>
      <c r="M215" s="77">
        <v>482</v>
      </c>
      <c r="N215" s="76">
        <v>184446.71</v>
      </c>
      <c r="O215" s="75">
        <v>450</v>
      </c>
      <c r="P215" s="74">
        <v>94390.9300000004</v>
      </c>
      <c r="Q215" s="74">
        <v>1837.4400000000007</v>
      </c>
      <c r="R215" s="53">
        <f t="shared" si="11"/>
        <v>26624.25</v>
      </c>
      <c r="S215" s="73">
        <v>443069.25</v>
      </c>
    </row>
    <row r="216" spans="1:19" x14ac:dyDescent="0.25">
      <c r="A216" s="28"/>
      <c r="B216" s="45" t="str">
        <f t="shared" si="9"/>
        <v>Jun-2023</v>
      </c>
      <c r="C216" s="57">
        <v>45104</v>
      </c>
      <c r="D216" s="43">
        <f t="shared" si="10"/>
        <v>1008</v>
      </c>
      <c r="E216" s="76">
        <v>603</v>
      </c>
      <c r="F216" s="50">
        <v>980</v>
      </c>
      <c r="G216" s="49">
        <v>519657</v>
      </c>
      <c r="H216" s="73">
        <v>978</v>
      </c>
      <c r="I216" s="77">
        <v>980</v>
      </c>
      <c r="J216" s="73">
        <v>418060.40000000008</v>
      </c>
      <c r="K216" s="52">
        <v>11</v>
      </c>
      <c r="L216" s="51">
        <v>2522.29</v>
      </c>
      <c r="M216" s="77">
        <v>539</v>
      </c>
      <c r="N216" s="76">
        <v>193050.04</v>
      </c>
      <c r="O216" s="75">
        <v>503</v>
      </c>
      <c r="P216" s="74">
        <v>89735.199999999779</v>
      </c>
      <c r="Q216" s="74">
        <v>2600.3300000000008</v>
      </c>
      <c r="R216" s="53">
        <f t="shared" si="11"/>
        <v>25982.850000000002</v>
      </c>
      <c r="S216" s="73">
        <v>418060.4</v>
      </c>
    </row>
    <row r="217" spans="1:19" x14ac:dyDescent="0.25">
      <c r="A217" s="28"/>
      <c r="B217" s="45" t="str">
        <f t="shared" si="9"/>
        <v>Jun-2023</v>
      </c>
      <c r="C217" s="57">
        <v>45105</v>
      </c>
      <c r="D217" s="43">
        <f t="shared" si="10"/>
        <v>1007</v>
      </c>
      <c r="E217" s="76">
        <v>650</v>
      </c>
      <c r="F217" s="50">
        <v>986</v>
      </c>
      <c r="G217" s="49">
        <v>521330</v>
      </c>
      <c r="H217" s="73">
        <v>982</v>
      </c>
      <c r="I217" s="77">
        <v>986</v>
      </c>
      <c r="J217" s="73">
        <v>436781.13</v>
      </c>
      <c r="K217" s="52">
        <v>10</v>
      </c>
      <c r="L217" s="51">
        <v>4334.6500000000005</v>
      </c>
      <c r="M217" s="77">
        <v>462</v>
      </c>
      <c r="N217" s="76">
        <v>178174.38</v>
      </c>
      <c r="O217" s="75">
        <v>444</v>
      </c>
      <c r="P217" s="74">
        <v>92990.01</v>
      </c>
      <c r="Q217" s="74">
        <v>1854.0400000000006</v>
      </c>
      <c r="R217" s="53">
        <f t="shared" si="11"/>
        <v>26066.5</v>
      </c>
      <c r="S217" s="73">
        <v>436781.13</v>
      </c>
    </row>
    <row r="218" spans="1:19" x14ac:dyDescent="0.25">
      <c r="A218" s="28"/>
      <c r="B218" s="45" t="str">
        <f t="shared" si="9"/>
        <v>Jun-2023</v>
      </c>
      <c r="C218" s="57">
        <v>45106</v>
      </c>
      <c r="D218" s="43">
        <f t="shared" si="10"/>
        <v>1006</v>
      </c>
      <c r="E218" s="76">
        <v>567</v>
      </c>
      <c r="F218" s="50">
        <v>893</v>
      </c>
      <c r="G218" s="49">
        <v>471113</v>
      </c>
      <c r="H218" s="73">
        <v>888</v>
      </c>
      <c r="I218" s="77">
        <v>893</v>
      </c>
      <c r="J218" s="73">
        <v>400019.07</v>
      </c>
      <c r="K218" s="52">
        <v>17</v>
      </c>
      <c r="L218" s="51">
        <v>2413.38</v>
      </c>
      <c r="M218" s="77">
        <v>425</v>
      </c>
      <c r="N218" s="76">
        <v>158395.15</v>
      </c>
      <c r="O218" s="75">
        <v>393</v>
      </c>
      <c r="P218" s="74">
        <v>85216.670000000377</v>
      </c>
      <c r="Q218" s="74">
        <v>1882.02</v>
      </c>
      <c r="R218" s="53">
        <f t="shared" si="11"/>
        <v>23555.65</v>
      </c>
      <c r="S218" s="73">
        <v>400019.07</v>
      </c>
    </row>
    <row r="219" spans="1:19" x14ac:dyDescent="0.25">
      <c r="A219" s="28"/>
      <c r="B219" s="45" t="str">
        <f t="shared" si="9"/>
        <v>Jun-2023</v>
      </c>
      <c r="C219" s="57">
        <v>45107</v>
      </c>
      <c r="D219" s="43">
        <f t="shared" si="10"/>
        <v>1005</v>
      </c>
      <c r="E219" s="76">
        <v>570</v>
      </c>
      <c r="F219" s="50">
        <v>906</v>
      </c>
      <c r="G219" s="49">
        <v>483990</v>
      </c>
      <c r="H219" s="73">
        <v>904</v>
      </c>
      <c r="I219" s="77">
        <v>906</v>
      </c>
      <c r="J219" s="73">
        <v>401697.49000000005</v>
      </c>
      <c r="K219" s="52">
        <v>9</v>
      </c>
      <c r="L219" s="51">
        <v>916.17000000000007</v>
      </c>
      <c r="M219" s="77">
        <v>442</v>
      </c>
      <c r="N219" s="76">
        <v>168322.11</v>
      </c>
      <c r="O219" s="75">
        <v>415</v>
      </c>
      <c r="P219" s="74">
        <v>85710.439999999988</v>
      </c>
      <c r="Q219" s="74">
        <v>2154.0799999999995</v>
      </c>
      <c r="R219" s="53">
        <f t="shared" si="11"/>
        <v>24199.5</v>
      </c>
      <c r="S219" s="73">
        <v>401697.49</v>
      </c>
    </row>
    <row r="220" spans="1:19" x14ac:dyDescent="0.25">
      <c r="A220" s="28"/>
      <c r="B220" s="45" t="str">
        <f t="shared" si="9"/>
        <v>Jul-2023</v>
      </c>
      <c r="C220" s="57">
        <v>45108</v>
      </c>
      <c r="D220" s="43">
        <f t="shared" si="10"/>
        <v>1004</v>
      </c>
      <c r="E220" s="76">
        <v>474</v>
      </c>
      <c r="F220" s="50">
        <v>754</v>
      </c>
      <c r="G220" s="49">
        <v>413626</v>
      </c>
      <c r="H220" s="73">
        <v>753</v>
      </c>
      <c r="I220" s="77">
        <v>754</v>
      </c>
      <c r="J220" s="73">
        <v>306449.99</v>
      </c>
      <c r="K220" s="52">
        <v>12</v>
      </c>
      <c r="L220" s="51">
        <v>5119.84</v>
      </c>
      <c r="M220" s="77">
        <v>463</v>
      </c>
      <c r="N220" s="76">
        <v>176711.83</v>
      </c>
      <c r="O220" s="75">
        <v>430</v>
      </c>
      <c r="P220" s="74">
        <v>65693.89</v>
      </c>
      <c r="Q220" s="74">
        <v>1948.0000000000005</v>
      </c>
      <c r="R220" s="53">
        <f t="shared" si="11"/>
        <v>20681.300000000003</v>
      </c>
      <c r="S220" s="73">
        <v>306449.99</v>
      </c>
    </row>
    <row r="221" spans="1:19" x14ac:dyDescent="0.25">
      <c r="A221" s="28"/>
      <c r="B221" s="45" t="str">
        <f t="shared" si="9"/>
        <v>Jul-2023</v>
      </c>
      <c r="C221" s="57">
        <v>45109</v>
      </c>
      <c r="D221" s="43">
        <f t="shared" si="10"/>
        <v>1003</v>
      </c>
      <c r="E221" s="76">
        <v>504</v>
      </c>
      <c r="F221" s="50">
        <v>859</v>
      </c>
      <c r="G221" s="49">
        <v>458216</v>
      </c>
      <c r="H221" s="73">
        <v>856</v>
      </c>
      <c r="I221" s="77">
        <v>859</v>
      </c>
      <c r="J221" s="73">
        <v>380715.3299999999</v>
      </c>
      <c r="K221" s="52">
        <v>15</v>
      </c>
      <c r="L221" s="51">
        <v>3549.0099999999998</v>
      </c>
      <c r="M221" s="77">
        <v>438</v>
      </c>
      <c r="N221" s="76">
        <v>161165.69</v>
      </c>
      <c r="O221" s="75">
        <v>397</v>
      </c>
      <c r="P221" s="74">
        <v>82506.470000000307</v>
      </c>
      <c r="Q221" s="74">
        <v>3422.7699999999995</v>
      </c>
      <c r="R221" s="53">
        <f t="shared" si="11"/>
        <v>22910.800000000003</v>
      </c>
      <c r="S221" s="73">
        <v>380715.32999999996</v>
      </c>
    </row>
    <row r="222" spans="1:19" x14ac:dyDescent="0.25">
      <c r="A222" s="28"/>
      <c r="B222" s="45" t="str">
        <f t="shared" si="9"/>
        <v>Jul-2023</v>
      </c>
      <c r="C222" s="57">
        <v>45110</v>
      </c>
      <c r="D222" s="43">
        <f t="shared" si="10"/>
        <v>1002</v>
      </c>
      <c r="E222" s="76">
        <v>473</v>
      </c>
      <c r="F222" s="50">
        <v>783</v>
      </c>
      <c r="G222" s="49">
        <v>427990</v>
      </c>
      <c r="H222" s="73">
        <v>780</v>
      </c>
      <c r="I222" s="77">
        <v>783</v>
      </c>
      <c r="J222" s="73">
        <v>334212.36</v>
      </c>
      <c r="K222" s="52">
        <v>14</v>
      </c>
      <c r="L222" s="51">
        <v>3023.57</v>
      </c>
      <c r="M222" s="77">
        <v>437</v>
      </c>
      <c r="N222" s="76">
        <v>167762.25</v>
      </c>
      <c r="O222" s="75">
        <v>409</v>
      </c>
      <c r="P222" s="74">
        <v>71474.570000000094</v>
      </c>
      <c r="Q222" s="74">
        <v>1999.5999999999988</v>
      </c>
      <c r="R222" s="53">
        <f t="shared" si="11"/>
        <v>21399.5</v>
      </c>
      <c r="S222" s="73">
        <v>334212.36</v>
      </c>
    </row>
    <row r="223" spans="1:19" x14ac:dyDescent="0.25">
      <c r="A223" s="28"/>
      <c r="B223" s="45" t="str">
        <f t="shared" si="9"/>
        <v>Jul-2023</v>
      </c>
      <c r="C223" s="57">
        <v>45111</v>
      </c>
      <c r="D223" s="43">
        <f t="shared" si="10"/>
        <v>1001</v>
      </c>
      <c r="E223" s="76">
        <v>507</v>
      </c>
      <c r="F223" s="50">
        <v>875</v>
      </c>
      <c r="G223" s="49">
        <v>470344</v>
      </c>
      <c r="H223" s="73">
        <v>874</v>
      </c>
      <c r="I223" s="77">
        <v>875</v>
      </c>
      <c r="J223" s="73">
        <v>373899.2</v>
      </c>
      <c r="K223" s="52">
        <v>20</v>
      </c>
      <c r="L223" s="51">
        <v>4470.3799999999992</v>
      </c>
      <c r="M223" s="77">
        <v>477</v>
      </c>
      <c r="N223" s="76">
        <v>179263.81</v>
      </c>
      <c r="O223" s="75">
        <v>425</v>
      </c>
      <c r="P223" s="74">
        <v>80037.650000000052</v>
      </c>
      <c r="Q223" s="74">
        <v>2422.829999999999</v>
      </c>
      <c r="R223" s="53">
        <f t="shared" si="11"/>
        <v>23517.200000000001</v>
      </c>
      <c r="S223" s="73">
        <v>373899.2</v>
      </c>
    </row>
    <row r="224" spans="1:19" x14ac:dyDescent="0.25">
      <c r="A224" s="28"/>
      <c r="B224" s="45" t="str">
        <f t="shared" si="9"/>
        <v>Jul-2023</v>
      </c>
      <c r="C224" s="57">
        <v>45112</v>
      </c>
      <c r="D224" s="43">
        <f t="shared" si="10"/>
        <v>1000</v>
      </c>
      <c r="E224" s="76">
        <v>472</v>
      </c>
      <c r="F224" s="50">
        <v>816</v>
      </c>
      <c r="G224" s="49">
        <v>449914</v>
      </c>
      <c r="H224" s="73">
        <v>813</v>
      </c>
      <c r="I224" s="77">
        <v>816</v>
      </c>
      <c r="J224" s="73">
        <v>329841.88999999996</v>
      </c>
      <c r="K224" s="52">
        <v>17</v>
      </c>
      <c r="L224" s="51">
        <v>4748.7300000000005</v>
      </c>
      <c r="M224" s="77">
        <v>487</v>
      </c>
      <c r="N224" s="76">
        <v>193651.73</v>
      </c>
      <c r="O224" s="75">
        <v>449</v>
      </c>
      <c r="P224" s="74">
        <v>70696.010000000097</v>
      </c>
      <c r="Q224" s="74">
        <v>2295.3800000000015</v>
      </c>
      <c r="R224" s="53">
        <f t="shared" si="11"/>
        <v>22495.7</v>
      </c>
      <c r="S224" s="73">
        <v>329841.88999999996</v>
      </c>
    </row>
    <row r="225" spans="1:19" x14ac:dyDescent="0.25">
      <c r="A225" s="28"/>
      <c r="B225" s="45" t="str">
        <f t="shared" si="9"/>
        <v>Jul-2023</v>
      </c>
      <c r="C225" s="57">
        <v>45113</v>
      </c>
      <c r="D225" s="43">
        <f t="shared" si="10"/>
        <v>999</v>
      </c>
      <c r="E225" s="76">
        <v>495</v>
      </c>
      <c r="F225" s="50">
        <v>897</v>
      </c>
      <c r="G225" s="49">
        <v>484248</v>
      </c>
      <c r="H225" s="73">
        <v>892</v>
      </c>
      <c r="I225" s="77">
        <v>897</v>
      </c>
      <c r="J225" s="73">
        <v>367622.35000000003</v>
      </c>
      <c r="K225" s="52">
        <v>22</v>
      </c>
      <c r="L225" s="51">
        <v>3870.7300000000005</v>
      </c>
      <c r="M225" s="77">
        <v>563</v>
      </c>
      <c r="N225" s="76">
        <v>199332.22</v>
      </c>
      <c r="O225" s="75">
        <v>494</v>
      </c>
      <c r="P225" s="74">
        <v>79046.220000000045</v>
      </c>
      <c r="Q225" s="74">
        <v>3005.2299999999987</v>
      </c>
      <c r="R225" s="53">
        <f t="shared" si="11"/>
        <v>24212.400000000001</v>
      </c>
      <c r="S225" s="73">
        <v>367622.35000000003</v>
      </c>
    </row>
    <row r="226" spans="1:19" x14ac:dyDescent="0.25">
      <c r="A226" s="28"/>
      <c r="B226" s="45" t="str">
        <f t="shared" si="9"/>
        <v>Jul-2023</v>
      </c>
      <c r="C226" s="57">
        <v>45114</v>
      </c>
      <c r="D226" s="43">
        <f t="shared" si="10"/>
        <v>998</v>
      </c>
      <c r="E226" s="76">
        <v>296</v>
      </c>
      <c r="F226" s="50">
        <v>433</v>
      </c>
      <c r="G226" s="49">
        <v>226795</v>
      </c>
      <c r="H226" s="73">
        <v>433</v>
      </c>
      <c r="I226" s="77">
        <v>433</v>
      </c>
      <c r="J226" s="73">
        <v>197761.46000000002</v>
      </c>
      <c r="K226" s="52">
        <v>9</v>
      </c>
      <c r="L226" s="51">
        <v>3940.81</v>
      </c>
      <c r="M226" s="77">
        <v>194</v>
      </c>
      <c r="N226" s="76">
        <v>71826.009999999995</v>
      </c>
      <c r="O226" s="75">
        <v>182</v>
      </c>
      <c r="P226" s="74">
        <v>41784.650000000052</v>
      </c>
      <c r="Q226" s="74">
        <v>822.42000000000019</v>
      </c>
      <c r="R226" s="53">
        <f t="shared" si="11"/>
        <v>11339.75</v>
      </c>
      <c r="S226" s="73">
        <v>197761.46000000002</v>
      </c>
    </row>
    <row r="227" spans="1:19" x14ac:dyDescent="0.25">
      <c r="A227" s="28"/>
      <c r="B227" s="45" t="str">
        <f t="shared" si="9"/>
        <v>Jul-2023</v>
      </c>
      <c r="C227" s="57">
        <v>45117</v>
      </c>
      <c r="D227" s="43">
        <f t="shared" si="10"/>
        <v>995</v>
      </c>
      <c r="E227" s="76">
        <v>281</v>
      </c>
      <c r="F227" s="50">
        <v>593</v>
      </c>
      <c r="G227" s="49">
        <v>329800</v>
      </c>
      <c r="H227" s="73">
        <v>591</v>
      </c>
      <c r="I227" s="77">
        <v>593</v>
      </c>
      <c r="J227" s="73">
        <v>210768.68999999997</v>
      </c>
      <c r="K227" s="52">
        <v>8</v>
      </c>
      <c r="L227" s="51">
        <v>473.04999999999995</v>
      </c>
      <c r="M227" s="77">
        <v>441</v>
      </c>
      <c r="N227" s="76">
        <v>165405.60999999999</v>
      </c>
      <c r="O227" s="75">
        <v>405</v>
      </c>
      <c r="P227" s="74">
        <v>45430.400000000067</v>
      </c>
      <c r="Q227" s="74">
        <v>2040.46</v>
      </c>
      <c r="R227" s="53">
        <f t="shared" si="11"/>
        <v>16490</v>
      </c>
      <c r="S227" s="73">
        <v>210768.69</v>
      </c>
    </row>
    <row r="228" spans="1:19" x14ac:dyDescent="0.25">
      <c r="A228" s="28"/>
      <c r="B228" s="45" t="str">
        <f t="shared" si="9"/>
        <v>Jul-2023</v>
      </c>
      <c r="C228" s="57">
        <v>45118</v>
      </c>
      <c r="D228" s="43">
        <f t="shared" si="10"/>
        <v>994</v>
      </c>
      <c r="E228" s="76">
        <v>627</v>
      </c>
      <c r="F228" s="50">
        <v>1106</v>
      </c>
      <c r="G228" s="49">
        <v>612833</v>
      </c>
      <c r="H228" s="73">
        <v>1105</v>
      </c>
      <c r="I228" s="77">
        <v>1106</v>
      </c>
      <c r="J228" s="73">
        <v>415348.13</v>
      </c>
      <c r="K228" s="52">
        <v>16</v>
      </c>
      <c r="L228" s="51">
        <v>3043.8600000000006</v>
      </c>
      <c r="M228" s="77">
        <v>720</v>
      </c>
      <c r="N228" s="76">
        <v>291190.34000000003</v>
      </c>
      <c r="O228" s="75">
        <v>652</v>
      </c>
      <c r="P228" s="74">
        <v>89701.350000000442</v>
      </c>
      <c r="Q228" s="74">
        <v>4009.320000000002</v>
      </c>
      <c r="R228" s="53">
        <f t="shared" si="11"/>
        <v>30641.65</v>
      </c>
      <c r="S228" s="73">
        <v>415348.12999999995</v>
      </c>
    </row>
    <row r="229" spans="1:19" x14ac:dyDescent="0.25">
      <c r="A229" s="28"/>
      <c r="B229" s="45" t="str">
        <f t="shared" si="9"/>
        <v>Jul-2023</v>
      </c>
      <c r="C229" s="57">
        <v>45119</v>
      </c>
      <c r="D229" s="43">
        <f t="shared" si="10"/>
        <v>993</v>
      </c>
      <c r="E229" s="76">
        <v>566</v>
      </c>
      <c r="F229" s="50">
        <v>914</v>
      </c>
      <c r="G229" s="49">
        <v>499368</v>
      </c>
      <c r="H229" s="73">
        <v>914</v>
      </c>
      <c r="I229" s="77">
        <v>914</v>
      </c>
      <c r="J229" s="73">
        <v>379873.03</v>
      </c>
      <c r="K229" s="52">
        <v>10</v>
      </c>
      <c r="L229" s="51">
        <v>2756.44</v>
      </c>
      <c r="M229" s="77">
        <v>524</v>
      </c>
      <c r="N229" s="76">
        <v>203451.72</v>
      </c>
      <c r="O229" s="75">
        <v>469</v>
      </c>
      <c r="P229" s="74">
        <v>80949.739999999889</v>
      </c>
      <c r="Q229" s="74">
        <v>2607.6699999999992</v>
      </c>
      <c r="R229" s="53">
        <f t="shared" si="11"/>
        <v>24968.400000000001</v>
      </c>
      <c r="S229" s="73">
        <v>379873.03</v>
      </c>
    </row>
    <row r="230" spans="1:19" x14ac:dyDescent="0.25">
      <c r="A230" s="28"/>
      <c r="B230" s="45" t="str">
        <f t="shared" si="9"/>
        <v>Jul-2023</v>
      </c>
      <c r="C230" s="57">
        <v>45120</v>
      </c>
      <c r="D230" s="43">
        <f t="shared" si="10"/>
        <v>992</v>
      </c>
      <c r="E230" s="76">
        <v>546</v>
      </c>
      <c r="F230" s="50">
        <v>844</v>
      </c>
      <c r="G230" s="49">
        <v>455705</v>
      </c>
      <c r="H230" s="73">
        <v>840</v>
      </c>
      <c r="I230" s="77">
        <v>844</v>
      </c>
      <c r="J230" s="73">
        <v>365944.64000000007</v>
      </c>
      <c r="K230" s="52">
        <v>13</v>
      </c>
      <c r="L230" s="51">
        <v>4445.8</v>
      </c>
      <c r="M230" s="77">
        <v>446</v>
      </c>
      <c r="N230" s="76">
        <v>171474.36</v>
      </c>
      <c r="O230" s="75">
        <v>412</v>
      </c>
      <c r="P230" s="74">
        <v>78241.549999999814</v>
      </c>
      <c r="Q230" s="74">
        <v>2861.9100000000012</v>
      </c>
      <c r="R230" s="53">
        <f t="shared" si="11"/>
        <v>22785.25</v>
      </c>
      <c r="S230" s="73">
        <v>365944.63999999996</v>
      </c>
    </row>
    <row r="231" spans="1:19" x14ac:dyDescent="0.25">
      <c r="A231" s="28"/>
      <c r="B231" s="45" t="str">
        <f t="shared" si="9"/>
        <v>Jul-2023</v>
      </c>
      <c r="C231" s="57">
        <v>45121</v>
      </c>
      <c r="D231" s="43">
        <f t="shared" si="10"/>
        <v>991</v>
      </c>
      <c r="E231" s="76">
        <v>486</v>
      </c>
      <c r="F231" s="50">
        <v>790</v>
      </c>
      <c r="G231" s="49">
        <v>417140</v>
      </c>
      <c r="H231" s="73">
        <v>785</v>
      </c>
      <c r="I231" s="77">
        <v>790</v>
      </c>
      <c r="J231" s="73">
        <v>341040.28000000009</v>
      </c>
      <c r="K231" s="52">
        <v>16</v>
      </c>
      <c r="L231" s="51">
        <v>2963.47</v>
      </c>
      <c r="M231" s="77">
        <v>384</v>
      </c>
      <c r="N231" s="76">
        <v>150492.04999999999</v>
      </c>
      <c r="O231" s="75">
        <v>357</v>
      </c>
      <c r="P231" s="74">
        <v>72076.710000000196</v>
      </c>
      <c r="Q231" s="74">
        <v>1862.4899999999989</v>
      </c>
      <c r="R231" s="53">
        <f t="shared" si="11"/>
        <v>20857</v>
      </c>
      <c r="S231" s="73">
        <v>341040.21</v>
      </c>
    </row>
    <row r="232" spans="1:19" x14ac:dyDescent="0.25">
      <c r="A232" s="28"/>
      <c r="B232" s="45" t="str">
        <f t="shared" si="9"/>
        <v>Jul-2023</v>
      </c>
      <c r="C232" s="57">
        <v>45122</v>
      </c>
      <c r="D232" s="43">
        <f t="shared" si="10"/>
        <v>990</v>
      </c>
      <c r="E232" s="76">
        <v>502</v>
      </c>
      <c r="F232" s="50">
        <v>801</v>
      </c>
      <c r="G232" s="49">
        <v>427557</v>
      </c>
      <c r="H232" s="73">
        <v>798</v>
      </c>
      <c r="I232" s="77">
        <v>801</v>
      </c>
      <c r="J232" s="73">
        <v>336533.68000000005</v>
      </c>
      <c r="K232" s="52">
        <v>8</v>
      </c>
      <c r="L232" s="51">
        <v>2894.44</v>
      </c>
      <c r="M232" s="77">
        <v>418</v>
      </c>
      <c r="N232" s="76">
        <v>163854.92000000001</v>
      </c>
      <c r="O232" s="75">
        <v>394</v>
      </c>
      <c r="P232" s="74">
        <v>71065.600000000093</v>
      </c>
      <c r="Q232" s="74">
        <v>1834.14</v>
      </c>
      <c r="R232" s="53">
        <f t="shared" si="11"/>
        <v>21377.850000000002</v>
      </c>
      <c r="S232" s="73">
        <v>336533.68000000005</v>
      </c>
    </row>
    <row r="233" spans="1:19" x14ac:dyDescent="0.25">
      <c r="A233" s="28"/>
      <c r="B233" s="45" t="str">
        <f t="shared" si="9"/>
        <v>Jul-2023</v>
      </c>
      <c r="C233" s="57">
        <v>45123</v>
      </c>
      <c r="D233" s="43">
        <f t="shared" si="10"/>
        <v>989</v>
      </c>
      <c r="E233" s="76">
        <v>496</v>
      </c>
      <c r="F233" s="50">
        <v>811</v>
      </c>
      <c r="G233" s="49">
        <v>439464</v>
      </c>
      <c r="H233" s="73">
        <v>810</v>
      </c>
      <c r="I233" s="77">
        <v>811</v>
      </c>
      <c r="J233" s="73">
        <v>335185.39999999997</v>
      </c>
      <c r="K233" s="52">
        <v>13</v>
      </c>
      <c r="L233" s="51">
        <v>2996.81</v>
      </c>
      <c r="M233" s="77">
        <v>482</v>
      </c>
      <c r="N233" s="76">
        <v>176888.61</v>
      </c>
      <c r="O233" s="75">
        <v>444</v>
      </c>
      <c r="P233" s="74">
        <v>71134.199999999983</v>
      </c>
      <c r="Q233" s="74">
        <v>2264.9900000000002</v>
      </c>
      <c r="R233" s="53">
        <f t="shared" si="11"/>
        <v>21973.200000000001</v>
      </c>
      <c r="S233" s="73">
        <v>335185.39999999997</v>
      </c>
    </row>
    <row r="234" spans="1:19" x14ac:dyDescent="0.25">
      <c r="A234" s="28"/>
      <c r="B234" s="45" t="str">
        <f t="shared" si="9"/>
        <v>Jul-2023</v>
      </c>
      <c r="C234" s="57">
        <v>45124</v>
      </c>
      <c r="D234" s="43">
        <f t="shared" si="10"/>
        <v>988</v>
      </c>
      <c r="E234" s="76">
        <v>479</v>
      </c>
      <c r="F234" s="50">
        <v>779</v>
      </c>
      <c r="G234" s="49">
        <v>423148</v>
      </c>
      <c r="H234" s="73">
        <v>777</v>
      </c>
      <c r="I234" s="77">
        <v>779</v>
      </c>
      <c r="J234" s="73">
        <v>325664.86</v>
      </c>
      <c r="K234" s="52">
        <v>12</v>
      </c>
      <c r="L234" s="51">
        <v>2657.3300000000004</v>
      </c>
      <c r="M234" s="77">
        <v>434</v>
      </c>
      <c r="N234" s="76">
        <v>168673.58</v>
      </c>
      <c r="O234" s="75">
        <v>395</v>
      </c>
      <c r="P234" s="74">
        <v>69473.060000000187</v>
      </c>
      <c r="Q234" s="74">
        <v>2647.28</v>
      </c>
      <c r="R234" s="53">
        <f t="shared" si="11"/>
        <v>21157.4</v>
      </c>
      <c r="S234" s="73">
        <v>325664.86000000004</v>
      </c>
    </row>
    <row r="235" spans="1:19" x14ac:dyDescent="0.25">
      <c r="A235" s="28"/>
      <c r="B235" s="45" t="str">
        <f t="shared" si="9"/>
        <v>Jul-2023</v>
      </c>
      <c r="C235" s="57">
        <v>45125</v>
      </c>
      <c r="D235" s="43">
        <f t="shared" si="10"/>
        <v>987</v>
      </c>
      <c r="E235" s="76">
        <v>495</v>
      </c>
      <c r="F235" s="50">
        <v>769</v>
      </c>
      <c r="G235" s="49">
        <v>406350</v>
      </c>
      <c r="H235" s="73">
        <v>765</v>
      </c>
      <c r="I235" s="77">
        <v>769</v>
      </c>
      <c r="J235" s="73">
        <v>324388.37</v>
      </c>
      <c r="K235" s="52">
        <v>11</v>
      </c>
      <c r="L235" s="51">
        <v>2552.6200000000003</v>
      </c>
      <c r="M235" s="77">
        <v>410</v>
      </c>
      <c r="N235" s="76">
        <v>152210.22</v>
      </c>
      <c r="O235" s="75">
        <v>380</v>
      </c>
      <c r="P235" s="74">
        <v>68401.71000000005</v>
      </c>
      <c r="Q235" s="74">
        <v>1817.44</v>
      </c>
      <c r="R235" s="53">
        <f t="shared" si="11"/>
        <v>20317.5</v>
      </c>
      <c r="S235" s="73">
        <v>324388.37</v>
      </c>
    </row>
    <row r="236" spans="1:19" x14ac:dyDescent="0.25">
      <c r="A236" s="28"/>
      <c r="B236" s="45" t="str">
        <f t="shared" si="9"/>
        <v>Jul-2023</v>
      </c>
      <c r="C236" s="57">
        <v>45126</v>
      </c>
      <c r="D236" s="43">
        <f t="shared" si="10"/>
        <v>986</v>
      </c>
      <c r="E236" s="76">
        <v>495</v>
      </c>
      <c r="F236" s="50">
        <v>767</v>
      </c>
      <c r="G236" s="49">
        <v>407322</v>
      </c>
      <c r="H236" s="73">
        <v>765</v>
      </c>
      <c r="I236" s="77">
        <v>767</v>
      </c>
      <c r="J236" s="73">
        <v>318149.19999999995</v>
      </c>
      <c r="K236" s="52">
        <v>14</v>
      </c>
      <c r="L236" s="51">
        <v>2715.47</v>
      </c>
      <c r="M236" s="77">
        <v>393</v>
      </c>
      <c r="N236" s="76">
        <v>156603.01999999999</v>
      </c>
      <c r="O236" s="75">
        <v>365</v>
      </c>
      <c r="P236" s="74">
        <v>67386.219999999958</v>
      </c>
      <c r="Q236" s="74">
        <v>2106.0099999999998</v>
      </c>
      <c r="R236" s="53">
        <f t="shared" si="11"/>
        <v>20366.100000000002</v>
      </c>
      <c r="S236" s="73">
        <v>318149.19999999995</v>
      </c>
    </row>
    <row r="237" spans="1:19" x14ac:dyDescent="0.25">
      <c r="A237" s="28"/>
      <c r="B237" s="45" t="str">
        <f t="shared" si="9"/>
        <v>Jul-2023</v>
      </c>
      <c r="C237" s="57">
        <v>45127</v>
      </c>
      <c r="D237" s="43">
        <f t="shared" si="10"/>
        <v>985</v>
      </c>
      <c r="E237" s="76">
        <v>457</v>
      </c>
      <c r="F237" s="50">
        <v>749</v>
      </c>
      <c r="G237" s="49">
        <v>396448</v>
      </c>
      <c r="H237" s="73">
        <v>748</v>
      </c>
      <c r="I237" s="77">
        <v>749</v>
      </c>
      <c r="J237" s="73">
        <v>310799.67</v>
      </c>
      <c r="K237" s="52">
        <v>13</v>
      </c>
      <c r="L237" s="51">
        <v>1192.1599999999999</v>
      </c>
      <c r="M237" s="77">
        <v>470</v>
      </c>
      <c r="N237" s="76">
        <v>151962.44</v>
      </c>
      <c r="O237" s="75">
        <v>425</v>
      </c>
      <c r="P237" s="74">
        <v>65643.110000000015</v>
      </c>
      <c r="Q237" s="74">
        <v>2084.1099999999992</v>
      </c>
      <c r="R237" s="53">
        <f t="shared" si="11"/>
        <v>19822.400000000001</v>
      </c>
      <c r="S237" s="73">
        <v>310799.67000000004</v>
      </c>
    </row>
    <row r="238" spans="1:19" x14ac:dyDescent="0.25">
      <c r="A238" s="28"/>
      <c r="B238" s="45" t="str">
        <f t="shared" si="9"/>
        <v>Jul-2023</v>
      </c>
      <c r="C238" s="57">
        <v>45128</v>
      </c>
      <c r="D238" s="43">
        <f t="shared" si="10"/>
        <v>984</v>
      </c>
      <c r="E238" s="76">
        <v>457</v>
      </c>
      <c r="F238" s="50">
        <v>740</v>
      </c>
      <c r="G238" s="49">
        <v>389425</v>
      </c>
      <c r="H238" s="73">
        <v>740</v>
      </c>
      <c r="I238" s="77">
        <v>740</v>
      </c>
      <c r="J238" s="73">
        <v>306525.68999999994</v>
      </c>
      <c r="K238" s="52">
        <v>4</v>
      </c>
      <c r="L238" s="51">
        <v>75.13</v>
      </c>
      <c r="M238" s="77">
        <v>436</v>
      </c>
      <c r="N238" s="76">
        <v>149491.96</v>
      </c>
      <c r="O238" s="75">
        <v>395</v>
      </c>
      <c r="P238" s="74">
        <v>64989.229999999974</v>
      </c>
      <c r="Q238" s="74">
        <v>2210.9799999999996</v>
      </c>
      <c r="R238" s="53">
        <f t="shared" si="11"/>
        <v>19471.25</v>
      </c>
      <c r="S238" s="73">
        <v>306525.68999999994</v>
      </c>
    </row>
    <row r="239" spans="1:19" x14ac:dyDescent="0.25">
      <c r="A239" s="28"/>
      <c r="B239" s="45" t="str">
        <f t="shared" si="9"/>
        <v>Jul-2023</v>
      </c>
      <c r="C239" s="57">
        <v>45129</v>
      </c>
      <c r="D239" s="43">
        <f t="shared" si="10"/>
        <v>983</v>
      </c>
      <c r="E239" s="76">
        <v>531</v>
      </c>
      <c r="F239" s="50">
        <v>847</v>
      </c>
      <c r="G239" s="49">
        <v>453615</v>
      </c>
      <c r="H239" s="73">
        <v>846</v>
      </c>
      <c r="I239" s="77">
        <v>847</v>
      </c>
      <c r="J239" s="73">
        <v>364867.8</v>
      </c>
      <c r="K239" s="52">
        <v>5</v>
      </c>
      <c r="L239" s="51">
        <v>1710.1100000000001</v>
      </c>
      <c r="M239" s="77">
        <v>412</v>
      </c>
      <c r="N239" s="76">
        <v>167072.45000000001</v>
      </c>
      <c r="O239" s="75">
        <v>375</v>
      </c>
      <c r="P239" s="74">
        <v>76346.409999999829</v>
      </c>
      <c r="Q239" s="74">
        <v>1636.6899999999996</v>
      </c>
      <c r="R239" s="53">
        <f t="shared" si="11"/>
        <v>22680.75</v>
      </c>
      <c r="S239" s="73">
        <v>364867.8</v>
      </c>
    </row>
    <row r="240" spans="1:19" x14ac:dyDescent="0.25">
      <c r="A240" s="28"/>
      <c r="B240" s="45" t="str">
        <f t="shared" si="9"/>
        <v>Jul-2023</v>
      </c>
      <c r="C240" s="57">
        <v>45130</v>
      </c>
      <c r="D240" s="43">
        <f t="shared" si="10"/>
        <v>982</v>
      </c>
      <c r="E240" s="76">
        <v>487</v>
      </c>
      <c r="F240" s="50">
        <v>789</v>
      </c>
      <c r="G240" s="49">
        <v>417875</v>
      </c>
      <c r="H240" s="73">
        <v>787</v>
      </c>
      <c r="I240" s="77">
        <v>789</v>
      </c>
      <c r="J240" s="73">
        <v>346165.02</v>
      </c>
      <c r="K240" s="52">
        <v>9</v>
      </c>
      <c r="L240" s="51">
        <v>2198.27</v>
      </c>
      <c r="M240" s="77">
        <v>400</v>
      </c>
      <c r="N240" s="76">
        <v>144918.94</v>
      </c>
      <c r="O240" s="75">
        <v>375</v>
      </c>
      <c r="P240" s="74">
        <v>72473.469999999914</v>
      </c>
      <c r="Q240" s="74">
        <v>1774.2799999999986</v>
      </c>
      <c r="R240" s="53">
        <f t="shared" si="11"/>
        <v>20893.75</v>
      </c>
      <c r="S240" s="73">
        <v>346165.02</v>
      </c>
    </row>
    <row r="241" spans="1:19" x14ac:dyDescent="0.25">
      <c r="A241" s="28"/>
      <c r="B241" s="45" t="str">
        <f t="shared" si="9"/>
        <v>Jul-2023</v>
      </c>
      <c r="C241" s="57">
        <v>45131</v>
      </c>
      <c r="D241" s="43">
        <f t="shared" si="10"/>
        <v>981</v>
      </c>
      <c r="E241" s="76">
        <v>493</v>
      </c>
      <c r="F241" s="50">
        <v>770</v>
      </c>
      <c r="G241" s="49">
        <v>404980</v>
      </c>
      <c r="H241" s="73">
        <v>770</v>
      </c>
      <c r="I241" s="77">
        <v>770</v>
      </c>
      <c r="J241" s="73">
        <v>326513.19000000006</v>
      </c>
      <c r="K241" s="52">
        <v>10</v>
      </c>
      <c r="L241" s="51">
        <v>3081.5099999999998</v>
      </c>
      <c r="M241" s="77">
        <v>424</v>
      </c>
      <c r="N241" s="76">
        <v>147567.47</v>
      </c>
      <c r="O241" s="75">
        <v>378</v>
      </c>
      <c r="P241" s="74">
        <v>68334.799999999988</v>
      </c>
      <c r="Q241" s="74">
        <v>1627.090000000002</v>
      </c>
      <c r="R241" s="53">
        <f t="shared" si="11"/>
        <v>20249</v>
      </c>
      <c r="S241" s="73">
        <v>326513.19</v>
      </c>
    </row>
    <row r="242" spans="1:19" x14ac:dyDescent="0.25">
      <c r="A242" s="28"/>
      <c r="B242" s="45" t="str">
        <f t="shared" si="9"/>
        <v>Jul-2023</v>
      </c>
      <c r="C242" s="57">
        <v>45132</v>
      </c>
      <c r="D242" s="43">
        <f t="shared" si="10"/>
        <v>980</v>
      </c>
      <c r="E242" s="76">
        <v>470</v>
      </c>
      <c r="F242" s="50">
        <v>708</v>
      </c>
      <c r="G242" s="49">
        <v>369558</v>
      </c>
      <c r="H242" s="73">
        <v>708</v>
      </c>
      <c r="I242" s="77">
        <v>708</v>
      </c>
      <c r="J242" s="73">
        <v>311003.96999999997</v>
      </c>
      <c r="K242" s="52">
        <v>9</v>
      </c>
      <c r="L242" s="51">
        <v>2907.33</v>
      </c>
      <c r="M242" s="77">
        <v>359</v>
      </c>
      <c r="N242" s="76">
        <v>124707.73</v>
      </c>
      <c r="O242" s="75">
        <v>325</v>
      </c>
      <c r="P242" s="74">
        <v>64994.890000000072</v>
      </c>
      <c r="Q242" s="74">
        <v>1700.4100000000008</v>
      </c>
      <c r="R242" s="53">
        <f t="shared" si="11"/>
        <v>18477.900000000001</v>
      </c>
      <c r="S242" s="73">
        <v>311003.96999999997</v>
      </c>
    </row>
    <row r="243" spans="1:19" x14ac:dyDescent="0.25">
      <c r="A243" s="28"/>
      <c r="B243" s="45" t="str">
        <f t="shared" si="9"/>
        <v>Jul-2023</v>
      </c>
      <c r="C243" s="57">
        <v>45133</v>
      </c>
      <c r="D243" s="43">
        <f t="shared" si="10"/>
        <v>979</v>
      </c>
      <c r="E243" s="76">
        <v>478</v>
      </c>
      <c r="F243" s="50">
        <v>714</v>
      </c>
      <c r="G243" s="49">
        <v>372566</v>
      </c>
      <c r="H243" s="73">
        <v>714</v>
      </c>
      <c r="I243" s="77">
        <v>714</v>
      </c>
      <c r="J243" s="73">
        <v>323682.3</v>
      </c>
      <c r="K243" s="52">
        <v>7</v>
      </c>
      <c r="L243" s="51">
        <v>2945.54</v>
      </c>
      <c r="M243" s="77">
        <v>336</v>
      </c>
      <c r="N243" s="76">
        <v>118655.11</v>
      </c>
      <c r="O243" s="75">
        <v>303</v>
      </c>
      <c r="P243" s="74">
        <v>67985.310000000012</v>
      </c>
      <c r="Q243" s="74">
        <v>2013.48</v>
      </c>
      <c r="R243" s="53">
        <f t="shared" si="11"/>
        <v>18628.3</v>
      </c>
      <c r="S243" s="73">
        <v>323682.30000000005</v>
      </c>
    </row>
    <row r="244" spans="1:19" x14ac:dyDescent="0.25">
      <c r="A244" s="28"/>
      <c r="B244" s="45" t="str">
        <f t="shared" si="9"/>
        <v>Jul-2023</v>
      </c>
      <c r="C244" s="57">
        <v>45134</v>
      </c>
      <c r="D244" s="43">
        <f t="shared" si="10"/>
        <v>978</v>
      </c>
      <c r="E244" s="76">
        <v>480</v>
      </c>
      <c r="F244" s="50">
        <v>506</v>
      </c>
      <c r="G244" s="49">
        <v>271324</v>
      </c>
      <c r="H244" s="73">
        <v>505</v>
      </c>
      <c r="I244" s="77">
        <v>506</v>
      </c>
      <c r="J244" s="73">
        <v>201499.07</v>
      </c>
      <c r="K244" s="52">
        <v>8</v>
      </c>
      <c r="L244" s="51">
        <v>4084.55</v>
      </c>
      <c r="M244" s="77">
        <v>306</v>
      </c>
      <c r="N244" s="76">
        <v>115940.03</v>
      </c>
      <c r="O244" s="75">
        <v>290</v>
      </c>
      <c r="P244" s="74">
        <v>42679.459999999897</v>
      </c>
      <c r="Q244" s="74">
        <v>1670.6199999999997</v>
      </c>
      <c r="R244" s="53">
        <f t="shared" si="11"/>
        <v>13566.2</v>
      </c>
      <c r="S244" s="73">
        <v>201498.30000000002</v>
      </c>
    </row>
    <row r="245" spans="1:19" x14ac:dyDescent="0.25">
      <c r="A245" s="28"/>
      <c r="B245" s="45" t="str">
        <f t="shared" si="9"/>
        <v>Jul-2023</v>
      </c>
      <c r="C245" s="57">
        <v>45135</v>
      </c>
      <c r="D245" s="43">
        <f t="shared" si="10"/>
        <v>977</v>
      </c>
      <c r="E245" s="76">
        <v>487</v>
      </c>
      <c r="F245" s="50">
        <v>712</v>
      </c>
      <c r="G245" s="49">
        <v>377342</v>
      </c>
      <c r="H245" s="73">
        <v>712</v>
      </c>
      <c r="I245" s="77">
        <v>712</v>
      </c>
      <c r="J245" s="73">
        <v>315658.95999999996</v>
      </c>
      <c r="K245" s="52">
        <v>11</v>
      </c>
      <c r="L245" s="51">
        <v>1383.96</v>
      </c>
      <c r="M245" s="77">
        <v>370</v>
      </c>
      <c r="N245" s="76">
        <v>129791.95</v>
      </c>
      <c r="O245" s="75">
        <v>341</v>
      </c>
      <c r="P245" s="74">
        <v>66480.090000000055</v>
      </c>
      <c r="Q245" s="74">
        <v>2255.2199999999984</v>
      </c>
      <c r="R245" s="53">
        <f t="shared" si="11"/>
        <v>18867.100000000002</v>
      </c>
      <c r="S245" s="73">
        <v>315658.95999999996</v>
      </c>
    </row>
    <row r="246" spans="1:19" x14ac:dyDescent="0.25">
      <c r="A246" s="28"/>
      <c r="B246" s="45" t="str">
        <f t="shared" si="9"/>
        <v>Jul-2023</v>
      </c>
      <c r="C246" s="57">
        <v>45136</v>
      </c>
      <c r="D246" s="43">
        <f t="shared" si="10"/>
        <v>976</v>
      </c>
      <c r="E246" s="76">
        <v>409</v>
      </c>
      <c r="F246" s="50">
        <v>639</v>
      </c>
      <c r="G246" s="49">
        <v>344059</v>
      </c>
      <c r="H246" s="73">
        <v>639</v>
      </c>
      <c r="I246" s="77">
        <v>639</v>
      </c>
      <c r="J246" s="73">
        <v>272467.38999999996</v>
      </c>
      <c r="K246" s="52">
        <v>11</v>
      </c>
      <c r="L246" s="51">
        <v>619.69000000000005</v>
      </c>
      <c r="M246" s="77">
        <v>420</v>
      </c>
      <c r="N246" s="76">
        <v>130502.03</v>
      </c>
      <c r="O246" s="75">
        <v>375</v>
      </c>
      <c r="P246" s="74">
        <v>56857.030000000101</v>
      </c>
      <c r="Q246" s="74">
        <v>1425.8800000000008</v>
      </c>
      <c r="R246" s="53">
        <f t="shared" si="11"/>
        <v>17202.95</v>
      </c>
      <c r="S246" s="73">
        <v>272467.38999999996</v>
      </c>
    </row>
    <row r="247" spans="1:19" x14ac:dyDescent="0.25">
      <c r="A247" s="28"/>
      <c r="B247" s="45" t="str">
        <f t="shared" si="9"/>
        <v>Jul-2023</v>
      </c>
      <c r="C247" s="57">
        <v>45137</v>
      </c>
      <c r="D247" s="43">
        <f t="shared" si="10"/>
        <v>975</v>
      </c>
      <c r="E247" s="76">
        <v>350</v>
      </c>
      <c r="F247" s="50">
        <v>602</v>
      </c>
      <c r="G247" s="49">
        <v>323030</v>
      </c>
      <c r="H247" s="73">
        <v>602</v>
      </c>
      <c r="I247" s="77">
        <v>602</v>
      </c>
      <c r="J247" s="73">
        <v>258675.65</v>
      </c>
      <c r="K247" s="52">
        <v>5</v>
      </c>
      <c r="L247" s="51">
        <v>1176.25</v>
      </c>
      <c r="M247" s="77">
        <v>295</v>
      </c>
      <c r="N247" s="76">
        <v>120004.28</v>
      </c>
      <c r="O247" s="75">
        <v>281</v>
      </c>
      <c r="P247" s="74">
        <v>53871.009999999958</v>
      </c>
      <c r="Q247" s="74">
        <v>1226.3300000000004</v>
      </c>
      <c r="R247" s="53">
        <f t="shared" si="11"/>
        <v>16151.5</v>
      </c>
      <c r="S247" s="73">
        <v>258675.65</v>
      </c>
    </row>
    <row r="248" spans="1:19" x14ac:dyDescent="0.25">
      <c r="A248" s="28"/>
      <c r="B248" s="45" t="str">
        <f t="shared" si="9"/>
        <v>Jul-2023</v>
      </c>
      <c r="C248" s="57">
        <v>45138</v>
      </c>
      <c r="D248" s="43">
        <f t="shared" si="10"/>
        <v>974</v>
      </c>
      <c r="E248" s="76">
        <v>416</v>
      </c>
      <c r="F248" s="50">
        <v>668</v>
      </c>
      <c r="G248" s="49">
        <v>363534</v>
      </c>
      <c r="H248" s="73">
        <v>668</v>
      </c>
      <c r="I248" s="77">
        <v>668</v>
      </c>
      <c r="J248" s="73">
        <v>283085.07</v>
      </c>
      <c r="K248" s="52">
        <v>14</v>
      </c>
      <c r="L248" s="51">
        <v>1596.33</v>
      </c>
      <c r="M248" s="77">
        <v>365</v>
      </c>
      <c r="N248" s="76">
        <v>142602.85</v>
      </c>
      <c r="O248" s="75">
        <v>336</v>
      </c>
      <c r="P248" s="74">
        <v>59234.480000000047</v>
      </c>
      <c r="Q248" s="74">
        <v>1685.2400000000002</v>
      </c>
      <c r="R248" s="53">
        <f t="shared" si="11"/>
        <v>18176.7</v>
      </c>
      <c r="S248" s="73">
        <v>283085.07</v>
      </c>
    </row>
    <row r="249" spans="1:19" x14ac:dyDescent="0.25">
      <c r="A249" s="28"/>
      <c r="B249" s="45" t="str">
        <f t="shared" si="9"/>
        <v>Aug-2023</v>
      </c>
      <c r="C249" s="57">
        <v>45139</v>
      </c>
      <c r="D249" s="43">
        <f t="shared" si="10"/>
        <v>973</v>
      </c>
      <c r="E249" s="76">
        <v>373</v>
      </c>
      <c r="F249" s="50">
        <v>611</v>
      </c>
      <c r="G249" s="49">
        <v>328974</v>
      </c>
      <c r="H249" s="73">
        <v>611</v>
      </c>
      <c r="I249" s="77">
        <v>611</v>
      </c>
      <c r="J249" s="73">
        <v>257464.61</v>
      </c>
      <c r="K249" s="52">
        <v>8</v>
      </c>
      <c r="L249" s="51">
        <v>729.13</v>
      </c>
      <c r="M249" s="77">
        <v>346</v>
      </c>
      <c r="N249" s="76">
        <v>127024.78</v>
      </c>
      <c r="O249" s="75">
        <v>311</v>
      </c>
      <c r="P249" s="74">
        <v>54063.260000000009</v>
      </c>
      <c r="Q249" s="74">
        <v>1784.67</v>
      </c>
      <c r="R249" s="53">
        <f t="shared" si="11"/>
        <v>16448.7</v>
      </c>
      <c r="S249" s="73">
        <v>257464.61</v>
      </c>
    </row>
    <row r="250" spans="1:19" x14ac:dyDescent="0.25">
      <c r="A250" s="28"/>
      <c r="B250" s="45" t="str">
        <f t="shared" si="9"/>
        <v>Aug-2023</v>
      </c>
      <c r="C250" s="57">
        <v>45140</v>
      </c>
      <c r="D250" s="43">
        <f t="shared" si="10"/>
        <v>972</v>
      </c>
      <c r="E250" s="76">
        <v>422</v>
      </c>
      <c r="F250" s="50">
        <v>629</v>
      </c>
      <c r="G250" s="49">
        <v>341130</v>
      </c>
      <c r="H250" s="73">
        <v>629</v>
      </c>
      <c r="I250" s="77">
        <v>629</v>
      </c>
      <c r="J250" s="73">
        <v>252477.03</v>
      </c>
      <c r="K250" s="52">
        <v>13</v>
      </c>
      <c r="L250" s="51">
        <v>3390.21</v>
      </c>
      <c r="M250" s="77">
        <v>407</v>
      </c>
      <c r="N250" s="76">
        <v>144299.76</v>
      </c>
      <c r="O250" s="75">
        <v>378</v>
      </c>
      <c r="P250" s="74">
        <v>53486.52000000007</v>
      </c>
      <c r="Q250" s="74">
        <v>2233.86</v>
      </c>
      <c r="R250" s="53">
        <f t="shared" si="11"/>
        <v>17056.5</v>
      </c>
      <c r="S250" s="73">
        <v>252477.03</v>
      </c>
    </row>
    <row r="251" spans="1:19" x14ac:dyDescent="0.25">
      <c r="A251" s="28"/>
      <c r="B251" s="45" t="str">
        <f t="shared" si="9"/>
        <v>Aug-2023</v>
      </c>
      <c r="C251" s="57">
        <v>45141</v>
      </c>
      <c r="D251" s="43">
        <f t="shared" si="10"/>
        <v>971</v>
      </c>
      <c r="E251" s="76">
        <v>382</v>
      </c>
      <c r="F251" s="50">
        <v>597</v>
      </c>
      <c r="G251" s="49">
        <v>329120</v>
      </c>
      <c r="H251" s="73">
        <v>596</v>
      </c>
      <c r="I251" s="77">
        <v>597</v>
      </c>
      <c r="J251" s="73">
        <v>237002.96000000002</v>
      </c>
      <c r="K251" s="52">
        <v>5</v>
      </c>
      <c r="L251" s="51">
        <v>1810.33</v>
      </c>
      <c r="M251" s="77">
        <v>415</v>
      </c>
      <c r="N251" s="76">
        <v>145309.96</v>
      </c>
      <c r="O251" s="75">
        <v>367</v>
      </c>
      <c r="P251" s="74">
        <v>49751.250000000051</v>
      </c>
      <c r="Q251" s="74">
        <v>1751.5500000000002</v>
      </c>
      <c r="R251" s="53">
        <f t="shared" si="11"/>
        <v>16456</v>
      </c>
      <c r="S251" s="73">
        <v>237002.96000000002</v>
      </c>
    </row>
    <row r="252" spans="1:19" x14ac:dyDescent="0.25">
      <c r="A252" s="28"/>
      <c r="B252" s="45" t="str">
        <f t="shared" si="9"/>
        <v>Aug-2023</v>
      </c>
      <c r="C252" s="57">
        <v>45142</v>
      </c>
      <c r="D252" s="43">
        <f t="shared" si="10"/>
        <v>970</v>
      </c>
      <c r="E252" s="76">
        <v>380</v>
      </c>
      <c r="F252" s="50">
        <v>625</v>
      </c>
      <c r="G252" s="49">
        <v>350529</v>
      </c>
      <c r="H252" s="73">
        <v>624</v>
      </c>
      <c r="I252" s="77">
        <v>625</v>
      </c>
      <c r="J252" s="73">
        <v>243249.46000000002</v>
      </c>
      <c r="K252" s="52">
        <v>12</v>
      </c>
      <c r="L252" s="51">
        <v>3113.15</v>
      </c>
      <c r="M252" s="77">
        <v>405</v>
      </c>
      <c r="N252" s="76">
        <v>161147.71</v>
      </c>
      <c r="O252" s="75">
        <v>364</v>
      </c>
      <c r="P252" s="74">
        <v>51380.759999999987</v>
      </c>
      <c r="Q252" s="74">
        <v>2055.6799999999998</v>
      </c>
      <c r="R252" s="53">
        <f t="shared" si="11"/>
        <v>17526.45</v>
      </c>
      <c r="S252" s="73">
        <v>243249.46000000002</v>
      </c>
    </row>
    <row r="253" spans="1:19" x14ac:dyDescent="0.25">
      <c r="A253" s="28"/>
      <c r="B253" s="45" t="str">
        <f t="shared" si="9"/>
        <v>Aug-2023</v>
      </c>
      <c r="C253" s="57">
        <v>45143</v>
      </c>
      <c r="D253" s="43">
        <f t="shared" si="10"/>
        <v>969</v>
      </c>
      <c r="E253" s="76">
        <v>380</v>
      </c>
      <c r="F253" s="50">
        <v>632</v>
      </c>
      <c r="G253" s="49">
        <v>343075</v>
      </c>
      <c r="H253" s="73">
        <v>630</v>
      </c>
      <c r="I253" s="77">
        <v>632</v>
      </c>
      <c r="J253" s="73">
        <v>245113.74000000002</v>
      </c>
      <c r="K253" s="52">
        <v>12</v>
      </c>
      <c r="L253" s="51">
        <v>3550.62</v>
      </c>
      <c r="M253" s="77">
        <v>422</v>
      </c>
      <c r="N253" s="76">
        <v>152173.93</v>
      </c>
      <c r="O253" s="75">
        <v>378</v>
      </c>
      <c r="P253" s="74">
        <v>51446.250000000015</v>
      </c>
      <c r="Q253" s="74">
        <v>1950.7300000000009</v>
      </c>
      <c r="R253" s="53">
        <f t="shared" si="11"/>
        <v>17153.75</v>
      </c>
      <c r="S253" s="73">
        <v>245113.74</v>
      </c>
    </row>
    <row r="254" spans="1:19" x14ac:dyDescent="0.25">
      <c r="A254" s="28"/>
      <c r="B254" s="45" t="str">
        <f t="shared" si="9"/>
        <v>Aug-2023</v>
      </c>
      <c r="C254" s="57">
        <v>45144</v>
      </c>
      <c r="D254" s="43">
        <f t="shared" si="10"/>
        <v>968</v>
      </c>
      <c r="E254" s="76">
        <v>388</v>
      </c>
      <c r="F254" s="50">
        <v>603</v>
      </c>
      <c r="G254" s="49">
        <v>322155</v>
      </c>
      <c r="H254" s="73">
        <v>603</v>
      </c>
      <c r="I254" s="77">
        <v>603</v>
      </c>
      <c r="J254" s="73">
        <v>234484.87</v>
      </c>
      <c r="K254" s="52">
        <v>7</v>
      </c>
      <c r="L254" s="51">
        <v>933.89999999999986</v>
      </c>
      <c r="M254" s="77">
        <v>377</v>
      </c>
      <c r="N254" s="76">
        <v>137574.15</v>
      </c>
      <c r="O254" s="75">
        <v>343</v>
      </c>
      <c r="P254" s="74">
        <v>49168.020000000033</v>
      </c>
      <c r="Q254" s="74">
        <v>1789.1700000000003</v>
      </c>
      <c r="R254" s="53">
        <f t="shared" si="11"/>
        <v>16107.75</v>
      </c>
      <c r="S254" s="73">
        <v>234484.87</v>
      </c>
    </row>
    <row r="255" spans="1:19" x14ac:dyDescent="0.25">
      <c r="A255" s="28"/>
      <c r="B255" s="45" t="str">
        <f t="shared" si="9"/>
        <v>Aug-2023</v>
      </c>
      <c r="C255" s="57">
        <v>45145</v>
      </c>
      <c r="D255" s="43">
        <f t="shared" si="10"/>
        <v>967</v>
      </c>
      <c r="E255" s="76">
        <v>389</v>
      </c>
      <c r="F255" s="50">
        <v>618</v>
      </c>
      <c r="G255" s="49">
        <v>335700</v>
      </c>
      <c r="H255" s="73">
        <v>618</v>
      </c>
      <c r="I255" s="77">
        <v>618</v>
      </c>
      <c r="J255" s="73">
        <v>246227.14</v>
      </c>
      <c r="K255" s="52">
        <v>2</v>
      </c>
      <c r="L255" s="51">
        <v>530.11</v>
      </c>
      <c r="M255" s="77">
        <v>352</v>
      </c>
      <c r="N255" s="76">
        <v>142821.22</v>
      </c>
      <c r="O255" s="75">
        <v>320</v>
      </c>
      <c r="P255" s="74">
        <v>51509.869999999923</v>
      </c>
      <c r="Q255" s="74">
        <v>1718.35</v>
      </c>
      <c r="R255" s="53">
        <f t="shared" si="11"/>
        <v>16785</v>
      </c>
      <c r="S255" s="73">
        <v>246227.14</v>
      </c>
    </row>
    <row r="256" spans="1:19" x14ac:dyDescent="0.25">
      <c r="A256" s="28"/>
      <c r="B256" s="45" t="str">
        <f t="shared" si="9"/>
        <v>Aug-2023</v>
      </c>
      <c r="C256" s="57">
        <v>45146</v>
      </c>
      <c r="D256" s="43">
        <f t="shared" si="10"/>
        <v>966</v>
      </c>
      <c r="E256" s="76">
        <v>424</v>
      </c>
      <c r="F256" s="50">
        <v>272</v>
      </c>
      <c r="G256" s="49">
        <v>153315</v>
      </c>
      <c r="H256" s="73">
        <v>272</v>
      </c>
      <c r="I256" s="77">
        <v>272</v>
      </c>
      <c r="J256" s="73">
        <v>102916.01999999999</v>
      </c>
      <c r="K256" s="52">
        <v>5</v>
      </c>
      <c r="L256" s="51">
        <v>1830.3999999999999</v>
      </c>
      <c r="M256" s="77">
        <v>277</v>
      </c>
      <c r="N256" s="76">
        <v>76549.73</v>
      </c>
      <c r="O256" s="75">
        <v>247</v>
      </c>
      <c r="P256" s="74">
        <v>22267.78000000001</v>
      </c>
      <c r="Q256" s="74">
        <v>1554.97</v>
      </c>
      <c r="R256" s="53">
        <f t="shared" si="11"/>
        <v>7665.75</v>
      </c>
      <c r="S256" s="73">
        <v>102916.01999999999</v>
      </c>
    </row>
    <row r="257" spans="1:19" x14ac:dyDescent="0.25">
      <c r="A257" s="28"/>
      <c r="B257" s="45" t="str">
        <f t="shared" si="9"/>
        <v>Aug-2023</v>
      </c>
      <c r="C257" s="57">
        <v>45147</v>
      </c>
      <c r="D257" s="43">
        <f t="shared" si="10"/>
        <v>965</v>
      </c>
      <c r="E257" s="76">
        <v>396</v>
      </c>
      <c r="F257" s="50">
        <v>218</v>
      </c>
      <c r="G257" s="49">
        <v>119005</v>
      </c>
      <c r="H257" s="73">
        <v>218</v>
      </c>
      <c r="I257" s="77">
        <v>218</v>
      </c>
      <c r="J257" s="73">
        <v>90026.700000000012</v>
      </c>
      <c r="K257" s="52">
        <v>4</v>
      </c>
      <c r="L257" s="51">
        <v>41</v>
      </c>
      <c r="M257" s="77">
        <v>246</v>
      </c>
      <c r="N257" s="76">
        <v>49412.05</v>
      </c>
      <c r="O257" s="75">
        <v>214</v>
      </c>
      <c r="P257" s="74">
        <v>19099.579999999984</v>
      </c>
      <c r="Q257" s="74">
        <v>1105.3700000000006</v>
      </c>
      <c r="R257" s="53">
        <f t="shared" si="11"/>
        <v>5950.25</v>
      </c>
      <c r="S257" s="73">
        <v>90026.700000000012</v>
      </c>
    </row>
    <row r="258" spans="1:19" x14ac:dyDescent="0.25">
      <c r="A258" s="28"/>
      <c r="B258" s="45" t="str">
        <f t="shared" si="9"/>
        <v>Aug-2023</v>
      </c>
      <c r="C258" s="57">
        <v>45148</v>
      </c>
      <c r="D258" s="43">
        <f t="shared" si="10"/>
        <v>964</v>
      </c>
      <c r="E258" s="76">
        <v>404</v>
      </c>
      <c r="F258" s="50">
        <v>402</v>
      </c>
      <c r="G258" s="49">
        <v>215555</v>
      </c>
      <c r="H258" s="73">
        <v>399</v>
      </c>
      <c r="I258" s="77">
        <v>402</v>
      </c>
      <c r="J258" s="73">
        <v>160203.87000000002</v>
      </c>
      <c r="K258" s="52">
        <v>7</v>
      </c>
      <c r="L258" s="51">
        <v>1710.4499999999998</v>
      </c>
      <c r="M258" s="77">
        <v>308</v>
      </c>
      <c r="N258" s="76">
        <v>90093.759999999995</v>
      </c>
      <c r="O258" s="75">
        <v>279</v>
      </c>
      <c r="P258" s="74">
        <v>33501.069999999963</v>
      </c>
      <c r="Q258" s="74">
        <v>1231.9999999999998</v>
      </c>
      <c r="R258" s="53">
        <f t="shared" si="11"/>
        <v>10777.75</v>
      </c>
      <c r="S258" s="73">
        <v>160203.87</v>
      </c>
    </row>
    <row r="259" spans="1:19" x14ac:dyDescent="0.25">
      <c r="A259" s="28"/>
      <c r="B259" s="45" t="str">
        <f t="shared" si="9"/>
        <v>Aug-2023</v>
      </c>
      <c r="C259" s="57">
        <v>45149</v>
      </c>
      <c r="D259" s="43">
        <f t="shared" si="10"/>
        <v>963</v>
      </c>
      <c r="E259" s="76">
        <v>378</v>
      </c>
      <c r="F259" s="50">
        <v>543</v>
      </c>
      <c r="G259" s="49">
        <v>287455</v>
      </c>
      <c r="H259" s="73">
        <v>542</v>
      </c>
      <c r="I259" s="77">
        <v>543</v>
      </c>
      <c r="J259" s="73">
        <v>221667.74000000005</v>
      </c>
      <c r="K259" s="52">
        <v>7</v>
      </c>
      <c r="L259" s="51">
        <v>2125.2200000000003</v>
      </c>
      <c r="M259" s="77">
        <v>312</v>
      </c>
      <c r="N259" s="76">
        <v>112683.96</v>
      </c>
      <c r="O259" s="75">
        <v>282</v>
      </c>
      <c r="P259" s="74">
        <v>45742.109999999979</v>
      </c>
      <c r="Q259" s="74">
        <v>1241.8499999999999</v>
      </c>
      <c r="R259" s="53">
        <f t="shared" si="11"/>
        <v>14372.75</v>
      </c>
      <c r="S259" s="73">
        <v>221667.74000000002</v>
      </c>
    </row>
    <row r="260" spans="1:19" x14ac:dyDescent="0.25">
      <c r="A260" s="28"/>
      <c r="B260" s="45" t="str">
        <f t="shared" si="9"/>
        <v>Aug-2023</v>
      </c>
      <c r="C260" s="57">
        <v>45150</v>
      </c>
      <c r="D260" s="43">
        <f t="shared" si="10"/>
        <v>962</v>
      </c>
      <c r="E260" s="76">
        <v>297</v>
      </c>
      <c r="F260" s="50">
        <v>479</v>
      </c>
      <c r="G260" s="49">
        <v>254087</v>
      </c>
      <c r="H260" s="73">
        <v>476</v>
      </c>
      <c r="I260" s="77">
        <v>479</v>
      </c>
      <c r="J260" s="73">
        <v>196853.74000000002</v>
      </c>
      <c r="K260" s="52">
        <v>6</v>
      </c>
      <c r="L260" s="51">
        <v>2255.4</v>
      </c>
      <c r="M260" s="77">
        <v>253</v>
      </c>
      <c r="N260" s="76">
        <v>99279.85</v>
      </c>
      <c r="O260" s="75">
        <v>233</v>
      </c>
      <c r="P260" s="74">
        <v>40677.580000000024</v>
      </c>
      <c r="Q260" s="74">
        <v>1016.8799999999999</v>
      </c>
      <c r="R260" s="53">
        <f t="shared" si="11"/>
        <v>12704.35</v>
      </c>
      <c r="S260" s="73">
        <v>196853.74000000002</v>
      </c>
    </row>
    <row r="261" spans="1:19" x14ac:dyDescent="0.25">
      <c r="A261" s="28"/>
      <c r="B261" s="45" t="str">
        <f t="shared" si="9"/>
        <v>Aug-2023</v>
      </c>
      <c r="C261" s="57">
        <v>45151</v>
      </c>
      <c r="D261" s="43">
        <f t="shared" si="10"/>
        <v>961</v>
      </c>
      <c r="E261" s="76">
        <v>311</v>
      </c>
      <c r="F261" s="50">
        <v>459</v>
      </c>
      <c r="G261" s="49">
        <v>242655</v>
      </c>
      <c r="H261" s="73">
        <v>458</v>
      </c>
      <c r="I261" s="77">
        <v>459</v>
      </c>
      <c r="J261" s="73">
        <v>175675.12</v>
      </c>
      <c r="K261" s="52">
        <v>9</v>
      </c>
      <c r="L261" s="51">
        <v>1279.1300000000001</v>
      </c>
      <c r="M261" s="77">
        <v>303</v>
      </c>
      <c r="N261" s="76">
        <v>105378.29</v>
      </c>
      <c r="O261" s="75">
        <v>283</v>
      </c>
      <c r="P261" s="74">
        <v>36228.330000000009</v>
      </c>
      <c r="Q261" s="74">
        <v>927.75</v>
      </c>
      <c r="R261" s="53">
        <f t="shared" si="11"/>
        <v>12132.75</v>
      </c>
      <c r="S261" s="73">
        <v>175675.12</v>
      </c>
    </row>
    <row r="262" spans="1:19" x14ac:dyDescent="0.25">
      <c r="A262" s="28"/>
      <c r="B262" s="45" t="str">
        <f t="shared" ref="B262:B325" si="12">TEXT(C262,"MMM-YYYY")</f>
        <v>Aug-2023</v>
      </c>
      <c r="C262" s="57">
        <v>45152</v>
      </c>
      <c r="D262" s="43">
        <f t="shared" ref="D262:D325" si="13">$A$1-C262</f>
        <v>960</v>
      </c>
      <c r="E262" s="76">
        <v>415</v>
      </c>
      <c r="F262" s="50">
        <v>614</v>
      </c>
      <c r="G262" s="49">
        <v>321710</v>
      </c>
      <c r="H262" s="73">
        <v>614</v>
      </c>
      <c r="I262" s="77">
        <v>614</v>
      </c>
      <c r="J262" s="73">
        <v>270927.06</v>
      </c>
      <c r="K262" s="52">
        <v>6</v>
      </c>
      <c r="L262" s="51">
        <v>2504.33</v>
      </c>
      <c r="M262" s="77">
        <v>309</v>
      </c>
      <c r="N262" s="76">
        <v>109136.09</v>
      </c>
      <c r="O262" s="75">
        <v>289</v>
      </c>
      <c r="P262" s="74">
        <v>56016.630000000077</v>
      </c>
      <c r="Q262" s="74">
        <v>1678.2000000000003</v>
      </c>
      <c r="R262" s="53">
        <f t="shared" ref="R262:R325" si="14">G262*5%</f>
        <v>16085.5</v>
      </c>
      <c r="S262" s="73">
        <v>270927.06</v>
      </c>
    </row>
    <row r="263" spans="1:19" x14ac:dyDescent="0.25">
      <c r="A263" s="28"/>
      <c r="B263" s="45" t="str">
        <f t="shared" si="12"/>
        <v>Aug-2023</v>
      </c>
      <c r="C263" s="57">
        <v>45153</v>
      </c>
      <c r="D263" s="43">
        <f t="shared" si="13"/>
        <v>959</v>
      </c>
      <c r="E263" s="76">
        <v>401</v>
      </c>
      <c r="F263" s="50">
        <v>621</v>
      </c>
      <c r="G263" s="49">
        <v>322609</v>
      </c>
      <c r="H263" s="73">
        <v>620</v>
      </c>
      <c r="I263" s="77">
        <v>621</v>
      </c>
      <c r="J263" s="73">
        <v>272482.32999999996</v>
      </c>
      <c r="K263" s="52">
        <v>8</v>
      </c>
      <c r="L263" s="51">
        <v>1117.0899999999999</v>
      </c>
      <c r="M263" s="77">
        <v>320</v>
      </c>
      <c r="N263" s="76">
        <v>107756.2</v>
      </c>
      <c r="O263" s="75">
        <v>285</v>
      </c>
      <c r="P263" s="74">
        <v>56060.430000000008</v>
      </c>
      <c r="Q263" s="74">
        <v>1534.4300000000005</v>
      </c>
      <c r="R263" s="53">
        <f t="shared" si="14"/>
        <v>16130.45</v>
      </c>
      <c r="S263" s="73">
        <v>272482.32999999996</v>
      </c>
    </row>
    <row r="264" spans="1:19" x14ac:dyDescent="0.25">
      <c r="A264" s="28"/>
      <c r="B264" s="45" t="str">
        <f t="shared" si="12"/>
        <v>Aug-2023</v>
      </c>
      <c r="C264" s="57">
        <v>45154</v>
      </c>
      <c r="D264" s="43">
        <f t="shared" si="13"/>
        <v>958</v>
      </c>
      <c r="E264" s="76">
        <v>326</v>
      </c>
      <c r="F264" s="50">
        <v>532</v>
      </c>
      <c r="G264" s="49">
        <v>284600</v>
      </c>
      <c r="H264" s="73">
        <v>530</v>
      </c>
      <c r="I264" s="77">
        <v>532</v>
      </c>
      <c r="J264" s="73">
        <v>225146.87</v>
      </c>
      <c r="K264" s="52">
        <v>8</v>
      </c>
      <c r="L264" s="51">
        <v>2530.79</v>
      </c>
      <c r="M264" s="77">
        <v>329</v>
      </c>
      <c r="N264" s="76">
        <v>109162.67</v>
      </c>
      <c r="O264" s="75">
        <v>301</v>
      </c>
      <c r="P264" s="74">
        <v>46421.970000000059</v>
      </c>
      <c r="Q264" s="74">
        <v>1302.7200000000003</v>
      </c>
      <c r="R264" s="53">
        <f t="shared" si="14"/>
        <v>14230</v>
      </c>
      <c r="S264" s="73">
        <v>225146.86999999997</v>
      </c>
    </row>
    <row r="265" spans="1:19" x14ac:dyDescent="0.25">
      <c r="A265" s="28"/>
      <c r="B265" s="45" t="str">
        <f t="shared" si="12"/>
        <v>Aug-2023</v>
      </c>
      <c r="C265" s="57">
        <v>45155</v>
      </c>
      <c r="D265" s="43">
        <f t="shared" si="13"/>
        <v>957</v>
      </c>
      <c r="E265" s="76">
        <v>388</v>
      </c>
      <c r="F265" s="50">
        <v>610</v>
      </c>
      <c r="G265" s="49">
        <v>322260</v>
      </c>
      <c r="H265" s="73">
        <v>609</v>
      </c>
      <c r="I265" s="77">
        <v>610</v>
      </c>
      <c r="J265" s="73">
        <v>261105.47999999998</v>
      </c>
      <c r="K265" s="52">
        <v>12</v>
      </c>
      <c r="L265" s="51">
        <v>3114.37</v>
      </c>
      <c r="M265" s="77">
        <v>343</v>
      </c>
      <c r="N265" s="76">
        <v>115843.15</v>
      </c>
      <c r="O265" s="75">
        <v>321</v>
      </c>
      <c r="P265" s="74">
        <v>54077.83000000006</v>
      </c>
      <c r="Q265" s="74">
        <v>1829.8200000000002</v>
      </c>
      <c r="R265" s="53">
        <f t="shared" si="14"/>
        <v>16113</v>
      </c>
      <c r="S265" s="73">
        <v>261105.47999999998</v>
      </c>
    </row>
    <row r="266" spans="1:19" x14ac:dyDescent="0.25">
      <c r="A266" s="28"/>
      <c r="B266" s="45" t="str">
        <f t="shared" si="12"/>
        <v>Aug-2023</v>
      </c>
      <c r="C266" s="57">
        <v>45156</v>
      </c>
      <c r="D266" s="43">
        <f t="shared" si="13"/>
        <v>956</v>
      </c>
      <c r="E266" s="76">
        <v>360</v>
      </c>
      <c r="F266" s="50">
        <v>526</v>
      </c>
      <c r="G266" s="49">
        <v>279244</v>
      </c>
      <c r="H266" s="73">
        <v>523</v>
      </c>
      <c r="I266" s="77">
        <v>526</v>
      </c>
      <c r="J266" s="73">
        <v>220537.06999999998</v>
      </c>
      <c r="K266" s="52">
        <v>10</v>
      </c>
      <c r="L266" s="51">
        <v>3206.4900000000002</v>
      </c>
      <c r="M266" s="77">
        <v>306</v>
      </c>
      <c r="N266" s="76">
        <v>107472.81</v>
      </c>
      <c r="O266" s="75">
        <v>280</v>
      </c>
      <c r="P266" s="74">
        <v>45405.760000000002</v>
      </c>
      <c r="Q266" s="74">
        <v>1313.9899999999996</v>
      </c>
      <c r="R266" s="53">
        <f t="shared" si="14"/>
        <v>13962.2</v>
      </c>
      <c r="S266" s="73">
        <v>220537.07</v>
      </c>
    </row>
    <row r="267" spans="1:19" x14ac:dyDescent="0.25">
      <c r="A267" s="28"/>
      <c r="B267" s="45" t="str">
        <f t="shared" si="12"/>
        <v>Aug-2023</v>
      </c>
      <c r="C267" s="57">
        <v>45157</v>
      </c>
      <c r="D267" s="43">
        <f t="shared" si="13"/>
        <v>955</v>
      </c>
      <c r="E267" s="76">
        <v>326</v>
      </c>
      <c r="F267" s="50">
        <v>526</v>
      </c>
      <c r="G267" s="49">
        <v>286514</v>
      </c>
      <c r="H267" s="73">
        <v>524</v>
      </c>
      <c r="I267" s="77">
        <v>526</v>
      </c>
      <c r="J267" s="73">
        <v>213266.18</v>
      </c>
      <c r="K267" s="52">
        <v>8</v>
      </c>
      <c r="L267" s="51">
        <v>3440.5899999999997</v>
      </c>
      <c r="M267" s="77">
        <v>329</v>
      </c>
      <c r="N267" s="76">
        <v>118955.95</v>
      </c>
      <c r="O267" s="75">
        <v>294</v>
      </c>
      <c r="P267" s="74">
        <v>43988.390000000021</v>
      </c>
      <c r="Q267" s="74">
        <v>1388.6900000000005</v>
      </c>
      <c r="R267" s="53">
        <f t="shared" si="14"/>
        <v>14325.7</v>
      </c>
      <c r="S267" s="73">
        <v>213266.18</v>
      </c>
    </row>
    <row r="268" spans="1:19" x14ac:dyDescent="0.25">
      <c r="A268" s="28"/>
      <c r="B268" s="45" t="str">
        <f t="shared" si="12"/>
        <v>Aug-2023</v>
      </c>
      <c r="C268" s="57">
        <v>45158</v>
      </c>
      <c r="D268" s="43">
        <f t="shared" si="13"/>
        <v>954</v>
      </c>
      <c r="E268" s="76">
        <v>283</v>
      </c>
      <c r="F268" s="50">
        <v>482</v>
      </c>
      <c r="G268" s="49">
        <v>254050</v>
      </c>
      <c r="H268" s="73">
        <v>481</v>
      </c>
      <c r="I268" s="77">
        <v>482</v>
      </c>
      <c r="J268" s="73">
        <v>200775.09000000003</v>
      </c>
      <c r="K268" s="52">
        <v>3</v>
      </c>
      <c r="L268" s="51">
        <v>985.11</v>
      </c>
      <c r="M268" s="77">
        <v>265</v>
      </c>
      <c r="N268" s="76">
        <v>96626.79</v>
      </c>
      <c r="O268" s="75">
        <v>240</v>
      </c>
      <c r="P268" s="74">
        <v>41383.560000000027</v>
      </c>
      <c r="Q268" s="74">
        <v>1313.8799999999999</v>
      </c>
      <c r="R268" s="53">
        <f t="shared" si="14"/>
        <v>12702.5</v>
      </c>
      <c r="S268" s="73">
        <v>200775.09</v>
      </c>
    </row>
    <row r="269" spans="1:19" x14ac:dyDescent="0.25">
      <c r="A269" s="28"/>
      <c r="B269" s="45" t="str">
        <f t="shared" si="12"/>
        <v>Aug-2023</v>
      </c>
      <c r="C269" s="57">
        <v>45159</v>
      </c>
      <c r="D269" s="43">
        <f t="shared" si="13"/>
        <v>953</v>
      </c>
      <c r="E269" s="76">
        <v>245</v>
      </c>
      <c r="F269" s="50">
        <v>401</v>
      </c>
      <c r="G269" s="49">
        <v>219375</v>
      </c>
      <c r="H269" s="73">
        <v>400</v>
      </c>
      <c r="I269" s="77">
        <v>401</v>
      </c>
      <c r="J269" s="73">
        <v>152431.24</v>
      </c>
      <c r="K269" s="52">
        <v>10</v>
      </c>
      <c r="L269" s="51">
        <v>2187.06</v>
      </c>
      <c r="M269" s="77">
        <v>276</v>
      </c>
      <c r="N269" s="76">
        <v>101056.14</v>
      </c>
      <c r="O269" s="75">
        <v>259</v>
      </c>
      <c r="P269" s="74">
        <v>31498.420000000038</v>
      </c>
      <c r="Q269" s="74">
        <v>1062.1500000000003</v>
      </c>
      <c r="R269" s="53">
        <f t="shared" si="14"/>
        <v>10968.75</v>
      </c>
      <c r="S269" s="73">
        <v>152431.24</v>
      </c>
    </row>
    <row r="270" spans="1:19" x14ac:dyDescent="0.25">
      <c r="A270" s="28"/>
      <c r="B270" s="45" t="str">
        <f t="shared" si="12"/>
        <v>Aug-2023</v>
      </c>
      <c r="C270" s="57">
        <v>45160</v>
      </c>
      <c r="D270" s="43">
        <f t="shared" si="13"/>
        <v>952</v>
      </c>
      <c r="E270" s="76">
        <v>285</v>
      </c>
      <c r="F270" s="50">
        <v>429</v>
      </c>
      <c r="G270" s="49">
        <v>228554</v>
      </c>
      <c r="H270" s="73">
        <v>429</v>
      </c>
      <c r="I270" s="77">
        <v>429</v>
      </c>
      <c r="J270" s="73">
        <v>180471.58</v>
      </c>
      <c r="K270" s="52">
        <v>5</v>
      </c>
      <c r="L270" s="51">
        <v>1912.22</v>
      </c>
      <c r="M270" s="77">
        <v>256</v>
      </c>
      <c r="N270" s="76">
        <v>87774.03</v>
      </c>
      <c r="O270" s="75">
        <v>233</v>
      </c>
      <c r="P270" s="74">
        <v>37181.970000000008</v>
      </c>
      <c r="Q270" s="74">
        <v>1287.45</v>
      </c>
      <c r="R270" s="53">
        <f t="shared" si="14"/>
        <v>11427.7</v>
      </c>
      <c r="S270" s="73">
        <v>180471.58</v>
      </c>
    </row>
    <row r="271" spans="1:19" x14ac:dyDescent="0.25">
      <c r="A271" s="28"/>
      <c r="B271" s="45" t="str">
        <f t="shared" si="12"/>
        <v>Aug-2023</v>
      </c>
      <c r="C271" s="57">
        <v>45161</v>
      </c>
      <c r="D271" s="43">
        <f t="shared" si="13"/>
        <v>951</v>
      </c>
      <c r="E271" s="76">
        <v>402</v>
      </c>
      <c r="F271" s="50">
        <v>313</v>
      </c>
      <c r="G271" s="49">
        <v>170405</v>
      </c>
      <c r="H271" s="73">
        <v>311</v>
      </c>
      <c r="I271" s="77">
        <v>313</v>
      </c>
      <c r="J271" s="73">
        <v>89701.950000000012</v>
      </c>
      <c r="K271" s="52">
        <v>10</v>
      </c>
      <c r="L271" s="51">
        <v>2748.1400000000003</v>
      </c>
      <c r="M271" s="77">
        <v>270</v>
      </c>
      <c r="N271" s="76">
        <v>101505.86</v>
      </c>
      <c r="O271" s="75">
        <v>244</v>
      </c>
      <c r="P271" s="74">
        <v>18668.98999999998</v>
      </c>
      <c r="Q271" s="74">
        <v>822.42999999999972</v>
      </c>
      <c r="R271" s="53">
        <f t="shared" si="14"/>
        <v>8520.25</v>
      </c>
      <c r="S271" s="73">
        <v>89701.950000000012</v>
      </c>
    </row>
    <row r="272" spans="1:19" x14ac:dyDescent="0.25">
      <c r="A272" s="28"/>
      <c r="B272" s="45" t="str">
        <f t="shared" si="12"/>
        <v>Aug-2023</v>
      </c>
      <c r="C272" s="57">
        <v>45162</v>
      </c>
      <c r="D272" s="43">
        <f t="shared" si="13"/>
        <v>950</v>
      </c>
      <c r="E272" s="76">
        <v>403</v>
      </c>
      <c r="F272" s="50">
        <v>293</v>
      </c>
      <c r="G272" s="49">
        <v>161950</v>
      </c>
      <c r="H272" s="73">
        <v>293</v>
      </c>
      <c r="I272" s="77">
        <v>293</v>
      </c>
      <c r="J272" s="73">
        <v>77078.159999999989</v>
      </c>
      <c r="K272" s="52">
        <v>5</v>
      </c>
      <c r="L272" s="51">
        <v>1305</v>
      </c>
      <c r="M272" s="77">
        <v>308</v>
      </c>
      <c r="N272" s="76">
        <v>102556.34</v>
      </c>
      <c r="O272" s="75">
        <v>269</v>
      </c>
      <c r="P272" s="74">
        <v>16363.080000000007</v>
      </c>
      <c r="Q272" s="74">
        <v>1030.3700000000001</v>
      </c>
      <c r="R272" s="53">
        <f t="shared" si="14"/>
        <v>8097.5</v>
      </c>
      <c r="S272" s="73">
        <v>77078.159999999989</v>
      </c>
    </row>
    <row r="273" spans="1:19" x14ac:dyDescent="0.25">
      <c r="A273" s="28"/>
      <c r="B273" s="45" t="str">
        <f t="shared" si="12"/>
        <v>Aug-2023</v>
      </c>
      <c r="C273" s="57">
        <v>45163</v>
      </c>
      <c r="D273" s="43">
        <f t="shared" si="13"/>
        <v>949</v>
      </c>
      <c r="E273" s="76">
        <v>406</v>
      </c>
      <c r="F273" s="50">
        <v>306</v>
      </c>
      <c r="G273" s="49">
        <v>171580</v>
      </c>
      <c r="H273" s="73">
        <v>306</v>
      </c>
      <c r="I273" s="77">
        <v>306</v>
      </c>
      <c r="J273" s="73">
        <v>91147.61</v>
      </c>
      <c r="K273" s="52">
        <v>15</v>
      </c>
      <c r="L273" s="51">
        <v>4843.32</v>
      </c>
      <c r="M273" s="77">
        <v>343</v>
      </c>
      <c r="N273" s="76">
        <v>103392.72</v>
      </c>
      <c r="O273" s="75">
        <v>312</v>
      </c>
      <c r="P273" s="74">
        <v>19250.200000000033</v>
      </c>
      <c r="Q273" s="74">
        <v>1128.9700000000016</v>
      </c>
      <c r="R273" s="53">
        <f t="shared" si="14"/>
        <v>8579</v>
      </c>
      <c r="S273" s="73">
        <v>91147.61</v>
      </c>
    </row>
    <row r="274" spans="1:19" x14ac:dyDescent="0.25">
      <c r="A274" s="28"/>
      <c r="B274" s="45" t="str">
        <f t="shared" si="12"/>
        <v>Aug-2023</v>
      </c>
      <c r="C274" s="57">
        <v>45164</v>
      </c>
      <c r="D274" s="43">
        <f t="shared" si="13"/>
        <v>948</v>
      </c>
      <c r="E274" s="76">
        <v>297</v>
      </c>
      <c r="F274" s="50">
        <v>301</v>
      </c>
      <c r="G274" s="49">
        <v>173140</v>
      </c>
      <c r="H274" s="73">
        <v>300</v>
      </c>
      <c r="I274" s="77">
        <v>301</v>
      </c>
      <c r="J274" s="73">
        <v>64751.840000000004</v>
      </c>
      <c r="K274" s="52">
        <v>8</v>
      </c>
      <c r="L274" s="51">
        <v>2093.4900000000002</v>
      </c>
      <c r="M274" s="77">
        <v>403</v>
      </c>
      <c r="N274" s="76">
        <v>127311.78</v>
      </c>
      <c r="O274" s="75">
        <v>363</v>
      </c>
      <c r="P274" s="74">
        <v>14639.430000000015</v>
      </c>
      <c r="Q274" s="74">
        <v>1761.5899999999983</v>
      </c>
      <c r="R274" s="53">
        <f t="shared" si="14"/>
        <v>8657</v>
      </c>
      <c r="S274" s="73">
        <v>64751.840000000004</v>
      </c>
    </row>
    <row r="275" spans="1:19" x14ac:dyDescent="0.25">
      <c r="A275" s="28"/>
      <c r="B275" s="45" t="str">
        <f t="shared" si="12"/>
        <v>Aug-2023</v>
      </c>
      <c r="C275" s="57">
        <v>45165</v>
      </c>
      <c r="D275" s="43">
        <f t="shared" si="13"/>
        <v>947</v>
      </c>
      <c r="E275" s="76">
        <v>241</v>
      </c>
      <c r="F275" s="50">
        <v>268</v>
      </c>
      <c r="G275" s="49">
        <v>146865</v>
      </c>
      <c r="H275" s="73">
        <v>267</v>
      </c>
      <c r="I275" s="77">
        <v>268</v>
      </c>
      <c r="J275" s="73">
        <v>69765.17</v>
      </c>
      <c r="K275" s="52">
        <v>6</v>
      </c>
      <c r="L275" s="51">
        <v>570.5</v>
      </c>
      <c r="M275" s="77">
        <v>350</v>
      </c>
      <c r="N275" s="76">
        <v>94255.47</v>
      </c>
      <c r="O275" s="75">
        <v>306</v>
      </c>
      <c r="P275" s="74">
        <v>14872.089999999976</v>
      </c>
      <c r="Q275" s="74">
        <v>1052.7100000000012</v>
      </c>
      <c r="R275" s="53">
        <f t="shared" si="14"/>
        <v>7343.25</v>
      </c>
      <c r="S275" s="73">
        <v>69765.17</v>
      </c>
    </row>
    <row r="276" spans="1:19" x14ac:dyDescent="0.25">
      <c r="A276" s="28"/>
      <c r="B276" s="45" t="str">
        <f t="shared" si="12"/>
        <v>Aug-2023</v>
      </c>
      <c r="C276" s="57">
        <v>45166</v>
      </c>
      <c r="D276" s="43">
        <f t="shared" si="13"/>
        <v>946</v>
      </c>
      <c r="E276" s="76">
        <v>319</v>
      </c>
      <c r="F276" s="50">
        <v>252</v>
      </c>
      <c r="G276" s="49">
        <v>142696</v>
      </c>
      <c r="H276" s="73">
        <v>251</v>
      </c>
      <c r="I276" s="77">
        <v>252</v>
      </c>
      <c r="J276" s="73">
        <v>64300.33</v>
      </c>
      <c r="K276" s="52">
        <v>7</v>
      </c>
      <c r="L276" s="51">
        <v>1726.2899999999997</v>
      </c>
      <c r="M276" s="77">
        <v>327</v>
      </c>
      <c r="N276" s="76">
        <v>97854.13</v>
      </c>
      <c r="O276" s="75">
        <v>282</v>
      </c>
      <c r="P276" s="74">
        <v>13904.649999999996</v>
      </c>
      <c r="Q276" s="74">
        <v>1151.4999999999991</v>
      </c>
      <c r="R276" s="53">
        <f t="shared" si="14"/>
        <v>7134.8</v>
      </c>
      <c r="S276" s="73">
        <v>64300.33</v>
      </c>
    </row>
    <row r="277" spans="1:19" x14ac:dyDescent="0.25">
      <c r="A277" s="28"/>
      <c r="B277" s="45" t="str">
        <f t="shared" si="12"/>
        <v>Aug-2023</v>
      </c>
      <c r="C277" s="57">
        <v>45167</v>
      </c>
      <c r="D277" s="43">
        <f t="shared" si="13"/>
        <v>945</v>
      </c>
      <c r="E277" s="76">
        <v>310</v>
      </c>
      <c r="F277" s="50">
        <v>242</v>
      </c>
      <c r="G277" s="49">
        <v>133926</v>
      </c>
      <c r="H277" s="73">
        <v>242</v>
      </c>
      <c r="I277" s="77">
        <v>242</v>
      </c>
      <c r="J277" s="73">
        <v>65197.700000000004</v>
      </c>
      <c r="K277" s="52">
        <v>2</v>
      </c>
      <c r="L277" s="51">
        <v>1000.22</v>
      </c>
      <c r="M277" s="77">
        <v>314</v>
      </c>
      <c r="N277" s="76">
        <v>84634.76</v>
      </c>
      <c r="O277" s="75">
        <v>265</v>
      </c>
      <c r="P277" s="74">
        <v>13963.769999999995</v>
      </c>
      <c r="Q277" s="74">
        <v>1176.6800000000021</v>
      </c>
      <c r="R277" s="53">
        <f t="shared" si="14"/>
        <v>6696.3</v>
      </c>
      <c r="S277" s="73">
        <v>65197.700000000004</v>
      </c>
    </row>
    <row r="278" spans="1:19" x14ac:dyDescent="0.25">
      <c r="A278" s="28"/>
      <c r="B278" s="45" t="str">
        <f t="shared" si="12"/>
        <v>Aug-2023</v>
      </c>
      <c r="C278" s="57">
        <v>45168</v>
      </c>
      <c r="D278" s="43">
        <f t="shared" si="13"/>
        <v>944</v>
      </c>
      <c r="E278" s="76">
        <v>254</v>
      </c>
      <c r="F278" s="50">
        <v>241</v>
      </c>
      <c r="G278" s="49">
        <v>136664</v>
      </c>
      <c r="H278" s="73">
        <v>240</v>
      </c>
      <c r="I278" s="77">
        <v>241</v>
      </c>
      <c r="J278" s="73">
        <v>64331.109999999921</v>
      </c>
      <c r="K278" s="52">
        <v>3</v>
      </c>
      <c r="L278" s="51">
        <v>1602.33</v>
      </c>
      <c r="M278" s="77">
        <v>322</v>
      </c>
      <c r="N278" s="76">
        <v>90164.71</v>
      </c>
      <c r="O278" s="75">
        <v>292</v>
      </c>
      <c r="P278" s="74">
        <v>13648.099999999986</v>
      </c>
      <c r="Q278" s="74">
        <v>956.26</v>
      </c>
      <c r="R278" s="53">
        <f t="shared" si="14"/>
        <v>6833.2000000000007</v>
      </c>
      <c r="S278" s="73">
        <v>64331.11</v>
      </c>
    </row>
    <row r="279" spans="1:19" x14ac:dyDescent="0.25">
      <c r="A279" s="28"/>
      <c r="B279" s="45" t="str">
        <f t="shared" si="12"/>
        <v>Aug-2023</v>
      </c>
      <c r="C279" s="57">
        <v>45169</v>
      </c>
      <c r="D279" s="43">
        <f t="shared" si="13"/>
        <v>943</v>
      </c>
      <c r="E279" s="76">
        <v>265</v>
      </c>
      <c r="F279" s="50">
        <v>225</v>
      </c>
      <c r="G279" s="49">
        <v>129835</v>
      </c>
      <c r="H279" s="73">
        <v>225</v>
      </c>
      <c r="I279" s="77">
        <v>225</v>
      </c>
      <c r="J279" s="73">
        <v>59983.290000000008</v>
      </c>
      <c r="K279" s="52">
        <v>2</v>
      </c>
      <c r="L279" s="51">
        <v>556.11</v>
      </c>
      <c r="M279" s="77">
        <v>302</v>
      </c>
      <c r="N279" s="76">
        <v>84950.7</v>
      </c>
      <c r="O279" s="75">
        <v>251</v>
      </c>
      <c r="P279" s="74">
        <v>12650.350000000029</v>
      </c>
      <c r="Q279" s="74">
        <v>772.54000000000099</v>
      </c>
      <c r="R279" s="53">
        <f t="shared" si="14"/>
        <v>6491.75</v>
      </c>
      <c r="S279" s="73">
        <v>59983.290000000008</v>
      </c>
    </row>
    <row r="280" spans="1:19" x14ac:dyDescent="0.25">
      <c r="A280" s="28"/>
      <c r="B280" s="45" t="str">
        <f t="shared" si="12"/>
        <v>Sep-2023</v>
      </c>
      <c r="C280" s="57">
        <v>45170</v>
      </c>
      <c r="D280" s="43">
        <f t="shared" si="13"/>
        <v>942</v>
      </c>
      <c r="E280" s="76">
        <v>265</v>
      </c>
      <c r="F280" s="50">
        <v>198</v>
      </c>
      <c r="G280" s="49">
        <v>111640</v>
      </c>
      <c r="H280" s="73">
        <v>197</v>
      </c>
      <c r="I280" s="77">
        <v>198</v>
      </c>
      <c r="J280" s="73">
        <v>46264.249999999942</v>
      </c>
      <c r="K280" s="52">
        <v>2</v>
      </c>
      <c r="L280" s="51">
        <v>530.01</v>
      </c>
      <c r="M280" s="77">
        <v>243</v>
      </c>
      <c r="N280" s="76">
        <v>76853.11</v>
      </c>
      <c r="O280" s="75">
        <v>225</v>
      </c>
      <c r="P280" s="74">
        <v>10129.239999999982</v>
      </c>
      <c r="Q280" s="74">
        <v>998.78999999999962</v>
      </c>
      <c r="R280" s="53">
        <f t="shared" si="14"/>
        <v>5582</v>
      </c>
      <c r="S280" s="73">
        <v>46264.249999999949</v>
      </c>
    </row>
    <row r="281" spans="1:19" x14ac:dyDescent="0.25">
      <c r="A281" s="28"/>
      <c r="B281" s="45" t="str">
        <f t="shared" si="12"/>
        <v>Sep-2023</v>
      </c>
      <c r="C281" s="57">
        <v>45171</v>
      </c>
      <c r="D281" s="43">
        <f t="shared" si="13"/>
        <v>941</v>
      </c>
      <c r="E281" s="76">
        <v>227</v>
      </c>
      <c r="F281" s="50">
        <v>208</v>
      </c>
      <c r="G281" s="49">
        <v>125576</v>
      </c>
      <c r="H281" s="73">
        <v>207</v>
      </c>
      <c r="I281" s="77">
        <v>208</v>
      </c>
      <c r="J281" s="73">
        <v>40460.609999999964</v>
      </c>
      <c r="K281" s="52">
        <v>2</v>
      </c>
      <c r="L281" s="51">
        <v>975.11</v>
      </c>
      <c r="M281" s="77">
        <v>331</v>
      </c>
      <c r="N281" s="76">
        <v>98974.15</v>
      </c>
      <c r="O281" s="75">
        <v>292</v>
      </c>
      <c r="P281" s="74">
        <v>9156.7300000000068</v>
      </c>
      <c r="Q281" s="74">
        <v>1279.4099999999996</v>
      </c>
      <c r="R281" s="53">
        <f t="shared" si="14"/>
        <v>6278.8</v>
      </c>
      <c r="S281" s="73">
        <v>40460.609999999964</v>
      </c>
    </row>
    <row r="282" spans="1:19" x14ac:dyDescent="0.25">
      <c r="A282" s="28"/>
      <c r="B282" s="45" t="str">
        <f t="shared" si="12"/>
        <v>Sep-2023</v>
      </c>
      <c r="C282" s="57">
        <v>45172</v>
      </c>
      <c r="D282" s="43">
        <f t="shared" si="13"/>
        <v>940</v>
      </c>
      <c r="E282" s="76">
        <v>243</v>
      </c>
      <c r="F282" s="50">
        <v>200</v>
      </c>
      <c r="G282" s="49">
        <v>116994</v>
      </c>
      <c r="H282" s="73">
        <v>199</v>
      </c>
      <c r="I282" s="77">
        <v>200</v>
      </c>
      <c r="J282" s="73">
        <v>40059.950000000055</v>
      </c>
      <c r="K282" s="52">
        <v>5</v>
      </c>
      <c r="L282" s="51">
        <v>1657.1100000000001</v>
      </c>
      <c r="M282" s="77">
        <v>311</v>
      </c>
      <c r="N282" s="76">
        <v>87942.55</v>
      </c>
      <c r="O282" s="75">
        <v>273</v>
      </c>
      <c r="P282" s="74">
        <v>8882.1999999999771</v>
      </c>
      <c r="Q282" s="74">
        <v>1031.6299999999994</v>
      </c>
      <c r="R282" s="53">
        <f t="shared" si="14"/>
        <v>5849.7000000000007</v>
      </c>
      <c r="S282" s="73">
        <v>40059.950000000063</v>
      </c>
    </row>
    <row r="283" spans="1:19" x14ac:dyDescent="0.25">
      <c r="A283" s="28"/>
      <c r="B283" s="45" t="str">
        <f t="shared" si="12"/>
        <v>Sep-2023</v>
      </c>
      <c r="C283" s="57">
        <v>45173</v>
      </c>
      <c r="D283" s="43">
        <f t="shared" si="13"/>
        <v>939</v>
      </c>
      <c r="E283" s="76">
        <v>227</v>
      </c>
      <c r="F283" s="50">
        <v>218</v>
      </c>
      <c r="G283" s="49">
        <v>124035</v>
      </c>
      <c r="H283" s="73">
        <v>218</v>
      </c>
      <c r="I283" s="77">
        <v>218</v>
      </c>
      <c r="J283" s="73">
        <v>45820.649999999965</v>
      </c>
      <c r="K283" s="52">
        <v>7</v>
      </c>
      <c r="L283" s="51">
        <v>2186.7599999999998</v>
      </c>
      <c r="M283" s="77">
        <v>373</v>
      </c>
      <c r="N283" s="76">
        <v>92162.85</v>
      </c>
      <c r="O283" s="75">
        <v>291</v>
      </c>
      <c r="P283" s="74">
        <v>10291.909999999996</v>
      </c>
      <c r="Q283" s="74">
        <v>1249.9500000000014</v>
      </c>
      <c r="R283" s="53">
        <f t="shared" si="14"/>
        <v>6201.75</v>
      </c>
      <c r="S283" s="73">
        <v>45820.649999999972</v>
      </c>
    </row>
    <row r="284" spans="1:19" x14ac:dyDescent="0.25">
      <c r="A284" s="28"/>
      <c r="B284" s="45" t="str">
        <f t="shared" si="12"/>
        <v>Sep-2023</v>
      </c>
      <c r="C284" s="57">
        <v>45174</v>
      </c>
      <c r="D284" s="43">
        <f t="shared" si="13"/>
        <v>938</v>
      </c>
      <c r="E284" s="76">
        <v>210</v>
      </c>
      <c r="F284" s="50">
        <v>198</v>
      </c>
      <c r="G284" s="49">
        <v>123835</v>
      </c>
      <c r="H284" s="73">
        <v>198</v>
      </c>
      <c r="I284" s="77">
        <v>198</v>
      </c>
      <c r="J284" s="73">
        <v>40932.119999999995</v>
      </c>
      <c r="K284" s="52">
        <v>2</v>
      </c>
      <c r="L284" s="51">
        <v>450</v>
      </c>
      <c r="M284" s="77">
        <v>372</v>
      </c>
      <c r="N284" s="76">
        <v>96975.21</v>
      </c>
      <c r="O284" s="75">
        <v>282</v>
      </c>
      <c r="P284" s="74">
        <v>9121.5400000000172</v>
      </c>
      <c r="Q284" s="74">
        <v>1096.4099999999996</v>
      </c>
      <c r="R284" s="53">
        <f t="shared" si="14"/>
        <v>6191.75</v>
      </c>
      <c r="S284" s="73">
        <v>40932.119999999988</v>
      </c>
    </row>
    <row r="285" spans="1:19" x14ac:dyDescent="0.25">
      <c r="A285" s="28"/>
      <c r="B285" s="45" t="str">
        <f t="shared" si="12"/>
        <v>Sep-2023</v>
      </c>
      <c r="C285" s="57">
        <v>45175</v>
      </c>
      <c r="D285" s="43">
        <f t="shared" si="13"/>
        <v>937</v>
      </c>
      <c r="E285" s="76">
        <v>214</v>
      </c>
      <c r="F285" s="50">
        <v>194</v>
      </c>
      <c r="G285" s="49">
        <v>115485</v>
      </c>
      <c r="H285" s="73">
        <v>194</v>
      </c>
      <c r="I285" s="77">
        <v>194</v>
      </c>
      <c r="J285" s="73">
        <v>44327.950000000012</v>
      </c>
      <c r="K285" s="52">
        <v>3</v>
      </c>
      <c r="L285" s="51">
        <v>1289.1100000000001</v>
      </c>
      <c r="M285" s="77">
        <v>318</v>
      </c>
      <c r="N285" s="76">
        <v>84500.54</v>
      </c>
      <c r="O285" s="75">
        <v>260</v>
      </c>
      <c r="P285" s="74">
        <v>9766.279999999997</v>
      </c>
      <c r="Q285" s="74">
        <v>1129.150000000001</v>
      </c>
      <c r="R285" s="53">
        <f t="shared" si="14"/>
        <v>5774.25</v>
      </c>
      <c r="S285" s="73">
        <v>44327.950000000012</v>
      </c>
    </row>
    <row r="286" spans="1:19" x14ac:dyDescent="0.25">
      <c r="A286" s="28"/>
      <c r="B286" s="45" t="str">
        <f t="shared" si="12"/>
        <v>Sep-2023</v>
      </c>
      <c r="C286" s="57">
        <v>45176</v>
      </c>
      <c r="D286" s="43">
        <f t="shared" si="13"/>
        <v>936</v>
      </c>
      <c r="E286" s="76">
        <v>186</v>
      </c>
      <c r="F286" s="50">
        <v>195</v>
      </c>
      <c r="G286" s="49">
        <v>114510</v>
      </c>
      <c r="H286" s="73">
        <v>195</v>
      </c>
      <c r="I286" s="77">
        <v>195</v>
      </c>
      <c r="J286" s="73">
        <v>50824.709999999955</v>
      </c>
      <c r="K286" s="52">
        <v>2</v>
      </c>
      <c r="L286" s="51">
        <v>127</v>
      </c>
      <c r="M286" s="77">
        <v>263</v>
      </c>
      <c r="N286" s="76">
        <v>77292.740000000005</v>
      </c>
      <c r="O286" s="75">
        <v>234</v>
      </c>
      <c r="P286" s="74">
        <v>10812.839999999998</v>
      </c>
      <c r="Q286" s="74">
        <v>799.17999999999938</v>
      </c>
      <c r="R286" s="53">
        <f t="shared" si="14"/>
        <v>5725.5</v>
      </c>
      <c r="S286" s="73">
        <v>50824.70999999997</v>
      </c>
    </row>
    <row r="287" spans="1:19" x14ac:dyDescent="0.25">
      <c r="A287" s="28"/>
      <c r="B287" s="45" t="str">
        <f t="shared" si="12"/>
        <v>Sep-2023</v>
      </c>
      <c r="C287" s="57">
        <v>45177</v>
      </c>
      <c r="D287" s="43">
        <f t="shared" si="13"/>
        <v>935</v>
      </c>
      <c r="E287" s="76">
        <v>186</v>
      </c>
      <c r="F287" s="50">
        <v>188</v>
      </c>
      <c r="G287" s="49">
        <v>104009</v>
      </c>
      <c r="H287" s="73">
        <v>187</v>
      </c>
      <c r="I287" s="77">
        <v>188</v>
      </c>
      <c r="J287" s="73">
        <v>53018.420000000013</v>
      </c>
      <c r="K287" s="52">
        <v>4</v>
      </c>
      <c r="L287" s="51">
        <v>1390.22</v>
      </c>
      <c r="M287" s="77">
        <v>268</v>
      </c>
      <c r="N287" s="76">
        <v>65001.919999999998</v>
      </c>
      <c r="O287" s="75">
        <v>223</v>
      </c>
      <c r="P287" s="74">
        <v>11119.300000000007</v>
      </c>
      <c r="Q287" s="74">
        <v>720.65999999999963</v>
      </c>
      <c r="R287" s="53">
        <f t="shared" si="14"/>
        <v>5200.4500000000007</v>
      </c>
      <c r="S287" s="73">
        <v>53018.420000000013</v>
      </c>
    </row>
    <row r="288" spans="1:19" x14ac:dyDescent="0.25">
      <c r="A288" s="28"/>
      <c r="B288" s="45" t="str">
        <f t="shared" si="12"/>
        <v>Sep-2023</v>
      </c>
      <c r="C288" s="57">
        <v>45178</v>
      </c>
      <c r="D288" s="43">
        <f t="shared" si="13"/>
        <v>934</v>
      </c>
      <c r="E288" s="76">
        <v>210</v>
      </c>
      <c r="F288" s="50">
        <v>156</v>
      </c>
      <c r="G288" s="49">
        <v>91210</v>
      </c>
      <c r="H288" s="73">
        <v>156</v>
      </c>
      <c r="I288" s="77">
        <v>156</v>
      </c>
      <c r="J288" s="73">
        <v>34785.209999999992</v>
      </c>
      <c r="K288" s="52"/>
      <c r="L288" s="51"/>
      <c r="M288" s="77">
        <v>161</v>
      </c>
      <c r="N288" s="76">
        <v>69109.960000000006</v>
      </c>
      <c r="O288" s="75">
        <v>149</v>
      </c>
      <c r="P288" s="74">
        <v>7461.3100000000059</v>
      </c>
      <c r="Q288" s="74">
        <v>674.56999999999994</v>
      </c>
      <c r="R288" s="53">
        <f t="shared" si="14"/>
        <v>4560.5</v>
      </c>
      <c r="S288" s="73">
        <v>34785.209999999985</v>
      </c>
    </row>
    <row r="289" spans="1:19" x14ac:dyDescent="0.25">
      <c r="A289" s="28"/>
      <c r="B289" s="45" t="str">
        <f t="shared" si="12"/>
        <v>Sep-2023</v>
      </c>
      <c r="C289" s="57">
        <v>45179</v>
      </c>
      <c r="D289" s="43">
        <f t="shared" si="13"/>
        <v>933</v>
      </c>
      <c r="E289" s="76">
        <v>206</v>
      </c>
      <c r="F289" s="50">
        <v>144</v>
      </c>
      <c r="G289" s="49">
        <v>80930</v>
      </c>
      <c r="H289" s="73">
        <v>144</v>
      </c>
      <c r="I289" s="77">
        <v>144</v>
      </c>
      <c r="J289" s="73">
        <v>36156.999999999956</v>
      </c>
      <c r="K289" s="52">
        <v>6</v>
      </c>
      <c r="L289" s="51">
        <v>2507.81</v>
      </c>
      <c r="M289" s="77">
        <v>149</v>
      </c>
      <c r="N289" s="76">
        <v>53558.64</v>
      </c>
      <c r="O289" s="75">
        <v>133</v>
      </c>
      <c r="P289" s="74">
        <v>7766.8600000000006</v>
      </c>
      <c r="Q289" s="74">
        <v>658.07</v>
      </c>
      <c r="R289" s="53">
        <f t="shared" si="14"/>
        <v>4046.5</v>
      </c>
      <c r="S289" s="73">
        <v>36156.999999999956</v>
      </c>
    </row>
    <row r="290" spans="1:19" x14ac:dyDescent="0.25">
      <c r="A290" s="28"/>
      <c r="B290" s="45" t="str">
        <f t="shared" si="12"/>
        <v>Sep-2023</v>
      </c>
      <c r="C290" s="57">
        <v>45180</v>
      </c>
      <c r="D290" s="43">
        <f t="shared" si="13"/>
        <v>932</v>
      </c>
      <c r="E290" s="76">
        <v>235</v>
      </c>
      <c r="F290" s="50">
        <v>154</v>
      </c>
      <c r="G290" s="49">
        <v>86470</v>
      </c>
      <c r="H290" s="73">
        <v>154</v>
      </c>
      <c r="I290" s="77">
        <v>154</v>
      </c>
      <c r="J290" s="73">
        <v>48520.690000000046</v>
      </c>
      <c r="K290" s="52">
        <v>1</v>
      </c>
      <c r="L290" s="51">
        <v>500.11</v>
      </c>
      <c r="M290" s="77">
        <v>130</v>
      </c>
      <c r="N290" s="76">
        <v>48949.36</v>
      </c>
      <c r="O290" s="75">
        <v>115</v>
      </c>
      <c r="P290" s="74">
        <v>10285.210000000008</v>
      </c>
      <c r="Q290" s="74">
        <v>781.7399999999999</v>
      </c>
      <c r="R290" s="53">
        <f t="shared" si="14"/>
        <v>4323.5</v>
      </c>
      <c r="S290" s="73">
        <v>48520.690000000053</v>
      </c>
    </row>
    <row r="291" spans="1:19" x14ac:dyDescent="0.25">
      <c r="A291" s="28"/>
      <c r="B291" s="45" t="str">
        <f t="shared" si="12"/>
        <v>Sep-2023</v>
      </c>
      <c r="C291" s="57">
        <v>45181</v>
      </c>
      <c r="D291" s="43">
        <f t="shared" si="13"/>
        <v>931</v>
      </c>
      <c r="E291" s="76">
        <v>197</v>
      </c>
      <c r="F291" s="50">
        <v>217</v>
      </c>
      <c r="G291" s="49">
        <v>116170</v>
      </c>
      <c r="H291" s="73">
        <v>217</v>
      </c>
      <c r="I291" s="77">
        <v>217</v>
      </c>
      <c r="J291" s="73">
        <v>58845.979999999996</v>
      </c>
      <c r="K291" s="52">
        <v>5</v>
      </c>
      <c r="L291" s="51">
        <v>2065.2399999999998</v>
      </c>
      <c r="M291" s="77">
        <v>214</v>
      </c>
      <c r="N291" s="76">
        <v>70254.240000000005</v>
      </c>
      <c r="O291" s="75">
        <v>202</v>
      </c>
      <c r="P291" s="74">
        <v>12333.459999999997</v>
      </c>
      <c r="Q291" s="74">
        <v>900.74</v>
      </c>
      <c r="R291" s="53">
        <f t="shared" si="14"/>
        <v>5808.5</v>
      </c>
      <c r="S291" s="73">
        <v>58845.980000000112</v>
      </c>
    </row>
    <row r="292" spans="1:19" x14ac:dyDescent="0.25">
      <c r="A292" s="28"/>
      <c r="B292" s="45" t="str">
        <f t="shared" si="12"/>
        <v>Sep-2023</v>
      </c>
      <c r="C292" s="57">
        <v>45182</v>
      </c>
      <c r="D292" s="43">
        <f t="shared" si="13"/>
        <v>930</v>
      </c>
      <c r="E292" s="76">
        <v>236</v>
      </c>
      <c r="F292" s="50">
        <v>330</v>
      </c>
      <c r="G292" s="49">
        <v>200400</v>
      </c>
      <c r="H292" s="73">
        <v>330</v>
      </c>
      <c r="I292" s="77">
        <v>330</v>
      </c>
      <c r="J292" s="73">
        <v>75767.289999999994</v>
      </c>
      <c r="K292" s="52">
        <v>6</v>
      </c>
      <c r="L292" s="51">
        <v>808.15</v>
      </c>
      <c r="M292" s="77">
        <v>364</v>
      </c>
      <c r="N292" s="76">
        <v>145226.26999999999</v>
      </c>
      <c r="O292" s="75">
        <v>325</v>
      </c>
      <c r="P292" s="74">
        <v>16133.849999999993</v>
      </c>
      <c r="Q292" s="74">
        <v>1344.9600000000003</v>
      </c>
      <c r="R292" s="53">
        <f t="shared" si="14"/>
        <v>10020</v>
      </c>
      <c r="S292" s="73">
        <v>75767.290000000008</v>
      </c>
    </row>
    <row r="293" spans="1:19" x14ac:dyDescent="0.25">
      <c r="A293" s="28"/>
      <c r="B293" s="45" t="str">
        <f t="shared" si="12"/>
        <v>Sep-2023</v>
      </c>
      <c r="C293" s="57">
        <v>45183</v>
      </c>
      <c r="D293" s="43">
        <f t="shared" si="13"/>
        <v>929</v>
      </c>
      <c r="E293" s="76">
        <v>227</v>
      </c>
      <c r="F293" s="50">
        <v>194</v>
      </c>
      <c r="G293" s="49">
        <v>102800</v>
      </c>
      <c r="H293" s="73">
        <v>194</v>
      </c>
      <c r="I293" s="77">
        <v>194</v>
      </c>
      <c r="J293" s="73">
        <v>50992.950000000063</v>
      </c>
      <c r="K293" s="52"/>
      <c r="L293" s="51"/>
      <c r="M293" s="77">
        <v>177</v>
      </c>
      <c r="N293" s="76">
        <v>64587.55</v>
      </c>
      <c r="O293" s="75">
        <v>169</v>
      </c>
      <c r="P293" s="74">
        <v>10883.739999999998</v>
      </c>
      <c r="Q293" s="74">
        <v>911.85</v>
      </c>
      <c r="R293" s="53">
        <f t="shared" si="14"/>
        <v>5140</v>
      </c>
      <c r="S293" s="73">
        <v>50992.95000000007</v>
      </c>
    </row>
    <row r="294" spans="1:19" x14ac:dyDescent="0.25">
      <c r="A294" s="28"/>
      <c r="B294" s="45" t="str">
        <f t="shared" si="12"/>
        <v>Sep-2023</v>
      </c>
      <c r="C294" s="57">
        <v>45184</v>
      </c>
      <c r="D294" s="43">
        <f t="shared" si="13"/>
        <v>928</v>
      </c>
      <c r="E294" s="76">
        <v>217</v>
      </c>
      <c r="F294" s="50">
        <v>177</v>
      </c>
      <c r="G294" s="49">
        <v>98814</v>
      </c>
      <c r="H294" s="73">
        <v>177</v>
      </c>
      <c r="I294" s="77">
        <v>177</v>
      </c>
      <c r="J294" s="73">
        <v>46159.379999999961</v>
      </c>
      <c r="K294" s="52">
        <v>4</v>
      </c>
      <c r="L294" s="51">
        <v>1340.22</v>
      </c>
      <c r="M294" s="77">
        <v>163</v>
      </c>
      <c r="N294" s="76">
        <v>63603.95</v>
      </c>
      <c r="O294" s="75">
        <v>151</v>
      </c>
      <c r="P294" s="74">
        <v>9667.4800000000087</v>
      </c>
      <c r="Q294" s="74">
        <v>718.7399999999999</v>
      </c>
      <c r="R294" s="53">
        <f t="shared" si="14"/>
        <v>4940.7000000000007</v>
      </c>
      <c r="S294" s="73">
        <v>46159.379999999954</v>
      </c>
    </row>
    <row r="295" spans="1:19" x14ac:dyDescent="0.25">
      <c r="A295" s="28"/>
      <c r="B295" s="45" t="str">
        <f t="shared" si="12"/>
        <v>Sep-2023</v>
      </c>
      <c r="C295" s="57">
        <v>45185</v>
      </c>
      <c r="D295" s="43">
        <f t="shared" si="13"/>
        <v>927</v>
      </c>
      <c r="E295" s="76">
        <v>190</v>
      </c>
      <c r="F295" s="50">
        <v>160</v>
      </c>
      <c r="G295" s="49">
        <v>85210</v>
      </c>
      <c r="H295" s="73">
        <v>160</v>
      </c>
      <c r="I295" s="77">
        <v>160</v>
      </c>
      <c r="J295" s="73">
        <v>43258.789999999964</v>
      </c>
      <c r="K295" s="52">
        <v>1</v>
      </c>
      <c r="L295" s="51">
        <v>100.02</v>
      </c>
      <c r="M295" s="77">
        <v>149</v>
      </c>
      <c r="N295" s="76">
        <v>53201.46</v>
      </c>
      <c r="O295" s="75">
        <v>139</v>
      </c>
      <c r="P295" s="74">
        <v>8912.0900000000165</v>
      </c>
      <c r="Q295" s="74">
        <v>453.96000000000009</v>
      </c>
      <c r="R295" s="53">
        <f t="shared" si="14"/>
        <v>4260.5</v>
      </c>
      <c r="S295" s="73">
        <v>43258.789999999972</v>
      </c>
    </row>
    <row r="296" spans="1:19" x14ac:dyDescent="0.25">
      <c r="A296" s="28"/>
      <c r="B296" s="45" t="str">
        <f t="shared" si="12"/>
        <v>Sep-2023</v>
      </c>
      <c r="C296" s="57">
        <v>45186</v>
      </c>
      <c r="D296" s="43">
        <f t="shared" si="13"/>
        <v>926</v>
      </c>
      <c r="E296" s="76">
        <v>191</v>
      </c>
      <c r="F296" s="50">
        <v>251</v>
      </c>
      <c r="G296" s="49">
        <v>150970</v>
      </c>
      <c r="H296" s="73">
        <v>251</v>
      </c>
      <c r="I296" s="77">
        <v>251</v>
      </c>
      <c r="J296" s="73">
        <v>53035.46</v>
      </c>
      <c r="K296" s="52">
        <v>3</v>
      </c>
      <c r="L296" s="51">
        <v>807.11</v>
      </c>
      <c r="M296" s="77">
        <v>356</v>
      </c>
      <c r="N296" s="76">
        <v>116543.01</v>
      </c>
      <c r="O296" s="75">
        <v>317</v>
      </c>
      <c r="P296" s="74">
        <v>11409.410000000007</v>
      </c>
      <c r="Q296" s="74">
        <v>1140.7299999999998</v>
      </c>
      <c r="R296" s="53">
        <f t="shared" si="14"/>
        <v>7548.5</v>
      </c>
      <c r="S296" s="73">
        <v>53035.460000000021</v>
      </c>
    </row>
    <row r="297" spans="1:19" x14ac:dyDescent="0.25">
      <c r="A297" s="28"/>
      <c r="B297" s="45" t="str">
        <f t="shared" si="12"/>
        <v>Sep-2023</v>
      </c>
      <c r="C297" s="57">
        <v>45187</v>
      </c>
      <c r="D297" s="43">
        <f t="shared" si="13"/>
        <v>925</v>
      </c>
      <c r="E297" s="76">
        <v>2</v>
      </c>
      <c r="F297" s="50">
        <v>2</v>
      </c>
      <c r="G297" s="49">
        <v>1000</v>
      </c>
      <c r="H297" s="73">
        <v>2</v>
      </c>
      <c r="I297" s="77">
        <v>2</v>
      </c>
      <c r="J297" s="73">
        <v>621.38</v>
      </c>
      <c r="K297" s="52"/>
      <c r="L297" s="51"/>
      <c r="M297" s="77">
        <v>1</v>
      </c>
      <c r="N297" s="76">
        <v>503.08</v>
      </c>
      <c r="O297" s="75">
        <v>1</v>
      </c>
      <c r="P297" s="74">
        <v>124.46000000000001</v>
      </c>
      <c r="Q297" s="74">
        <v>3.08</v>
      </c>
      <c r="R297" s="53">
        <f t="shared" si="14"/>
        <v>50</v>
      </c>
      <c r="S297" s="73">
        <v>621.38</v>
      </c>
    </row>
    <row r="298" spans="1:19" x14ac:dyDescent="0.25">
      <c r="A298" s="28"/>
      <c r="B298" s="45" t="str">
        <f t="shared" si="12"/>
        <v>Sep-2023</v>
      </c>
      <c r="C298" s="57">
        <v>45188</v>
      </c>
      <c r="D298" s="43">
        <f t="shared" si="13"/>
        <v>924</v>
      </c>
      <c r="E298" s="76">
        <v>2</v>
      </c>
      <c r="F298" s="50">
        <v>3</v>
      </c>
      <c r="G298" s="49">
        <v>1500</v>
      </c>
      <c r="H298" s="73">
        <v>3</v>
      </c>
      <c r="I298" s="77">
        <v>3</v>
      </c>
      <c r="J298" s="73">
        <v>621.25</v>
      </c>
      <c r="K298" s="52"/>
      <c r="L298" s="51"/>
      <c r="M298" s="77">
        <v>11</v>
      </c>
      <c r="N298" s="76">
        <v>1226.27</v>
      </c>
      <c r="O298" s="75">
        <v>8</v>
      </c>
      <c r="P298" s="74">
        <v>131.51999999999998</v>
      </c>
      <c r="Q298" s="74">
        <v>10.27</v>
      </c>
      <c r="R298" s="53">
        <f t="shared" si="14"/>
        <v>75</v>
      </c>
      <c r="S298" s="73">
        <v>621.25</v>
      </c>
    </row>
    <row r="299" spans="1:19" x14ac:dyDescent="0.25">
      <c r="A299" s="28"/>
      <c r="B299" s="45" t="str">
        <f t="shared" si="12"/>
        <v>Sep-2023</v>
      </c>
      <c r="C299" s="57">
        <v>45189</v>
      </c>
      <c r="D299" s="43">
        <f t="shared" si="13"/>
        <v>923</v>
      </c>
      <c r="E299" s="76">
        <v>162</v>
      </c>
      <c r="F299" s="50">
        <v>179</v>
      </c>
      <c r="G299" s="49">
        <v>103070</v>
      </c>
      <c r="H299" s="73">
        <v>178</v>
      </c>
      <c r="I299" s="77">
        <v>179</v>
      </c>
      <c r="J299" s="73">
        <v>38447.46</v>
      </c>
      <c r="K299" s="52">
        <v>4</v>
      </c>
      <c r="L299" s="51">
        <v>1065.1100000000001</v>
      </c>
      <c r="M299" s="77">
        <v>215</v>
      </c>
      <c r="N299" s="76">
        <v>78640.59</v>
      </c>
      <c r="O299" s="75">
        <v>195</v>
      </c>
      <c r="P299" s="74">
        <v>8486.1899999999932</v>
      </c>
      <c r="Q299" s="74">
        <v>1044.6099999999999</v>
      </c>
      <c r="R299" s="53">
        <f t="shared" si="14"/>
        <v>5153.5</v>
      </c>
      <c r="S299" s="73">
        <v>38447.460000000006</v>
      </c>
    </row>
    <row r="300" spans="1:19" x14ac:dyDescent="0.25">
      <c r="A300" s="28"/>
      <c r="B300" s="45" t="str">
        <f t="shared" si="12"/>
        <v>Sep-2023</v>
      </c>
      <c r="C300" s="57">
        <v>45190</v>
      </c>
      <c r="D300" s="43">
        <f t="shared" si="13"/>
        <v>922</v>
      </c>
      <c r="E300" s="76">
        <v>235</v>
      </c>
      <c r="F300" s="50">
        <v>209</v>
      </c>
      <c r="G300" s="49">
        <v>114510</v>
      </c>
      <c r="H300" s="73">
        <v>209</v>
      </c>
      <c r="I300" s="77">
        <v>209</v>
      </c>
      <c r="J300" s="73">
        <v>52356.059999999983</v>
      </c>
      <c r="K300" s="52">
        <v>9</v>
      </c>
      <c r="L300" s="51">
        <v>2513.33</v>
      </c>
      <c r="M300" s="77">
        <v>183</v>
      </c>
      <c r="N300" s="76">
        <v>77622.84</v>
      </c>
      <c r="O300" s="75">
        <v>171</v>
      </c>
      <c r="P300" s="74">
        <v>11038.530000000006</v>
      </c>
      <c r="Q300" s="74">
        <v>929.07</v>
      </c>
      <c r="R300" s="53">
        <f t="shared" si="14"/>
        <v>5725.5</v>
      </c>
      <c r="S300" s="73">
        <v>52356.05999999999</v>
      </c>
    </row>
    <row r="301" spans="1:19" x14ac:dyDescent="0.25">
      <c r="A301" s="28"/>
      <c r="B301" s="45" t="str">
        <f t="shared" si="12"/>
        <v>Sep-2023</v>
      </c>
      <c r="C301" s="57">
        <v>45191</v>
      </c>
      <c r="D301" s="43">
        <f t="shared" si="13"/>
        <v>921</v>
      </c>
      <c r="E301" s="76">
        <v>253</v>
      </c>
      <c r="F301" s="50">
        <v>165</v>
      </c>
      <c r="G301" s="49">
        <v>95900</v>
      </c>
      <c r="H301" s="73">
        <v>165</v>
      </c>
      <c r="I301" s="77">
        <v>165</v>
      </c>
      <c r="J301" s="73">
        <v>44714.480000000025</v>
      </c>
      <c r="K301" s="52">
        <v>1</v>
      </c>
      <c r="L301" s="51">
        <v>200</v>
      </c>
      <c r="M301" s="77">
        <v>157</v>
      </c>
      <c r="N301" s="76">
        <v>63908.4</v>
      </c>
      <c r="O301" s="75">
        <v>145</v>
      </c>
      <c r="P301" s="74">
        <v>9339.3599999999951</v>
      </c>
      <c r="Q301" s="74">
        <v>702.40999999999974</v>
      </c>
      <c r="R301" s="53">
        <f t="shared" si="14"/>
        <v>4795</v>
      </c>
      <c r="S301" s="73">
        <v>44714.480000000032</v>
      </c>
    </row>
    <row r="302" spans="1:19" x14ac:dyDescent="0.25">
      <c r="A302" s="28"/>
      <c r="B302" s="45" t="str">
        <f t="shared" si="12"/>
        <v>Sep-2023</v>
      </c>
      <c r="C302" s="57">
        <v>45192</v>
      </c>
      <c r="D302" s="43">
        <f t="shared" si="13"/>
        <v>920</v>
      </c>
      <c r="E302" s="76">
        <v>183</v>
      </c>
      <c r="F302" s="50">
        <v>160</v>
      </c>
      <c r="G302" s="49">
        <v>91040</v>
      </c>
      <c r="H302" s="73">
        <v>159</v>
      </c>
      <c r="I302" s="77">
        <v>160</v>
      </c>
      <c r="J302" s="73">
        <v>29793.25999999998</v>
      </c>
      <c r="K302" s="52">
        <v>7</v>
      </c>
      <c r="L302" s="51">
        <v>1230.1100000000001</v>
      </c>
      <c r="M302" s="77">
        <v>182</v>
      </c>
      <c r="N302" s="76">
        <v>73218.850000000006</v>
      </c>
      <c r="O302" s="75">
        <v>171</v>
      </c>
      <c r="P302" s="74">
        <v>6574.9099999999989</v>
      </c>
      <c r="Q302" s="74">
        <v>771.75999999999965</v>
      </c>
      <c r="R302" s="53">
        <f t="shared" si="14"/>
        <v>4552</v>
      </c>
      <c r="S302" s="73">
        <v>29793.259999999984</v>
      </c>
    </row>
    <row r="303" spans="1:19" x14ac:dyDescent="0.25">
      <c r="A303" s="28"/>
      <c r="B303" s="45" t="str">
        <f t="shared" si="12"/>
        <v>Sep-2023</v>
      </c>
      <c r="C303" s="57">
        <v>45193</v>
      </c>
      <c r="D303" s="43">
        <f t="shared" si="13"/>
        <v>919</v>
      </c>
      <c r="E303" s="76">
        <v>205</v>
      </c>
      <c r="F303" s="50">
        <v>162</v>
      </c>
      <c r="G303" s="49">
        <v>90150</v>
      </c>
      <c r="H303" s="73">
        <v>161</v>
      </c>
      <c r="I303" s="77">
        <v>162</v>
      </c>
      <c r="J303" s="73">
        <v>39250.929999999957</v>
      </c>
      <c r="K303" s="52">
        <v>2</v>
      </c>
      <c r="L303" s="51">
        <v>100.72</v>
      </c>
      <c r="M303" s="77">
        <v>155</v>
      </c>
      <c r="N303" s="76">
        <v>62205.43</v>
      </c>
      <c r="O303" s="75">
        <v>150</v>
      </c>
      <c r="P303" s="74">
        <v>8171.0700000000024</v>
      </c>
      <c r="Q303" s="74">
        <v>609.77999999999986</v>
      </c>
      <c r="R303" s="53">
        <f t="shared" si="14"/>
        <v>4507.5</v>
      </c>
      <c r="S303" s="73">
        <v>39250.929999999957</v>
      </c>
    </row>
    <row r="304" spans="1:19" x14ac:dyDescent="0.25">
      <c r="A304" s="28"/>
      <c r="B304" s="45" t="str">
        <f t="shared" si="12"/>
        <v>Sep-2023</v>
      </c>
      <c r="C304" s="57">
        <v>45194</v>
      </c>
      <c r="D304" s="43">
        <f t="shared" si="13"/>
        <v>918</v>
      </c>
      <c r="E304" s="76">
        <v>252</v>
      </c>
      <c r="F304" s="50">
        <v>136</v>
      </c>
      <c r="G304" s="49">
        <v>76530</v>
      </c>
      <c r="H304" s="73">
        <v>136</v>
      </c>
      <c r="I304" s="77">
        <v>136</v>
      </c>
      <c r="J304" s="73">
        <v>35602.750000000022</v>
      </c>
      <c r="K304" s="52">
        <v>4</v>
      </c>
      <c r="L304" s="51">
        <v>562.75</v>
      </c>
      <c r="M304" s="77">
        <v>124</v>
      </c>
      <c r="N304" s="76">
        <v>52285.23</v>
      </c>
      <c r="O304" s="75">
        <v>116</v>
      </c>
      <c r="P304" s="74">
        <v>7515.6299999999992</v>
      </c>
      <c r="Q304" s="74">
        <v>697.15</v>
      </c>
      <c r="R304" s="53">
        <f t="shared" si="14"/>
        <v>3826.5</v>
      </c>
      <c r="S304" s="73">
        <v>35602.750000000029</v>
      </c>
    </row>
    <row r="305" spans="1:19" x14ac:dyDescent="0.25">
      <c r="A305" s="28"/>
      <c r="B305" s="45" t="str">
        <f t="shared" si="12"/>
        <v>Sep-2023</v>
      </c>
      <c r="C305" s="57">
        <v>45195</v>
      </c>
      <c r="D305" s="43">
        <f t="shared" si="13"/>
        <v>917</v>
      </c>
      <c r="E305" s="76">
        <v>175</v>
      </c>
      <c r="F305" s="50">
        <v>139</v>
      </c>
      <c r="G305" s="49">
        <v>75955</v>
      </c>
      <c r="H305" s="73">
        <v>139</v>
      </c>
      <c r="I305" s="77">
        <v>139</v>
      </c>
      <c r="J305" s="73">
        <v>36302.819999999992</v>
      </c>
      <c r="K305" s="52">
        <v>4</v>
      </c>
      <c r="L305" s="51">
        <v>865.12</v>
      </c>
      <c r="M305" s="77">
        <v>130</v>
      </c>
      <c r="N305" s="76">
        <v>50592.82</v>
      </c>
      <c r="O305" s="75">
        <v>120</v>
      </c>
      <c r="P305" s="74">
        <v>7435.6800000000048</v>
      </c>
      <c r="Q305" s="74">
        <v>410.43</v>
      </c>
      <c r="R305" s="53">
        <f t="shared" si="14"/>
        <v>3797.75</v>
      </c>
      <c r="S305" s="73">
        <v>36302.819999999985</v>
      </c>
    </row>
    <row r="306" spans="1:19" x14ac:dyDescent="0.25">
      <c r="A306" s="28"/>
      <c r="B306" s="45" t="str">
        <f t="shared" si="12"/>
        <v>Sep-2023</v>
      </c>
      <c r="C306" s="57">
        <v>45196</v>
      </c>
      <c r="D306" s="43">
        <f t="shared" si="13"/>
        <v>916</v>
      </c>
      <c r="E306" s="76">
        <v>168</v>
      </c>
      <c r="F306" s="50">
        <v>154</v>
      </c>
      <c r="G306" s="49">
        <v>83540</v>
      </c>
      <c r="H306" s="73">
        <v>153</v>
      </c>
      <c r="I306" s="77">
        <v>154</v>
      </c>
      <c r="J306" s="73">
        <v>42042.069999999963</v>
      </c>
      <c r="K306" s="52">
        <v>1</v>
      </c>
      <c r="L306" s="51">
        <v>50.01</v>
      </c>
      <c r="M306" s="77">
        <v>127</v>
      </c>
      <c r="N306" s="76">
        <v>51966.74</v>
      </c>
      <c r="O306" s="75">
        <v>118</v>
      </c>
      <c r="P306" s="74">
        <v>8608.7500000000018</v>
      </c>
      <c r="Q306" s="74">
        <v>542.82000000000005</v>
      </c>
      <c r="R306" s="53">
        <f t="shared" si="14"/>
        <v>4177</v>
      </c>
      <c r="S306" s="73">
        <v>42042.069999999971</v>
      </c>
    </row>
    <row r="307" spans="1:19" x14ac:dyDescent="0.25">
      <c r="A307" s="28"/>
      <c r="B307" s="45" t="str">
        <f t="shared" si="12"/>
        <v>Sep-2023</v>
      </c>
      <c r="C307" s="57">
        <v>45197</v>
      </c>
      <c r="D307" s="43">
        <f t="shared" si="13"/>
        <v>915</v>
      </c>
      <c r="E307" s="76">
        <v>111</v>
      </c>
      <c r="F307" s="50">
        <v>77</v>
      </c>
      <c r="G307" s="49">
        <v>42990</v>
      </c>
      <c r="H307" s="73">
        <v>77</v>
      </c>
      <c r="I307" s="77">
        <v>77</v>
      </c>
      <c r="J307" s="73">
        <v>19124.990000000005</v>
      </c>
      <c r="K307" s="52">
        <v>2</v>
      </c>
      <c r="L307" s="51">
        <v>123</v>
      </c>
      <c r="M307" s="77">
        <v>73</v>
      </c>
      <c r="N307" s="76">
        <v>30671.53</v>
      </c>
      <c r="O307" s="75">
        <v>69</v>
      </c>
      <c r="P307" s="74">
        <v>4097.28</v>
      </c>
      <c r="Q307" s="74">
        <v>394.23999999999995</v>
      </c>
      <c r="R307" s="53">
        <f t="shared" si="14"/>
        <v>2149.5</v>
      </c>
      <c r="S307" s="73">
        <v>19124.990000000005</v>
      </c>
    </row>
    <row r="308" spans="1:19" x14ac:dyDescent="0.25">
      <c r="A308" s="28"/>
      <c r="B308" s="45" t="str">
        <f t="shared" si="12"/>
        <v>Sep-2023</v>
      </c>
      <c r="C308" s="57">
        <v>45198</v>
      </c>
      <c r="D308" s="43">
        <f t="shared" si="13"/>
        <v>914</v>
      </c>
      <c r="E308" s="76">
        <v>155</v>
      </c>
      <c r="F308" s="50">
        <v>117</v>
      </c>
      <c r="G308" s="49">
        <v>67790</v>
      </c>
      <c r="H308" s="73">
        <v>117</v>
      </c>
      <c r="I308" s="77">
        <v>117</v>
      </c>
      <c r="J308" s="73">
        <v>27841.070000000014</v>
      </c>
      <c r="K308" s="52">
        <v>1</v>
      </c>
      <c r="L308" s="51">
        <v>25.11</v>
      </c>
      <c r="M308" s="77">
        <v>105</v>
      </c>
      <c r="N308" s="76">
        <v>48294.93</v>
      </c>
      <c r="O308" s="75">
        <v>97</v>
      </c>
      <c r="P308" s="74">
        <v>5767.5699999999988</v>
      </c>
      <c r="Q308" s="74">
        <v>387.78000000000003</v>
      </c>
      <c r="R308" s="53">
        <f t="shared" si="14"/>
        <v>3389.5</v>
      </c>
      <c r="S308" s="73">
        <v>27841.070000000014</v>
      </c>
    </row>
    <row r="309" spans="1:19" x14ac:dyDescent="0.25">
      <c r="A309" s="28"/>
      <c r="B309" s="45" t="str">
        <f t="shared" si="12"/>
        <v>Sep-2023</v>
      </c>
      <c r="C309" s="57">
        <v>45199</v>
      </c>
      <c r="D309" s="43">
        <f t="shared" si="13"/>
        <v>913</v>
      </c>
      <c r="E309" s="76">
        <v>158</v>
      </c>
      <c r="F309" s="50">
        <v>128</v>
      </c>
      <c r="G309" s="49">
        <v>70965</v>
      </c>
      <c r="H309" s="73">
        <v>128</v>
      </c>
      <c r="I309" s="77">
        <v>128</v>
      </c>
      <c r="J309" s="73">
        <v>31902.76999999999</v>
      </c>
      <c r="K309" s="52">
        <v>2</v>
      </c>
      <c r="L309" s="51">
        <v>660.11</v>
      </c>
      <c r="M309" s="77">
        <v>121</v>
      </c>
      <c r="N309" s="76">
        <v>47712</v>
      </c>
      <c r="O309" s="75">
        <v>113</v>
      </c>
      <c r="P309" s="74">
        <v>6625.2899999999981</v>
      </c>
      <c r="Q309" s="74">
        <v>480.93</v>
      </c>
      <c r="R309" s="53">
        <f t="shared" si="14"/>
        <v>3548.25</v>
      </c>
      <c r="S309" s="73">
        <v>31902.76999999999</v>
      </c>
    </row>
    <row r="310" spans="1:19" x14ac:dyDescent="0.25">
      <c r="A310" s="28"/>
      <c r="B310" s="45" t="str">
        <f t="shared" si="12"/>
        <v>Oct-2023</v>
      </c>
      <c r="C310" s="57">
        <v>45200</v>
      </c>
      <c r="D310" s="43">
        <f t="shared" si="13"/>
        <v>912</v>
      </c>
      <c r="E310" s="76">
        <v>151</v>
      </c>
      <c r="F310" s="50">
        <v>99</v>
      </c>
      <c r="G310" s="49">
        <v>53100</v>
      </c>
      <c r="H310" s="73">
        <v>99</v>
      </c>
      <c r="I310" s="77">
        <v>99</v>
      </c>
      <c r="J310" s="73">
        <v>33903.619999999981</v>
      </c>
      <c r="K310" s="52"/>
      <c r="L310" s="51"/>
      <c r="M310" s="77">
        <v>137</v>
      </c>
      <c r="N310" s="76">
        <v>31926.1</v>
      </c>
      <c r="O310" s="75">
        <v>109</v>
      </c>
      <c r="P310" s="74">
        <v>6999.7199999999984</v>
      </c>
      <c r="Q310" s="74">
        <v>475.85999999999973</v>
      </c>
      <c r="R310" s="53">
        <f t="shared" si="14"/>
        <v>2655</v>
      </c>
      <c r="S310" s="73">
        <v>33903.619999999981</v>
      </c>
    </row>
    <row r="311" spans="1:19" x14ac:dyDescent="0.25">
      <c r="A311" s="28"/>
      <c r="B311" s="45" t="str">
        <f t="shared" si="12"/>
        <v>Oct-2023</v>
      </c>
      <c r="C311" s="57">
        <v>45201</v>
      </c>
      <c r="D311" s="43">
        <f t="shared" si="13"/>
        <v>911</v>
      </c>
      <c r="E311" s="76">
        <v>137</v>
      </c>
      <c r="F311" s="50">
        <v>95</v>
      </c>
      <c r="G311" s="49">
        <v>51015</v>
      </c>
      <c r="H311" s="73">
        <v>95</v>
      </c>
      <c r="I311" s="77">
        <v>95</v>
      </c>
      <c r="J311" s="73">
        <v>36937.310000000005</v>
      </c>
      <c r="K311" s="52"/>
      <c r="L311" s="51"/>
      <c r="M311" s="77">
        <v>109</v>
      </c>
      <c r="N311" s="76">
        <v>26290.01</v>
      </c>
      <c r="O311" s="75">
        <v>92</v>
      </c>
      <c r="P311" s="74">
        <v>7566.4500000000089</v>
      </c>
      <c r="Q311" s="74">
        <v>450.34</v>
      </c>
      <c r="R311" s="53">
        <f t="shared" si="14"/>
        <v>2550.75</v>
      </c>
      <c r="S311" s="73">
        <v>36937.30999999999</v>
      </c>
    </row>
    <row r="312" spans="1:19" x14ac:dyDescent="0.25">
      <c r="A312" s="28"/>
      <c r="B312" s="45" t="str">
        <f t="shared" si="12"/>
        <v>Oct-2023</v>
      </c>
      <c r="C312" s="57">
        <v>45202</v>
      </c>
      <c r="D312" s="43">
        <f t="shared" si="13"/>
        <v>910</v>
      </c>
      <c r="E312" s="76">
        <v>135</v>
      </c>
      <c r="F312" s="50">
        <v>79</v>
      </c>
      <c r="G312" s="49">
        <v>42100</v>
      </c>
      <c r="H312" s="73">
        <v>79</v>
      </c>
      <c r="I312" s="77">
        <v>79</v>
      </c>
      <c r="J312" s="73">
        <v>23612.810000000009</v>
      </c>
      <c r="K312" s="52">
        <v>3</v>
      </c>
      <c r="L312" s="51">
        <v>900.18999999999994</v>
      </c>
      <c r="M312" s="77">
        <v>72</v>
      </c>
      <c r="N312" s="76">
        <v>24173.95</v>
      </c>
      <c r="O312" s="75">
        <v>61</v>
      </c>
      <c r="P312" s="74">
        <v>4877.7699999999932</v>
      </c>
      <c r="Q312" s="74">
        <v>327.19</v>
      </c>
      <c r="R312" s="53">
        <f t="shared" si="14"/>
        <v>2105</v>
      </c>
      <c r="S312" s="73">
        <v>23612.810000000009</v>
      </c>
    </row>
    <row r="313" spans="1:19" x14ac:dyDescent="0.25">
      <c r="A313" s="28"/>
      <c r="B313" s="45" t="str">
        <f t="shared" si="12"/>
        <v>Oct-2023</v>
      </c>
      <c r="C313" s="57">
        <v>45203</v>
      </c>
      <c r="D313" s="43">
        <f t="shared" si="13"/>
        <v>909</v>
      </c>
      <c r="E313" s="76">
        <v>131</v>
      </c>
      <c r="F313" s="50">
        <v>87</v>
      </c>
      <c r="G313" s="49">
        <v>46290</v>
      </c>
      <c r="H313" s="73">
        <v>87</v>
      </c>
      <c r="I313" s="77">
        <v>87</v>
      </c>
      <c r="J313" s="73">
        <v>28181.199999999979</v>
      </c>
      <c r="K313" s="52">
        <v>1</v>
      </c>
      <c r="L313" s="51">
        <v>477</v>
      </c>
      <c r="M313" s="77">
        <v>93</v>
      </c>
      <c r="N313" s="76">
        <v>24259.93</v>
      </c>
      <c r="O313" s="75">
        <v>84</v>
      </c>
      <c r="P313" s="74">
        <v>5584.8300000000036</v>
      </c>
      <c r="Q313" s="74">
        <v>162.44999999999996</v>
      </c>
      <c r="R313" s="53">
        <f t="shared" si="14"/>
        <v>2314.5</v>
      </c>
      <c r="S313" s="73">
        <v>28181.199999999979</v>
      </c>
    </row>
    <row r="314" spans="1:19" x14ac:dyDescent="0.25">
      <c r="A314" s="28"/>
      <c r="B314" s="45" t="str">
        <f t="shared" si="12"/>
        <v>Oct-2023</v>
      </c>
      <c r="C314" s="57">
        <v>45204</v>
      </c>
      <c r="D314" s="43">
        <f t="shared" si="13"/>
        <v>908</v>
      </c>
      <c r="E314" s="76">
        <v>123</v>
      </c>
      <c r="F314" s="50">
        <v>76</v>
      </c>
      <c r="G314" s="49">
        <v>39785</v>
      </c>
      <c r="H314" s="73">
        <v>76</v>
      </c>
      <c r="I314" s="77">
        <v>76</v>
      </c>
      <c r="J314" s="73">
        <v>23737.699999999983</v>
      </c>
      <c r="K314" s="52">
        <v>1</v>
      </c>
      <c r="L314" s="51">
        <v>500.11</v>
      </c>
      <c r="M314" s="77">
        <v>59</v>
      </c>
      <c r="N314" s="76">
        <v>21622.05</v>
      </c>
      <c r="O314" s="75">
        <v>59</v>
      </c>
      <c r="P314" s="74">
        <v>4990.8599999999997</v>
      </c>
      <c r="Q314" s="74">
        <v>466.65</v>
      </c>
      <c r="R314" s="53">
        <f t="shared" si="14"/>
        <v>1989.25</v>
      </c>
      <c r="S314" s="73">
        <v>23737.699999999983</v>
      </c>
    </row>
    <row r="315" spans="1:19" x14ac:dyDescent="0.25">
      <c r="A315" s="28"/>
      <c r="B315" s="45" t="str">
        <f t="shared" si="12"/>
        <v>Oct-2023</v>
      </c>
      <c r="C315" s="57">
        <v>45205</v>
      </c>
      <c r="D315" s="43">
        <f t="shared" si="13"/>
        <v>907</v>
      </c>
      <c r="E315" s="76">
        <v>125</v>
      </c>
      <c r="F315" s="50">
        <v>76</v>
      </c>
      <c r="G315" s="49">
        <v>39850</v>
      </c>
      <c r="H315" s="73">
        <v>76</v>
      </c>
      <c r="I315" s="77">
        <v>76</v>
      </c>
      <c r="J315" s="73">
        <v>24784.070000000018</v>
      </c>
      <c r="K315" s="52">
        <v>1</v>
      </c>
      <c r="L315" s="51">
        <v>500.11</v>
      </c>
      <c r="M315" s="77">
        <v>56</v>
      </c>
      <c r="N315" s="76">
        <v>22256.27</v>
      </c>
      <c r="O315" s="75">
        <v>50</v>
      </c>
      <c r="P315" s="74">
        <v>5165.4100000000008</v>
      </c>
      <c r="Q315" s="74">
        <v>412.84000000000003</v>
      </c>
      <c r="R315" s="53">
        <f t="shared" si="14"/>
        <v>1992.5</v>
      </c>
      <c r="S315" s="73">
        <v>24784.070000000018</v>
      </c>
    </row>
    <row r="316" spans="1:19" x14ac:dyDescent="0.25">
      <c r="A316" s="28"/>
      <c r="B316" s="45" t="str">
        <f t="shared" si="12"/>
        <v>Oct-2023</v>
      </c>
      <c r="C316" s="57">
        <v>45206</v>
      </c>
      <c r="D316" s="43">
        <f t="shared" si="13"/>
        <v>906</v>
      </c>
      <c r="E316" s="76">
        <v>110</v>
      </c>
      <c r="F316" s="50">
        <v>71</v>
      </c>
      <c r="G316" s="49">
        <v>38450</v>
      </c>
      <c r="H316" s="73">
        <v>71</v>
      </c>
      <c r="I316" s="77">
        <v>71</v>
      </c>
      <c r="J316" s="73">
        <v>26966.339999999997</v>
      </c>
      <c r="K316" s="52">
        <v>1</v>
      </c>
      <c r="L316" s="51">
        <v>500.11</v>
      </c>
      <c r="M316" s="77">
        <v>42</v>
      </c>
      <c r="N316" s="76">
        <v>17313.599999999999</v>
      </c>
      <c r="O316" s="75">
        <v>40</v>
      </c>
      <c r="P316" s="74">
        <v>5322.0599999999995</v>
      </c>
      <c r="Q316" s="74">
        <v>155.72</v>
      </c>
      <c r="R316" s="53">
        <f t="shared" si="14"/>
        <v>1922.5</v>
      </c>
      <c r="S316" s="73">
        <v>26966.34</v>
      </c>
    </row>
    <row r="317" spans="1:19" x14ac:dyDescent="0.25">
      <c r="A317" s="28"/>
      <c r="B317" s="45" t="str">
        <f t="shared" si="12"/>
        <v>Oct-2023</v>
      </c>
      <c r="C317" s="57">
        <v>45207</v>
      </c>
      <c r="D317" s="43">
        <f t="shared" si="13"/>
        <v>905</v>
      </c>
      <c r="E317" s="76">
        <v>115</v>
      </c>
      <c r="F317" s="50">
        <v>42</v>
      </c>
      <c r="G317" s="49">
        <v>20810</v>
      </c>
      <c r="H317" s="73">
        <v>42</v>
      </c>
      <c r="I317" s="77">
        <v>42</v>
      </c>
      <c r="J317" s="73">
        <v>16527.610000000004</v>
      </c>
      <c r="K317" s="52">
        <v>3</v>
      </c>
      <c r="L317" s="51">
        <v>89</v>
      </c>
      <c r="M317" s="77">
        <v>25</v>
      </c>
      <c r="N317" s="76">
        <v>8124.49</v>
      </c>
      <c r="O317" s="75">
        <v>23</v>
      </c>
      <c r="P317" s="74">
        <v>3247.4200000000005</v>
      </c>
      <c r="Q317" s="74">
        <v>88.44</v>
      </c>
      <c r="R317" s="53">
        <f t="shared" si="14"/>
        <v>1040.5</v>
      </c>
      <c r="S317" s="73">
        <v>16527.610000000004</v>
      </c>
    </row>
    <row r="318" spans="1:19" x14ac:dyDescent="0.25">
      <c r="A318" s="28"/>
      <c r="B318" s="45" t="str">
        <f t="shared" si="12"/>
        <v>Oct-2023</v>
      </c>
      <c r="C318" s="57">
        <v>45208</v>
      </c>
      <c r="D318" s="43">
        <f t="shared" si="13"/>
        <v>904</v>
      </c>
      <c r="E318" s="76">
        <v>108</v>
      </c>
      <c r="F318" s="50">
        <v>65</v>
      </c>
      <c r="G318" s="49">
        <v>34340</v>
      </c>
      <c r="H318" s="73">
        <v>65</v>
      </c>
      <c r="I318" s="77">
        <v>65</v>
      </c>
      <c r="J318" s="73">
        <v>18392.479999999996</v>
      </c>
      <c r="K318" s="52"/>
      <c r="L318" s="51"/>
      <c r="M318" s="77">
        <v>53</v>
      </c>
      <c r="N318" s="76">
        <v>20268.240000000002</v>
      </c>
      <c r="O318" s="75">
        <v>49</v>
      </c>
      <c r="P318" s="74">
        <v>3715.1700000000023</v>
      </c>
      <c r="Q318" s="74">
        <v>194.09999999999997</v>
      </c>
      <c r="R318" s="53">
        <f t="shared" si="14"/>
        <v>1717</v>
      </c>
      <c r="S318" s="73">
        <v>18392.48</v>
      </c>
    </row>
    <row r="319" spans="1:19" x14ac:dyDescent="0.25">
      <c r="A319" s="28"/>
      <c r="B319" s="45" t="str">
        <f t="shared" si="12"/>
        <v>Oct-2023</v>
      </c>
      <c r="C319" s="57">
        <v>45209</v>
      </c>
      <c r="D319" s="43">
        <f t="shared" si="13"/>
        <v>903</v>
      </c>
      <c r="E319" s="76">
        <v>137</v>
      </c>
      <c r="F319" s="50">
        <v>77</v>
      </c>
      <c r="G319" s="49">
        <v>40920</v>
      </c>
      <c r="H319" s="73">
        <v>77</v>
      </c>
      <c r="I319" s="77">
        <v>77</v>
      </c>
      <c r="J319" s="73">
        <v>24328.69000000001</v>
      </c>
      <c r="K319" s="52"/>
      <c r="L319" s="51"/>
      <c r="M319" s="77">
        <v>64</v>
      </c>
      <c r="N319" s="76">
        <v>21691.14</v>
      </c>
      <c r="O319" s="75">
        <v>53</v>
      </c>
      <c r="P319" s="74">
        <v>4899.8300000000017</v>
      </c>
      <c r="Q319" s="74">
        <v>241.13999999999996</v>
      </c>
      <c r="R319" s="53">
        <f t="shared" si="14"/>
        <v>2046</v>
      </c>
      <c r="S319" s="73">
        <v>24328.690000000013</v>
      </c>
    </row>
    <row r="320" spans="1:19" x14ac:dyDescent="0.25">
      <c r="A320" s="28"/>
      <c r="B320" s="45" t="str">
        <f t="shared" si="12"/>
        <v>Oct-2023</v>
      </c>
      <c r="C320" s="57">
        <v>45210</v>
      </c>
      <c r="D320" s="43">
        <f t="shared" si="13"/>
        <v>902</v>
      </c>
      <c r="E320" s="76">
        <v>97</v>
      </c>
      <c r="F320" s="50">
        <v>66</v>
      </c>
      <c r="G320" s="49">
        <v>35200</v>
      </c>
      <c r="H320" s="73">
        <v>66</v>
      </c>
      <c r="I320" s="77">
        <v>66</v>
      </c>
      <c r="J320" s="73">
        <v>19679.349999999991</v>
      </c>
      <c r="K320" s="52"/>
      <c r="L320" s="51"/>
      <c r="M320" s="77">
        <v>47</v>
      </c>
      <c r="N320" s="76">
        <v>19552.89</v>
      </c>
      <c r="O320" s="75">
        <v>47</v>
      </c>
      <c r="P320" s="74">
        <v>4032.1399999999994</v>
      </c>
      <c r="Q320" s="74">
        <v>302.78999999999996</v>
      </c>
      <c r="R320" s="53">
        <f t="shared" si="14"/>
        <v>1760</v>
      </c>
      <c r="S320" s="73">
        <v>19679.349999999995</v>
      </c>
    </row>
    <row r="321" spans="1:19" x14ac:dyDescent="0.25">
      <c r="A321" s="28"/>
      <c r="B321" s="45" t="str">
        <f t="shared" si="12"/>
        <v>Oct-2023</v>
      </c>
      <c r="C321" s="57">
        <v>45211</v>
      </c>
      <c r="D321" s="43">
        <f t="shared" si="13"/>
        <v>901</v>
      </c>
      <c r="E321" s="76">
        <v>122</v>
      </c>
      <c r="F321" s="50">
        <v>65</v>
      </c>
      <c r="G321" s="49">
        <v>37995</v>
      </c>
      <c r="H321" s="73">
        <v>65</v>
      </c>
      <c r="I321" s="77">
        <v>65</v>
      </c>
      <c r="J321" s="73">
        <v>24636.529999999981</v>
      </c>
      <c r="K321" s="52"/>
      <c r="L321" s="51"/>
      <c r="M321" s="77">
        <v>42</v>
      </c>
      <c r="N321" s="76">
        <v>18752.759999999998</v>
      </c>
      <c r="O321" s="75">
        <v>39</v>
      </c>
      <c r="P321" s="74">
        <v>4893.8500000000049</v>
      </c>
      <c r="Q321" s="74">
        <v>195.85</v>
      </c>
      <c r="R321" s="53">
        <f t="shared" si="14"/>
        <v>1899.75</v>
      </c>
      <c r="S321" s="73">
        <v>24636.529999999984</v>
      </c>
    </row>
    <row r="322" spans="1:19" x14ac:dyDescent="0.25">
      <c r="A322" s="28"/>
      <c r="B322" s="45" t="str">
        <f t="shared" si="12"/>
        <v>Oct-2023</v>
      </c>
      <c r="C322" s="57">
        <v>45212</v>
      </c>
      <c r="D322" s="43">
        <f t="shared" si="13"/>
        <v>900</v>
      </c>
      <c r="E322" s="76">
        <v>89</v>
      </c>
      <c r="F322" s="50">
        <v>59</v>
      </c>
      <c r="G322" s="49">
        <v>32250</v>
      </c>
      <c r="H322" s="73">
        <v>59</v>
      </c>
      <c r="I322" s="77">
        <v>59</v>
      </c>
      <c r="J322" s="73">
        <v>20951.999999999996</v>
      </c>
      <c r="K322" s="52">
        <v>1</v>
      </c>
      <c r="L322" s="51">
        <v>500.11</v>
      </c>
      <c r="M322" s="77">
        <v>33</v>
      </c>
      <c r="N322" s="76">
        <v>15900.86</v>
      </c>
      <c r="O322" s="75">
        <v>32</v>
      </c>
      <c r="P322" s="74">
        <v>4091.200000000003</v>
      </c>
      <c r="Q322" s="74">
        <v>85.32</v>
      </c>
      <c r="R322" s="53">
        <f t="shared" si="14"/>
        <v>1612.5</v>
      </c>
      <c r="S322" s="73">
        <v>20951.999999999996</v>
      </c>
    </row>
    <row r="323" spans="1:19" x14ac:dyDescent="0.25">
      <c r="A323" s="28"/>
      <c r="B323" s="45" t="str">
        <f t="shared" si="12"/>
        <v>Oct-2023</v>
      </c>
      <c r="C323" s="57">
        <v>45213</v>
      </c>
      <c r="D323" s="43">
        <f t="shared" si="13"/>
        <v>899</v>
      </c>
      <c r="E323" s="76">
        <v>119</v>
      </c>
      <c r="F323" s="50">
        <v>74</v>
      </c>
      <c r="G323" s="49">
        <v>39820</v>
      </c>
      <c r="H323" s="73">
        <v>74</v>
      </c>
      <c r="I323" s="77">
        <v>74</v>
      </c>
      <c r="J323" s="73">
        <v>23932.080000000002</v>
      </c>
      <c r="K323" s="52">
        <v>2</v>
      </c>
      <c r="L323" s="51">
        <v>600.11</v>
      </c>
      <c r="M323" s="77">
        <v>62</v>
      </c>
      <c r="N323" s="76">
        <v>20871.099999999999</v>
      </c>
      <c r="O323" s="75">
        <v>59</v>
      </c>
      <c r="P323" s="74">
        <v>4679.079999999999</v>
      </c>
      <c r="Q323" s="74">
        <v>126.33999999999999</v>
      </c>
      <c r="R323" s="53">
        <f t="shared" si="14"/>
        <v>1991</v>
      </c>
      <c r="S323" s="73">
        <v>23932.080000000002</v>
      </c>
    </row>
    <row r="324" spans="1:19" x14ac:dyDescent="0.25">
      <c r="A324" s="28"/>
      <c r="B324" s="45" t="str">
        <f t="shared" si="12"/>
        <v>Oct-2023</v>
      </c>
      <c r="C324" s="57">
        <v>45214</v>
      </c>
      <c r="D324" s="43">
        <f t="shared" si="13"/>
        <v>898</v>
      </c>
      <c r="E324" s="76">
        <v>99</v>
      </c>
      <c r="F324" s="50">
        <v>77</v>
      </c>
      <c r="G324" s="49">
        <v>40770</v>
      </c>
      <c r="H324" s="73">
        <v>76</v>
      </c>
      <c r="I324" s="77">
        <v>77</v>
      </c>
      <c r="J324" s="73">
        <v>22605.920000000006</v>
      </c>
      <c r="K324" s="52">
        <v>1</v>
      </c>
      <c r="L324" s="51">
        <v>500.11</v>
      </c>
      <c r="M324" s="77">
        <v>64</v>
      </c>
      <c r="N324" s="76">
        <v>25379.9</v>
      </c>
      <c r="O324" s="75">
        <v>60</v>
      </c>
      <c r="P324" s="74">
        <v>4549.6999999999971</v>
      </c>
      <c r="Q324" s="74">
        <v>229.76</v>
      </c>
      <c r="R324" s="53">
        <f t="shared" si="14"/>
        <v>2038.5</v>
      </c>
      <c r="S324" s="73">
        <v>22605.920000000006</v>
      </c>
    </row>
    <row r="325" spans="1:19" x14ac:dyDescent="0.25">
      <c r="A325" s="28"/>
      <c r="B325" s="45" t="str">
        <f t="shared" si="12"/>
        <v>Oct-2023</v>
      </c>
      <c r="C325" s="57">
        <v>45215</v>
      </c>
      <c r="D325" s="43">
        <f t="shared" si="13"/>
        <v>897</v>
      </c>
      <c r="E325" s="76">
        <v>110</v>
      </c>
      <c r="F325" s="50">
        <v>83</v>
      </c>
      <c r="G325" s="49">
        <v>46450</v>
      </c>
      <c r="H325" s="73">
        <v>82</v>
      </c>
      <c r="I325" s="77">
        <v>83</v>
      </c>
      <c r="J325" s="73">
        <v>24675.340000000011</v>
      </c>
      <c r="K325" s="52">
        <v>2</v>
      </c>
      <c r="L325" s="51">
        <v>700.15</v>
      </c>
      <c r="M325" s="77">
        <v>62</v>
      </c>
      <c r="N325" s="76">
        <v>29404.32</v>
      </c>
      <c r="O325" s="75">
        <v>57</v>
      </c>
      <c r="P325" s="74">
        <v>4983.759999999992</v>
      </c>
      <c r="Q325" s="74">
        <v>312.32000000000005</v>
      </c>
      <c r="R325" s="53">
        <f t="shared" si="14"/>
        <v>2322.5</v>
      </c>
      <c r="S325" s="73">
        <v>24675.340000000018</v>
      </c>
    </row>
    <row r="326" spans="1:19" x14ac:dyDescent="0.25">
      <c r="A326" s="28"/>
      <c r="B326" s="45" t="str">
        <f t="shared" ref="B326:B389" si="15">TEXT(C326,"MMM-YYYY")</f>
        <v>Oct-2023</v>
      </c>
      <c r="C326" s="57">
        <v>45216</v>
      </c>
      <c r="D326" s="43">
        <f t="shared" ref="D326:D389" si="16">$A$1-C326</f>
        <v>896</v>
      </c>
      <c r="E326" s="76">
        <v>126</v>
      </c>
      <c r="F326" s="50">
        <v>95</v>
      </c>
      <c r="G326" s="49">
        <v>51264</v>
      </c>
      <c r="H326" s="73">
        <v>95</v>
      </c>
      <c r="I326" s="77">
        <v>95</v>
      </c>
      <c r="J326" s="73">
        <v>30963.880000000019</v>
      </c>
      <c r="K326" s="52"/>
      <c r="L326" s="51"/>
      <c r="M326" s="77">
        <v>82</v>
      </c>
      <c r="N326" s="76">
        <v>28047.5</v>
      </c>
      <c r="O326" s="75">
        <v>72</v>
      </c>
      <c r="P326" s="74">
        <v>6285.0599999999995</v>
      </c>
      <c r="Q326" s="74">
        <v>396.8300000000001</v>
      </c>
      <c r="R326" s="53">
        <f t="shared" ref="R326:R389" si="17">G326*5%</f>
        <v>2563.2000000000003</v>
      </c>
      <c r="S326" s="73">
        <v>30963.880000000016</v>
      </c>
    </row>
    <row r="327" spans="1:19" x14ac:dyDescent="0.25">
      <c r="A327" s="28"/>
      <c r="B327" s="45" t="str">
        <f t="shared" si="15"/>
        <v>Oct-2023</v>
      </c>
      <c r="C327" s="57">
        <v>45217</v>
      </c>
      <c r="D327" s="43">
        <f t="shared" si="16"/>
        <v>895</v>
      </c>
      <c r="E327" s="76">
        <v>133</v>
      </c>
      <c r="F327" s="50">
        <v>80</v>
      </c>
      <c r="G327" s="49">
        <v>40600</v>
      </c>
      <c r="H327" s="73">
        <v>80</v>
      </c>
      <c r="I327" s="77">
        <v>80</v>
      </c>
      <c r="J327" s="73">
        <v>29051.019999999986</v>
      </c>
      <c r="K327" s="52"/>
      <c r="L327" s="51"/>
      <c r="M327" s="77">
        <v>54</v>
      </c>
      <c r="N327" s="76">
        <v>20281.16</v>
      </c>
      <c r="O327" s="75">
        <v>51</v>
      </c>
      <c r="P327" s="74">
        <v>5811.5699999999961</v>
      </c>
      <c r="Q327" s="74">
        <v>287.64000000000004</v>
      </c>
      <c r="R327" s="53">
        <f t="shared" si="17"/>
        <v>2030</v>
      </c>
      <c r="S327" s="73">
        <v>29051.019999999982</v>
      </c>
    </row>
    <row r="328" spans="1:19" x14ac:dyDescent="0.25">
      <c r="A328" s="28"/>
      <c r="B328" s="45" t="str">
        <f t="shared" si="15"/>
        <v>Oct-2023</v>
      </c>
      <c r="C328" s="57">
        <v>45218</v>
      </c>
      <c r="D328" s="43">
        <f t="shared" si="16"/>
        <v>894</v>
      </c>
      <c r="E328" s="76">
        <v>90</v>
      </c>
      <c r="F328" s="50">
        <v>86</v>
      </c>
      <c r="G328" s="49">
        <v>45255</v>
      </c>
      <c r="H328" s="73">
        <v>86</v>
      </c>
      <c r="I328" s="77">
        <v>86</v>
      </c>
      <c r="J328" s="73">
        <v>28157.359999999979</v>
      </c>
      <c r="K328" s="52"/>
      <c r="L328" s="51"/>
      <c r="M328" s="77">
        <v>108</v>
      </c>
      <c r="N328" s="76">
        <v>24734.22</v>
      </c>
      <c r="O328" s="75">
        <v>85</v>
      </c>
      <c r="P328" s="74">
        <v>5575.9600000000037</v>
      </c>
      <c r="Q328" s="74">
        <v>227.81999999999996</v>
      </c>
      <c r="R328" s="53">
        <f t="shared" si="17"/>
        <v>2262.75</v>
      </c>
      <c r="S328" s="73">
        <v>28157.359999999979</v>
      </c>
    </row>
    <row r="329" spans="1:19" x14ac:dyDescent="0.25">
      <c r="A329" s="28"/>
      <c r="B329" s="45" t="str">
        <f t="shared" si="15"/>
        <v>Oct-2023</v>
      </c>
      <c r="C329" s="57">
        <v>45219</v>
      </c>
      <c r="D329" s="43">
        <f t="shared" si="16"/>
        <v>893</v>
      </c>
      <c r="E329" s="76">
        <v>103</v>
      </c>
      <c r="F329" s="50">
        <v>94</v>
      </c>
      <c r="G329" s="49">
        <v>50285</v>
      </c>
      <c r="H329" s="73">
        <v>93</v>
      </c>
      <c r="I329" s="77">
        <v>94</v>
      </c>
      <c r="J329" s="73">
        <v>20536.27</v>
      </c>
      <c r="K329" s="52">
        <v>1</v>
      </c>
      <c r="L329" s="51">
        <v>85.02</v>
      </c>
      <c r="M329" s="77">
        <v>123</v>
      </c>
      <c r="N329" s="76">
        <v>36260.26</v>
      </c>
      <c r="O329" s="75">
        <v>106</v>
      </c>
      <c r="P329" s="74">
        <v>4185.689999999996</v>
      </c>
      <c r="Q329" s="74">
        <v>283.59000000000003</v>
      </c>
      <c r="R329" s="53">
        <f t="shared" si="17"/>
        <v>2514.25</v>
      </c>
      <c r="S329" s="73">
        <v>20536.27</v>
      </c>
    </row>
    <row r="330" spans="1:19" x14ac:dyDescent="0.25">
      <c r="A330" s="28"/>
      <c r="B330" s="45" t="str">
        <f t="shared" si="15"/>
        <v>Oct-2023</v>
      </c>
      <c r="C330" s="57">
        <v>45220</v>
      </c>
      <c r="D330" s="43">
        <f t="shared" si="16"/>
        <v>892</v>
      </c>
      <c r="E330" s="76">
        <v>94</v>
      </c>
      <c r="F330" s="50">
        <v>97</v>
      </c>
      <c r="G330" s="49">
        <v>50135</v>
      </c>
      <c r="H330" s="73">
        <v>97</v>
      </c>
      <c r="I330" s="77">
        <v>97</v>
      </c>
      <c r="J330" s="73">
        <v>29669.000000000007</v>
      </c>
      <c r="K330" s="52">
        <v>1</v>
      </c>
      <c r="L330" s="51">
        <v>35</v>
      </c>
      <c r="M330" s="77">
        <v>119</v>
      </c>
      <c r="N330" s="76">
        <v>28523.35</v>
      </c>
      <c r="O330" s="75">
        <v>107</v>
      </c>
      <c r="P330" s="74">
        <v>6022.8700000000026</v>
      </c>
      <c r="Q330" s="74">
        <v>453.06000000000006</v>
      </c>
      <c r="R330" s="53">
        <f t="shared" si="17"/>
        <v>2506.75</v>
      </c>
      <c r="S330" s="73">
        <v>29669.000000000004</v>
      </c>
    </row>
    <row r="331" spans="1:19" x14ac:dyDescent="0.25">
      <c r="A331" s="28"/>
      <c r="B331" s="45" t="str">
        <f t="shared" si="15"/>
        <v>Oct-2023</v>
      </c>
      <c r="C331" s="57">
        <v>45221</v>
      </c>
      <c r="D331" s="43">
        <f t="shared" si="16"/>
        <v>891</v>
      </c>
      <c r="E331" s="76">
        <v>124</v>
      </c>
      <c r="F331" s="50">
        <v>92</v>
      </c>
      <c r="G331" s="49">
        <v>47800</v>
      </c>
      <c r="H331" s="73">
        <v>92</v>
      </c>
      <c r="I331" s="77">
        <v>92</v>
      </c>
      <c r="J331" s="73">
        <v>27838.059999999976</v>
      </c>
      <c r="K331" s="52">
        <v>2</v>
      </c>
      <c r="L331" s="51">
        <v>544</v>
      </c>
      <c r="M331" s="77">
        <v>126</v>
      </c>
      <c r="N331" s="76">
        <v>28388.44</v>
      </c>
      <c r="O331" s="75">
        <v>101</v>
      </c>
      <c r="P331" s="74">
        <v>5598.9299999999985</v>
      </c>
      <c r="Q331" s="74">
        <v>318.56999999999994</v>
      </c>
      <c r="R331" s="53">
        <f t="shared" si="17"/>
        <v>2390</v>
      </c>
      <c r="S331" s="73">
        <v>27838.059999999979</v>
      </c>
    </row>
    <row r="332" spans="1:19" x14ac:dyDescent="0.25">
      <c r="A332" s="28"/>
      <c r="B332" s="45" t="str">
        <f t="shared" si="15"/>
        <v>Oct-2023</v>
      </c>
      <c r="C332" s="57">
        <v>45222</v>
      </c>
      <c r="D332" s="43">
        <f t="shared" si="16"/>
        <v>890</v>
      </c>
      <c r="E332" s="76">
        <v>117</v>
      </c>
      <c r="F332" s="50">
        <v>74</v>
      </c>
      <c r="G332" s="49">
        <v>38700</v>
      </c>
      <c r="H332" s="73">
        <v>74</v>
      </c>
      <c r="I332" s="77">
        <v>74</v>
      </c>
      <c r="J332" s="73">
        <v>25290.030000000024</v>
      </c>
      <c r="K332" s="52">
        <v>1</v>
      </c>
      <c r="L332" s="51">
        <v>800.18</v>
      </c>
      <c r="M332" s="77">
        <v>54</v>
      </c>
      <c r="N332" s="76">
        <v>19787.259999999998</v>
      </c>
      <c r="O332" s="75">
        <v>51</v>
      </c>
      <c r="P332" s="74">
        <v>4896.4899999999989</v>
      </c>
      <c r="Q332" s="74">
        <v>106.46</v>
      </c>
      <c r="R332" s="53">
        <f t="shared" si="17"/>
        <v>1935</v>
      </c>
      <c r="S332" s="73">
        <v>25290.030000000024</v>
      </c>
    </row>
    <row r="333" spans="1:19" x14ac:dyDescent="0.25">
      <c r="A333" s="28"/>
      <c r="B333" s="45" t="str">
        <f t="shared" si="15"/>
        <v>Oct-2023</v>
      </c>
      <c r="C333" s="57">
        <v>45223</v>
      </c>
      <c r="D333" s="43">
        <f t="shared" si="16"/>
        <v>889</v>
      </c>
      <c r="E333" s="76">
        <v>131</v>
      </c>
      <c r="F333" s="50">
        <v>71</v>
      </c>
      <c r="G333" s="49">
        <v>35895</v>
      </c>
      <c r="H333" s="73">
        <v>71</v>
      </c>
      <c r="I333" s="77">
        <v>71</v>
      </c>
      <c r="J333" s="73">
        <v>22438.100000000009</v>
      </c>
      <c r="K333" s="52">
        <v>1</v>
      </c>
      <c r="L333" s="51">
        <v>3</v>
      </c>
      <c r="M333" s="77">
        <v>67</v>
      </c>
      <c r="N333" s="76">
        <v>19890.810000000001</v>
      </c>
      <c r="O333" s="75">
        <v>58</v>
      </c>
      <c r="P333" s="74">
        <v>4509.3499999999976</v>
      </c>
      <c r="Q333" s="74">
        <v>292.58</v>
      </c>
      <c r="R333" s="53">
        <f t="shared" si="17"/>
        <v>1794.75</v>
      </c>
      <c r="S333" s="73">
        <v>22438.100000000013</v>
      </c>
    </row>
    <row r="334" spans="1:19" x14ac:dyDescent="0.25">
      <c r="A334" s="28"/>
      <c r="B334" s="45" t="str">
        <f t="shared" si="15"/>
        <v>Oct-2023</v>
      </c>
      <c r="C334" s="57">
        <v>45224</v>
      </c>
      <c r="D334" s="43">
        <f t="shared" si="16"/>
        <v>888</v>
      </c>
      <c r="E334" s="76">
        <v>102</v>
      </c>
      <c r="F334" s="50">
        <v>83</v>
      </c>
      <c r="G334" s="49">
        <v>43290</v>
      </c>
      <c r="H334" s="73">
        <v>83</v>
      </c>
      <c r="I334" s="77">
        <v>83</v>
      </c>
      <c r="J334" s="73">
        <v>24502.039999999994</v>
      </c>
      <c r="K334" s="52"/>
      <c r="L334" s="51"/>
      <c r="M334" s="77">
        <v>62</v>
      </c>
      <c r="N334" s="76">
        <v>24667.63</v>
      </c>
      <c r="O334" s="75">
        <v>56</v>
      </c>
      <c r="P334" s="74">
        <v>4922.3600000000042</v>
      </c>
      <c r="Q334" s="74">
        <v>287.26999999999992</v>
      </c>
      <c r="R334" s="53">
        <f t="shared" si="17"/>
        <v>2164.5</v>
      </c>
      <c r="S334" s="73">
        <v>24502.039999999994</v>
      </c>
    </row>
    <row r="335" spans="1:19" x14ac:dyDescent="0.25">
      <c r="A335" s="28"/>
      <c r="B335" s="45" t="str">
        <f t="shared" si="15"/>
        <v>Oct-2023</v>
      </c>
      <c r="C335" s="57">
        <v>45225</v>
      </c>
      <c r="D335" s="43">
        <f t="shared" si="16"/>
        <v>887</v>
      </c>
      <c r="E335" s="76">
        <v>112</v>
      </c>
      <c r="F335" s="50">
        <v>80</v>
      </c>
      <c r="G335" s="49">
        <v>41040</v>
      </c>
      <c r="H335" s="73">
        <v>80</v>
      </c>
      <c r="I335" s="77">
        <v>80</v>
      </c>
      <c r="J335" s="73">
        <v>25089.26999999999</v>
      </c>
      <c r="K335" s="52"/>
      <c r="L335" s="51"/>
      <c r="M335" s="77">
        <v>67</v>
      </c>
      <c r="N335" s="76">
        <v>22052.52</v>
      </c>
      <c r="O335" s="75">
        <v>61</v>
      </c>
      <c r="P335" s="74">
        <v>5024.01</v>
      </c>
      <c r="Q335" s="74">
        <v>362.13</v>
      </c>
      <c r="R335" s="53">
        <f t="shared" si="17"/>
        <v>2052</v>
      </c>
      <c r="S335" s="73">
        <v>25089.269999999993</v>
      </c>
    </row>
    <row r="336" spans="1:19" x14ac:dyDescent="0.25">
      <c r="A336" s="28"/>
      <c r="B336" s="45" t="str">
        <f t="shared" si="15"/>
        <v>Oct-2023</v>
      </c>
      <c r="C336" s="57">
        <v>45226</v>
      </c>
      <c r="D336" s="43">
        <f t="shared" si="16"/>
        <v>886</v>
      </c>
      <c r="E336" s="76">
        <v>86</v>
      </c>
      <c r="F336" s="50">
        <v>69</v>
      </c>
      <c r="G336" s="49">
        <v>34780</v>
      </c>
      <c r="H336" s="73">
        <v>69</v>
      </c>
      <c r="I336" s="77">
        <v>69</v>
      </c>
      <c r="J336" s="73">
        <v>21036.649999999998</v>
      </c>
      <c r="K336" s="52"/>
      <c r="L336" s="51"/>
      <c r="M336" s="77">
        <v>61</v>
      </c>
      <c r="N336" s="76">
        <v>20066.86</v>
      </c>
      <c r="O336" s="75">
        <v>56</v>
      </c>
      <c r="P336" s="74">
        <v>4187.34</v>
      </c>
      <c r="Q336" s="74">
        <v>237.61999999999995</v>
      </c>
      <c r="R336" s="53">
        <f t="shared" si="17"/>
        <v>1739</v>
      </c>
      <c r="S336" s="73">
        <v>21036.649999999998</v>
      </c>
    </row>
    <row r="337" spans="1:19" x14ac:dyDescent="0.25">
      <c r="A337" s="28"/>
      <c r="B337" s="45" t="str">
        <f t="shared" si="15"/>
        <v>Oct-2023</v>
      </c>
      <c r="C337" s="57">
        <v>45227</v>
      </c>
      <c r="D337" s="43">
        <f t="shared" si="16"/>
        <v>885</v>
      </c>
      <c r="E337" s="76">
        <v>94</v>
      </c>
      <c r="F337" s="50">
        <v>69</v>
      </c>
      <c r="G337" s="49">
        <v>36180</v>
      </c>
      <c r="H337" s="73">
        <v>69</v>
      </c>
      <c r="I337" s="77">
        <v>69</v>
      </c>
      <c r="J337" s="73">
        <v>25558.600000000006</v>
      </c>
      <c r="K337" s="52">
        <v>2</v>
      </c>
      <c r="L337" s="51">
        <v>975.21</v>
      </c>
      <c r="M337" s="77">
        <v>48</v>
      </c>
      <c r="N337" s="76">
        <v>18820.93</v>
      </c>
      <c r="O337" s="75">
        <v>46</v>
      </c>
      <c r="P337" s="74">
        <v>5007.4999999999982</v>
      </c>
      <c r="Q337" s="74">
        <v>213.48</v>
      </c>
      <c r="R337" s="53">
        <f t="shared" si="17"/>
        <v>1809</v>
      </c>
      <c r="S337" s="73">
        <v>25558.600000000009</v>
      </c>
    </row>
    <row r="338" spans="1:19" x14ac:dyDescent="0.25">
      <c r="A338" s="28"/>
      <c r="B338" s="45" t="str">
        <f t="shared" si="15"/>
        <v>Oct-2023</v>
      </c>
      <c r="C338" s="57">
        <v>45228</v>
      </c>
      <c r="D338" s="43">
        <f t="shared" si="16"/>
        <v>884</v>
      </c>
      <c r="E338" s="76">
        <v>91</v>
      </c>
      <c r="F338" s="50">
        <v>73</v>
      </c>
      <c r="G338" s="49">
        <v>36400</v>
      </c>
      <c r="H338" s="73">
        <v>73</v>
      </c>
      <c r="I338" s="77">
        <v>73</v>
      </c>
      <c r="J338" s="73">
        <v>29957.359999999982</v>
      </c>
      <c r="K338" s="52"/>
      <c r="L338" s="51"/>
      <c r="M338" s="77">
        <v>87</v>
      </c>
      <c r="N338" s="76">
        <v>13639</v>
      </c>
      <c r="O338" s="75">
        <v>76</v>
      </c>
      <c r="P338" s="74">
        <v>5825.8300000000063</v>
      </c>
      <c r="Q338" s="74">
        <v>175.68</v>
      </c>
      <c r="R338" s="53">
        <f t="shared" si="17"/>
        <v>1820</v>
      </c>
      <c r="S338" s="73">
        <v>29957.359999999979</v>
      </c>
    </row>
    <row r="339" spans="1:19" x14ac:dyDescent="0.25">
      <c r="A339" s="28"/>
      <c r="B339" s="45" t="str">
        <f t="shared" si="15"/>
        <v>Oct-2023</v>
      </c>
      <c r="C339" s="57">
        <v>45229</v>
      </c>
      <c r="D339" s="43">
        <f t="shared" si="16"/>
        <v>883</v>
      </c>
      <c r="E339" s="76">
        <v>116</v>
      </c>
      <c r="F339" s="50">
        <v>66</v>
      </c>
      <c r="G339" s="49">
        <v>34095</v>
      </c>
      <c r="H339" s="73">
        <v>66</v>
      </c>
      <c r="I339" s="77">
        <v>66</v>
      </c>
      <c r="J339" s="73">
        <v>22344.259999999984</v>
      </c>
      <c r="K339" s="52"/>
      <c r="L339" s="51"/>
      <c r="M339" s="77">
        <v>75</v>
      </c>
      <c r="N339" s="76">
        <v>18387.64</v>
      </c>
      <c r="O339" s="75">
        <v>67</v>
      </c>
      <c r="P339" s="74">
        <v>4520.6800000000057</v>
      </c>
      <c r="Q339" s="74">
        <v>414.5</v>
      </c>
      <c r="R339" s="53">
        <f t="shared" si="17"/>
        <v>1704.75</v>
      </c>
      <c r="S339" s="73">
        <v>22344.259999999984</v>
      </c>
    </row>
    <row r="340" spans="1:19" x14ac:dyDescent="0.25">
      <c r="A340" s="28"/>
      <c r="B340" s="45" t="str">
        <f t="shared" si="15"/>
        <v>Oct-2023</v>
      </c>
      <c r="C340" s="57">
        <v>45230</v>
      </c>
      <c r="D340" s="43">
        <f t="shared" si="16"/>
        <v>882</v>
      </c>
      <c r="E340" s="76">
        <v>109</v>
      </c>
      <c r="F340" s="50">
        <v>54</v>
      </c>
      <c r="G340" s="49">
        <v>26750</v>
      </c>
      <c r="H340" s="73">
        <v>54</v>
      </c>
      <c r="I340" s="77">
        <v>54</v>
      </c>
      <c r="J340" s="73">
        <v>18346.040000000012</v>
      </c>
      <c r="K340" s="52"/>
      <c r="L340" s="51"/>
      <c r="M340" s="77">
        <v>54</v>
      </c>
      <c r="N340" s="76">
        <v>13461.25</v>
      </c>
      <c r="O340" s="75">
        <v>48</v>
      </c>
      <c r="P340" s="74">
        <v>3547.6999999999994</v>
      </c>
      <c r="Q340" s="74">
        <v>106.63</v>
      </c>
      <c r="R340" s="53">
        <f t="shared" si="17"/>
        <v>1337.5</v>
      </c>
      <c r="S340" s="73">
        <v>18346.040000000012</v>
      </c>
    </row>
    <row r="341" spans="1:19" x14ac:dyDescent="0.25">
      <c r="A341" s="28"/>
      <c r="B341" s="45" t="str">
        <f t="shared" si="15"/>
        <v>Nov-2023</v>
      </c>
      <c r="C341" s="57">
        <v>45231</v>
      </c>
      <c r="D341" s="43">
        <f t="shared" si="16"/>
        <v>881</v>
      </c>
      <c r="E341" s="76">
        <v>87</v>
      </c>
      <c r="F341" s="50">
        <v>74</v>
      </c>
      <c r="G341" s="49">
        <v>38575</v>
      </c>
      <c r="H341" s="73">
        <v>74</v>
      </c>
      <c r="I341" s="77">
        <v>74</v>
      </c>
      <c r="J341" s="73">
        <v>25988.67</v>
      </c>
      <c r="K341" s="52">
        <v>1</v>
      </c>
      <c r="L341" s="51">
        <v>60</v>
      </c>
      <c r="M341" s="77">
        <v>83</v>
      </c>
      <c r="N341" s="76">
        <v>20263.89</v>
      </c>
      <c r="O341" s="75">
        <v>65</v>
      </c>
      <c r="P341" s="74">
        <v>5090.0099999999966</v>
      </c>
      <c r="Q341" s="74">
        <v>220.91</v>
      </c>
      <c r="R341" s="53">
        <f t="shared" si="17"/>
        <v>1928.75</v>
      </c>
      <c r="S341" s="73">
        <v>25988.669999999995</v>
      </c>
    </row>
    <row r="342" spans="1:19" x14ac:dyDescent="0.25">
      <c r="A342" s="28"/>
      <c r="B342" s="45" t="str">
        <f t="shared" si="15"/>
        <v>Nov-2023</v>
      </c>
      <c r="C342" s="57">
        <v>45232</v>
      </c>
      <c r="D342" s="43">
        <f t="shared" si="16"/>
        <v>880</v>
      </c>
      <c r="E342" s="76">
        <v>94</v>
      </c>
      <c r="F342" s="50">
        <v>76</v>
      </c>
      <c r="G342" s="49">
        <v>42215</v>
      </c>
      <c r="H342" s="73">
        <v>76</v>
      </c>
      <c r="I342" s="77">
        <v>76</v>
      </c>
      <c r="J342" s="73">
        <v>25263.229999999992</v>
      </c>
      <c r="K342" s="52">
        <v>1</v>
      </c>
      <c r="L342" s="51">
        <v>500.11</v>
      </c>
      <c r="M342" s="77">
        <v>71</v>
      </c>
      <c r="N342" s="76">
        <v>24386.36</v>
      </c>
      <c r="O342" s="75">
        <v>57</v>
      </c>
      <c r="P342" s="74">
        <v>4962.6600000000017</v>
      </c>
      <c r="Q342" s="74">
        <v>228.51999999999998</v>
      </c>
      <c r="R342" s="53">
        <f t="shared" si="17"/>
        <v>2110.75</v>
      </c>
      <c r="S342" s="73">
        <v>25263.229999999992</v>
      </c>
    </row>
    <row r="343" spans="1:19" x14ac:dyDescent="0.25">
      <c r="A343" s="28"/>
      <c r="B343" s="45" t="str">
        <f t="shared" si="15"/>
        <v>Nov-2023</v>
      </c>
      <c r="C343" s="57">
        <v>45233</v>
      </c>
      <c r="D343" s="43">
        <f t="shared" si="16"/>
        <v>879</v>
      </c>
      <c r="E343" s="76">
        <v>83</v>
      </c>
      <c r="F343" s="50">
        <v>69</v>
      </c>
      <c r="G343" s="49">
        <v>36820</v>
      </c>
      <c r="H343" s="73">
        <v>69</v>
      </c>
      <c r="I343" s="77">
        <v>69</v>
      </c>
      <c r="J343" s="73">
        <v>19458.900000000001</v>
      </c>
      <c r="K343" s="52">
        <v>1</v>
      </c>
      <c r="L343" s="51">
        <v>1</v>
      </c>
      <c r="M343" s="77">
        <v>68</v>
      </c>
      <c r="N343" s="76">
        <v>21440.45</v>
      </c>
      <c r="O343" s="75">
        <v>65</v>
      </c>
      <c r="P343" s="74">
        <v>3770.6800000000017</v>
      </c>
      <c r="Q343" s="74">
        <v>132.54000000000002</v>
      </c>
      <c r="R343" s="53">
        <f t="shared" si="17"/>
        <v>1841</v>
      </c>
      <c r="S343" s="73">
        <v>19458.900000000001</v>
      </c>
    </row>
    <row r="344" spans="1:19" x14ac:dyDescent="0.25">
      <c r="A344" s="28"/>
      <c r="B344" s="45" t="str">
        <f t="shared" si="15"/>
        <v>Nov-2023</v>
      </c>
      <c r="C344" s="57">
        <v>45234</v>
      </c>
      <c r="D344" s="43">
        <f t="shared" si="16"/>
        <v>878</v>
      </c>
      <c r="E344" s="76">
        <v>74</v>
      </c>
      <c r="F344" s="50">
        <v>69</v>
      </c>
      <c r="G344" s="49">
        <v>37100</v>
      </c>
      <c r="H344" s="73">
        <v>69</v>
      </c>
      <c r="I344" s="77">
        <v>69</v>
      </c>
      <c r="J344" s="73">
        <v>21905.420000000013</v>
      </c>
      <c r="K344" s="52">
        <v>1</v>
      </c>
      <c r="L344" s="51">
        <v>475</v>
      </c>
      <c r="M344" s="77">
        <v>56</v>
      </c>
      <c r="N344" s="76">
        <v>21799.759999999998</v>
      </c>
      <c r="O344" s="75">
        <v>54</v>
      </c>
      <c r="P344" s="74">
        <v>4356.0099999999975</v>
      </c>
      <c r="Q344" s="74">
        <v>250.59</v>
      </c>
      <c r="R344" s="53">
        <f t="shared" si="17"/>
        <v>1855</v>
      </c>
      <c r="S344" s="73">
        <v>21905.420000000009</v>
      </c>
    </row>
    <row r="345" spans="1:19" x14ac:dyDescent="0.25">
      <c r="A345" s="28"/>
      <c r="B345" s="45" t="str">
        <f t="shared" si="15"/>
        <v>Nov-2023</v>
      </c>
      <c r="C345" s="57">
        <v>45235</v>
      </c>
      <c r="D345" s="43">
        <f t="shared" si="16"/>
        <v>877</v>
      </c>
      <c r="E345" s="76">
        <v>69</v>
      </c>
      <c r="F345" s="50">
        <v>60</v>
      </c>
      <c r="G345" s="49">
        <v>32515</v>
      </c>
      <c r="H345" s="73">
        <v>60</v>
      </c>
      <c r="I345" s="77">
        <v>60</v>
      </c>
      <c r="J345" s="73">
        <v>18576.419999999991</v>
      </c>
      <c r="K345" s="52"/>
      <c r="L345" s="51"/>
      <c r="M345" s="77">
        <v>70</v>
      </c>
      <c r="N345" s="76">
        <v>18576.939999999999</v>
      </c>
      <c r="O345" s="75">
        <v>60</v>
      </c>
      <c r="P345" s="74">
        <v>3648.3000000000011</v>
      </c>
      <c r="Q345" s="74">
        <v>168.51</v>
      </c>
      <c r="R345" s="53">
        <f t="shared" si="17"/>
        <v>1625.75</v>
      </c>
      <c r="S345" s="73">
        <v>18576.419999999995</v>
      </c>
    </row>
    <row r="346" spans="1:19" x14ac:dyDescent="0.25">
      <c r="A346" s="28"/>
      <c r="B346" s="45" t="str">
        <f t="shared" si="15"/>
        <v>Nov-2023</v>
      </c>
      <c r="C346" s="57">
        <v>45236</v>
      </c>
      <c r="D346" s="43">
        <f t="shared" si="16"/>
        <v>876</v>
      </c>
      <c r="E346" s="76">
        <v>67</v>
      </c>
      <c r="F346" s="50">
        <v>47</v>
      </c>
      <c r="G346" s="49">
        <v>24645</v>
      </c>
      <c r="H346" s="73">
        <v>47</v>
      </c>
      <c r="I346" s="77">
        <v>47</v>
      </c>
      <c r="J346" s="73">
        <v>16563.960000000003</v>
      </c>
      <c r="K346" s="52"/>
      <c r="L346" s="51"/>
      <c r="M346" s="77">
        <v>41</v>
      </c>
      <c r="N346" s="76">
        <v>12882.96</v>
      </c>
      <c r="O346" s="75">
        <v>33</v>
      </c>
      <c r="P346" s="74">
        <v>3190.6200000000003</v>
      </c>
      <c r="Q346" s="74">
        <v>176.31</v>
      </c>
      <c r="R346" s="53">
        <f t="shared" si="17"/>
        <v>1232.25</v>
      </c>
      <c r="S346" s="73">
        <v>16563.960000000003</v>
      </c>
    </row>
    <row r="347" spans="1:19" x14ac:dyDescent="0.25">
      <c r="A347" s="28"/>
      <c r="B347" s="45" t="str">
        <f t="shared" si="15"/>
        <v>Nov-2023</v>
      </c>
      <c r="C347" s="57">
        <v>45237</v>
      </c>
      <c r="D347" s="43">
        <f t="shared" si="16"/>
        <v>875</v>
      </c>
      <c r="E347" s="76">
        <v>75</v>
      </c>
      <c r="F347" s="50">
        <v>64</v>
      </c>
      <c r="G347" s="49">
        <v>35175</v>
      </c>
      <c r="H347" s="73">
        <v>64</v>
      </c>
      <c r="I347" s="77">
        <v>64</v>
      </c>
      <c r="J347" s="73">
        <v>17671.089999999997</v>
      </c>
      <c r="K347" s="52">
        <v>4</v>
      </c>
      <c r="L347" s="51">
        <v>661.11</v>
      </c>
      <c r="M347" s="77">
        <v>95</v>
      </c>
      <c r="N347" s="76">
        <v>27164.67</v>
      </c>
      <c r="O347" s="75">
        <v>82</v>
      </c>
      <c r="P347" s="74">
        <v>3643.0100000000007</v>
      </c>
      <c r="Q347" s="74">
        <v>340.22</v>
      </c>
      <c r="R347" s="53">
        <f t="shared" si="17"/>
        <v>1758.75</v>
      </c>
      <c r="S347" s="73">
        <v>17671.089999999997</v>
      </c>
    </row>
    <row r="348" spans="1:19" x14ac:dyDescent="0.25">
      <c r="A348" s="28"/>
      <c r="B348" s="45" t="str">
        <f t="shared" si="15"/>
        <v>Nov-2023</v>
      </c>
      <c r="C348" s="57">
        <v>45238</v>
      </c>
      <c r="D348" s="43">
        <f t="shared" si="16"/>
        <v>874</v>
      </c>
      <c r="E348" s="76">
        <v>81</v>
      </c>
      <c r="F348" s="50">
        <v>74</v>
      </c>
      <c r="G348" s="49">
        <v>39800</v>
      </c>
      <c r="H348" s="73">
        <v>74</v>
      </c>
      <c r="I348" s="77">
        <v>74</v>
      </c>
      <c r="J348" s="73">
        <v>19396.72</v>
      </c>
      <c r="K348" s="52"/>
      <c r="L348" s="51"/>
      <c r="M348" s="77">
        <v>82</v>
      </c>
      <c r="N348" s="76">
        <v>27928</v>
      </c>
      <c r="O348" s="75">
        <v>72</v>
      </c>
      <c r="P348" s="74">
        <v>3811.9099999999989</v>
      </c>
      <c r="Q348" s="74">
        <v>186.30999999999997</v>
      </c>
      <c r="R348" s="53">
        <f t="shared" si="17"/>
        <v>1990</v>
      </c>
      <c r="S348" s="73">
        <v>19396.72</v>
      </c>
    </row>
    <row r="349" spans="1:19" x14ac:dyDescent="0.25">
      <c r="A349" s="28"/>
      <c r="B349" s="45" t="str">
        <f t="shared" si="15"/>
        <v>Nov-2023</v>
      </c>
      <c r="C349" s="57">
        <v>45239</v>
      </c>
      <c r="D349" s="43">
        <f t="shared" si="16"/>
        <v>873</v>
      </c>
      <c r="E349" s="76">
        <v>79</v>
      </c>
      <c r="F349" s="50">
        <v>173</v>
      </c>
      <c r="G349" s="49">
        <v>87280</v>
      </c>
      <c r="H349" s="73">
        <v>173</v>
      </c>
      <c r="I349" s="77">
        <v>173</v>
      </c>
      <c r="J349" s="73">
        <v>75849.62</v>
      </c>
      <c r="K349" s="52"/>
      <c r="L349" s="51"/>
      <c r="M349" s="77">
        <v>94</v>
      </c>
      <c r="N349" s="76">
        <v>30738.75</v>
      </c>
      <c r="O349" s="75">
        <v>89</v>
      </c>
      <c r="P349" s="74">
        <v>14588.840000000009</v>
      </c>
      <c r="Q349" s="74">
        <v>456.17999999999989</v>
      </c>
      <c r="R349" s="53">
        <f t="shared" si="17"/>
        <v>4364</v>
      </c>
      <c r="S349" s="73">
        <v>75849.62000000001</v>
      </c>
    </row>
    <row r="350" spans="1:19" x14ac:dyDescent="0.25">
      <c r="A350" s="28"/>
      <c r="B350" s="45" t="str">
        <f t="shared" si="15"/>
        <v>Nov-2023</v>
      </c>
      <c r="C350" s="57">
        <v>45240</v>
      </c>
      <c r="D350" s="43">
        <f t="shared" si="16"/>
        <v>872</v>
      </c>
      <c r="E350" s="76">
        <v>144</v>
      </c>
      <c r="F350" s="50">
        <v>270</v>
      </c>
      <c r="G350" s="49">
        <v>137735</v>
      </c>
      <c r="H350" s="73">
        <v>269</v>
      </c>
      <c r="I350" s="77">
        <v>270</v>
      </c>
      <c r="J350" s="73">
        <v>132721.33999999997</v>
      </c>
      <c r="K350" s="52">
        <v>4</v>
      </c>
      <c r="L350" s="51">
        <v>442.03999999999996</v>
      </c>
      <c r="M350" s="77">
        <v>134</v>
      </c>
      <c r="N350" s="76">
        <v>41811.629999999997</v>
      </c>
      <c r="O350" s="75">
        <v>114</v>
      </c>
      <c r="P350" s="74">
        <v>25053.830000000031</v>
      </c>
      <c r="Q350" s="74">
        <v>405.44</v>
      </c>
      <c r="R350" s="53">
        <f t="shared" si="17"/>
        <v>6886.75</v>
      </c>
      <c r="S350" s="73">
        <v>132721.34</v>
      </c>
    </row>
    <row r="351" spans="1:19" x14ac:dyDescent="0.25">
      <c r="A351" s="28"/>
      <c r="B351" s="45" t="str">
        <f t="shared" si="15"/>
        <v>Nov-2023</v>
      </c>
      <c r="C351" s="57">
        <v>45241</v>
      </c>
      <c r="D351" s="43">
        <f t="shared" si="16"/>
        <v>871</v>
      </c>
      <c r="E351" s="76">
        <v>77</v>
      </c>
      <c r="F351" s="50">
        <v>203</v>
      </c>
      <c r="G351" s="49">
        <v>103795</v>
      </c>
      <c r="H351" s="73">
        <v>203</v>
      </c>
      <c r="I351" s="77">
        <v>203</v>
      </c>
      <c r="J351" s="73">
        <v>85585.45</v>
      </c>
      <c r="K351" s="52">
        <v>1</v>
      </c>
      <c r="L351" s="51">
        <v>2</v>
      </c>
      <c r="M351" s="77">
        <v>123</v>
      </c>
      <c r="N351" s="76">
        <v>44461.7</v>
      </c>
      <c r="O351" s="75">
        <v>113</v>
      </c>
      <c r="P351" s="74">
        <v>16421.370000000003</v>
      </c>
      <c r="Q351" s="74">
        <v>508.78000000000009</v>
      </c>
      <c r="R351" s="53">
        <f t="shared" si="17"/>
        <v>5189.75</v>
      </c>
      <c r="S351" s="73">
        <v>85585.45</v>
      </c>
    </row>
    <row r="352" spans="1:19" x14ac:dyDescent="0.25">
      <c r="A352" s="28"/>
      <c r="B352" s="45" t="str">
        <f t="shared" si="15"/>
        <v>Nov-2023</v>
      </c>
      <c r="C352" s="57">
        <v>45242</v>
      </c>
      <c r="D352" s="43">
        <f t="shared" si="16"/>
        <v>870</v>
      </c>
      <c r="E352" s="76">
        <v>83</v>
      </c>
      <c r="F352" s="50">
        <v>170</v>
      </c>
      <c r="G352" s="49">
        <v>83880</v>
      </c>
      <c r="H352" s="73">
        <v>170</v>
      </c>
      <c r="I352" s="77">
        <v>170</v>
      </c>
      <c r="J352" s="73">
        <v>78505.919999999998</v>
      </c>
      <c r="K352" s="52">
        <v>2</v>
      </c>
      <c r="L352" s="51">
        <v>370</v>
      </c>
      <c r="M352" s="77">
        <v>74</v>
      </c>
      <c r="N352" s="76">
        <v>24284.94</v>
      </c>
      <c r="O352" s="75">
        <v>65</v>
      </c>
      <c r="P352" s="74">
        <v>14897.239999999998</v>
      </c>
      <c r="Q352" s="74">
        <v>323.90999999999997</v>
      </c>
      <c r="R352" s="53">
        <f t="shared" si="17"/>
        <v>4194</v>
      </c>
      <c r="S352" s="73">
        <v>78505.919999999998</v>
      </c>
    </row>
    <row r="353" spans="1:19" x14ac:dyDescent="0.25">
      <c r="A353" s="28"/>
      <c r="B353" s="45" t="str">
        <f t="shared" si="15"/>
        <v>Nov-2023</v>
      </c>
      <c r="C353" s="57">
        <v>45243</v>
      </c>
      <c r="D353" s="43">
        <f t="shared" si="16"/>
        <v>869</v>
      </c>
      <c r="E353" s="76">
        <v>86</v>
      </c>
      <c r="F353" s="50">
        <v>216</v>
      </c>
      <c r="G353" s="49">
        <v>108700</v>
      </c>
      <c r="H353" s="73">
        <v>216</v>
      </c>
      <c r="I353" s="77">
        <v>216</v>
      </c>
      <c r="J353" s="73">
        <v>96570.59</v>
      </c>
      <c r="K353" s="52">
        <v>4</v>
      </c>
      <c r="L353" s="51">
        <v>574</v>
      </c>
      <c r="M353" s="77">
        <v>118</v>
      </c>
      <c r="N353" s="76">
        <v>34464.5</v>
      </c>
      <c r="O353" s="75">
        <v>92</v>
      </c>
      <c r="P353" s="74">
        <v>18407.840000000007</v>
      </c>
      <c r="Q353" s="74">
        <v>479.85</v>
      </c>
      <c r="R353" s="53">
        <f t="shared" si="17"/>
        <v>5435</v>
      </c>
      <c r="S353" s="73">
        <v>96570.59</v>
      </c>
    </row>
    <row r="354" spans="1:19" x14ac:dyDescent="0.25">
      <c r="A354" s="28"/>
      <c r="B354" s="45" t="str">
        <f t="shared" si="15"/>
        <v>Nov-2023</v>
      </c>
      <c r="C354" s="57">
        <v>45244</v>
      </c>
      <c r="D354" s="43">
        <f t="shared" si="16"/>
        <v>868</v>
      </c>
      <c r="E354" s="76">
        <v>87</v>
      </c>
      <c r="F354" s="50">
        <v>173</v>
      </c>
      <c r="G354" s="49">
        <v>87580</v>
      </c>
      <c r="H354" s="73">
        <v>173</v>
      </c>
      <c r="I354" s="77">
        <v>173</v>
      </c>
      <c r="J354" s="73">
        <v>82560.350000000006</v>
      </c>
      <c r="K354" s="52">
        <v>2</v>
      </c>
      <c r="L354" s="51">
        <v>42</v>
      </c>
      <c r="M354" s="77">
        <v>83</v>
      </c>
      <c r="N354" s="76">
        <v>25157.47</v>
      </c>
      <c r="O354" s="75">
        <v>74</v>
      </c>
      <c r="P354" s="74">
        <v>15604.009999999997</v>
      </c>
      <c r="Q354" s="74">
        <v>332.43000000000006</v>
      </c>
      <c r="R354" s="53">
        <f t="shared" si="17"/>
        <v>4379</v>
      </c>
      <c r="S354" s="73">
        <v>82560.350000000006</v>
      </c>
    </row>
    <row r="355" spans="1:19" x14ac:dyDescent="0.25">
      <c r="A355" s="28"/>
      <c r="B355" s="45" t="str">
        <f t="shared" si="15"/>
        <v>Nov-2023</v>
      </c>
      <c r="C355" s="57">
        <v>45245</v>
      </c>
      <c r="D355" s="43">
        <f t="shared" si="16"/>
        <v>867</v>
      </c>
      <c r="E355" s="76">
        <v>108</v>
      </c>
      <c r="F355" s="50">
        <v>196</v>
      </c>
      <c r="G355" s="49">
        <v>100870</v>
      </c>
      <c r="H355" s="73">
        <v>196</v>
      </c>
      <c r="I355" s="77">
        <v>196</v>
      </c>
      <c r="J355" s="73">
        <v>89402.99</v>
      </c>
      <c r="K355" s="52"/>
      <c r="L355" s="51"/>
      <c r="M355" s="77">
        <v>85</v>
      </c>
      <c r="N355" s="76">
        <v>33000.97</v>
      </c>
      <c r="O355" s="75">
        <v>76</v>
      </c>
      <c r="P355" s="74">
        <v>16858.69999999999</v>
      </c>
      <c r="Q355" s="74">
        <v>314.79000000000002</v>
      </c>
      <c r="R355" s="53">
        <f t="shared" si="17"/>
        <v>5043.5</v>
      </c>
      <c r="S355" s="73">
        <v>89402.989999999991</v>
      </c>
    </row>
    <row r="356" spans="1:19" x14ac:dyDescent="0.25">
      <c r="A356" s="28"/>
      <c r="B356" s="45" t="str">
        <f t="shared" si="15"/>
        <v>Nov-2023</v>
      </c>
      <c r="C356" s="57">
        <v>45246</v>
      </c>
      <c r="D356" s="43">
        <f t="shared" si="16"/>
        <v>866</v>
      </c>
      <c r="E356" s="76">
        <v>100</v>
      </c>
      <c r="F356" s="50">
        <v>219</v>
      </c>
      <c r="G356" s="49">
        <v>112190</v>
      </c>
      <c r="H356" s="73">
        <v>219</v>
      </c>
      <c r="I356" s="77">
        <v>219</v>
      </c>
      <c r="J356" s="73">
        <v>100126.03000000001</v>
      </c>
      <c r="K356" s="52">
        <v>1</v>
      </c>
      <c r="L356" s="51">
        <v>400</v>
      </c>
      <c r="M356" s="77">
        <v>86</v>
      </c>
      <c r="N356" s="76">
        <v>37349.42</v>
      </c>
      <c r="O356" s="75">
        <v>78</v>
      </c>
      <c r="P356" s="74">
        <v>19026.559999999979</v>
      </c>
      <c r="Q356" s="74">
        <v>486.10000000000008</v>
      </c>
      <c r="R356" s="53">
        <f t="shared" si="17"/>
        <v>5609.5</v>
      </c>
      <c r="S356" s="73">
        <v>100126.03000000001</v>
      </c>
    </row>
    <row r="357" spans="1:19" x14ac:dyDescent="0.25">
      <c r="A357" s="28"/>
      <c r="B357" s="45" t="str">
        <f t="shared" si="15"/>
        <v>Nov-2023</v>
      </c>
      <c r="C357" s="57">
        <v>45247</v>
      </c>
      <c r="D357" s="43">
        <f t="shared" si="16"/>
        <v>865</v>
      </c>
      <c r="E357" s="76">
        <v>62</v>
      </c>
      <c r="F357" s="50">
        <v>176</v>
      </c>
      <c r="G357" s="49">
        <v>89140</v>
      </c>
      <c r="H357" s="73">
        <v>176</v>
      </c>
      <c r="I357" s="77">
        <v>176</v>
      </c>
      <c r="J357" s="73">
        <v>79510.260000000009</v>
      </c>
      <c r="K357" s="52">
        <v>2</v>
      </c>
      <c r="L357" s="51">
        <v>1475.22</v>
      </c>
      <c r="M357" s="77">
        <v>75</v>
      </c>
      <c r="N357" s="76">
        <v>31359.39</v>
      </c>
      <c r="O357" s="75">
        <v>74</v>
      </c>
      <c r="P357" s="74">
        <v>14920.660000000005</v>
      </c>
      <c r="Q357" s="74">
        <v>216.17</v>
      </c>
      <c r="R357" s="53">
        <f t="shared" si="17"/>
        <v>4457</v>
      </c>
      <c r="S357" s="73">
        <v>79510.260000000009</v>
      </c>
    </row>
    <row r="358" spans="1:19" x14ac:dyDescent="0.25">
      <c r="A358" s="28"/>
      <c r="B358" s="45" t="str">
        <f t="shared" si="15"/>
        <v>Nov-2023</v>
      </c>
      <c r="C358" s="57">
        <v>45248</v>
      </c>
      <c r="D358" s="43">
        <f t="shared" si="16"/>
        <v>864</v>
      </c>
      <c r="E358" s="76">
        <v>98</v>
      </c>
      <c r="F358" s="50">
        <v>184</v>
      </c>
      <c r="G358" s="49">
        <v>94263</v>
      </c>
      <c r="H358" s="73">
        <v>184</v>
      </c>
      <c r="I358" s="77">
        <v>184</v>
      </c>
      <c r="J358" s="73">
        <v>78871.360000000001</v>
      </c>
      <c r="K358" s="52">
        <v>3</v>
      </c>
      <c r="L358" s="51">
        <v>975</v>
      </c>
      <c r="M358" s="77">
        <v>115</v>
      </c>
      <c r="N358" s="76">
        <v>36971.14</v>
      </c>
      <c r="O358" s="75">
        <v>99</v>
      </c>
      <c r="P358" s="74">
        <v>14880.780000000015</v>
      </c>
      <c r="Q358" s="74">
        <v>323.27</v>
      </c>
      <c r="R358" s="53">
        <f t="shared" si="17"/>
        <v>4713.1500000000005</v>
      </c>
      <c r="S358" s="73">
        <v>78871.360000000001</v>
      </c>
    </row>
    <row r="359" spans="1:19" x14ac:dyDescent="0.25">
      <c r="A359" s="28"/>
      <c r="B359" s="45" t="str">
        <f t="shared" si="15"/>
        <v>Nov-2023</v>
      </c>
      <c r="C359" s="57">
        <v>45249</v>
      </c>
      <c r="D359" s="43">
        <f t="shared" si="16"/>
        <v>863</v>
      </c>
      <c r="E359" s="76">
        <v>90</v>
      </c>
      <c r="F359" s="50">
        <v>199</v>
      </c>
      <c r="G359" s="49">
        <v>102675</v>
      </c>
      <c r="H359" s="73">
        <v>199</v>
      </c>
      <c r="I359" s="77">
        <v>199</v>
      </c>
      <c r="J359" s="73">
        <v>86865.66</v>
      </c>
      <c r="K359" s="52">
        <v>3</v>
      </c>
      <c r="L359" s="51">
        <v>39</v>
      </c>
      <c r="M359" s="77">
        <v>114</v>
      </c>
      <c r="N359" s="76">
        <v>41682.519999999997</v>
      </c>
      <c r="O359" s="75">
        <v>96</v>
      </c>
      <c r="P359" s="74">
        <v>16515.099999999999</v>
      </c>
      <c r="Q359" s="74">
        <v>506.84000000000009</v>
      </c>
      <c r="R359" s="53">
        <f t="shared" si="17"/>
        <v>5133.75</v>
      </c>
      <c r="S359" s="73">
        <v>86865.66</v>
      </c>
    </row>
    <row r="360" spans="1:19" x14ac:dyDescent="0.25">
      <c r="A360" s="28"/>
      <c r="B360" s="45" t="str">
        <f t="shared" si="15"/>
        <v>Nov-2023</v>
      </c>
      <c r="C360" s="57">
        <v>45250</v>
      </c>
      <c r="D360" s="43">
        <f t="shared" si="16"/>
        <v>862</v>
      </c>
      <c r="E360" s="76">
        <v>97</v>
      </c>
      <c r="F360" s="50">
        <v>207</v>
      </c>
      <c r="G360" s="49">
        <v>103675</v>
      </c>
      <c r="H360" s="73">
        <v>207</v>
      </c>
      <c r="I360" s="77">
        <v>207</v>
      </c>
      <c r="J360" s="73">
        <v>94594.040000000008</v>
      </c>
      <c r="K360" s="52">
        <v>3</v>
      </c>
      <c r="L360" s="51">
        <v>794</v>
      </c>
      <c r="M360" s="77">
        <v>93</v>
      </c>
      <c r="N360" s="76">
        <v>31187.25</v>
      </c>
      <c r="O360" s="75">
        <v>85</v>
      </c>
      <c r="P360" s="74">
        <v>17629.359999999993</v>
      </c>
      <c r="Q360" s="74">
        <v>237.66999999999993</v>
      </c>
      <c r="R360" s="53">
        <f t="shared" si="17"/>
        <v>5183.75</v>
      </c>
      <c r="S360" s="73">
        <v>94594.040000000008</v>
      </c>
    </row>
    <row r="361" spans="1:19" x14ac:dyDescent="0.25">
      <c r="A361" s="28"/>
      <c r="B361" s="45" t="str">
        <f t="shared" si="15"/>
        <v>Nov-2023</v>
      </c>
      <c r="C361" s="57">
        <v>45251</v>
      </c>
      <c r="D361" s="43">
        <f t="shared" si="16"/>
        <v>861</v>
      </c>
      <c r="E361" s="76">
        <v>99</v>
      </c>
      <c r="F361" s="50">
        <v>224</v>
      </c>
      <c r="G361" s="49">
        <v>115900</v>
      </c>
      <c r="H361" s="73">
        <v>223</v>
      </c>
      <c r="I361" s="77">
        <v>224</v>
      </c>
      <c r="J361" s="73">
        <v>95755.06</v>
      </c>
      <c r="K361" s="52">
        <v>6</v>
      </c>
      <c r="L361" s="51">
        <v>615.08999999999992</v>
      </c>
      <c r="M361" s="77">
        <v>137</v>
      </c>
      <c r="N361" s="76">
        <v>50724.1</v>
      </c>
      <c r="O361" s="75">
        <v>122</v>
      </c>
      <c r="P361" s="74">
        <v>18087.760000000017</v>
      </c>
      <c r="Q361" s="74">
        <v>503.59999999999997</v>
      </c>
      <c r="R361" s="53">
        <f t="shared" si="17"/>
        <v>5795</v>
      </c>
      <c r="S361" s="73">
        <v>95755.06</v>
      </c>
    </row>
    <row r="362" spans="1:19" x14ac:dyDescent="0.25">
      <c r="A362" s="28"/>
      <c r="B362" s="45" t="str">
        <f t="shared" si="15"/>
        <v>Nov-2023</v>
      </c>
      <c r="C362" s="57">
        <v>45252</v>
      </c>
      <c r="D362" s="43">
        <f t="shared" si="16"/>
        <v>860</v>
      </c>
      <c r="E362" s="76">
        <v>80</v>
      </c>
      <c r="F362" s="50">
        <v>206</v>
      </c>
      <c r="G362" s="49">
        <v>104875</v>
      </c>
      <c r="H362" s="73">
        <v>204</v>
      </c>
      <c r="I362" s="77">
        <v>206</v>
      </c>
      <c r="J362" s="73">
        <v>93819.489999999991</v>
      </c>
      <c r="K362" s="52">
        <v>16</v>
      </c>
      <c r="L362" s="51">
        <v>4389.3700000000008</v>
      </c>
      <c r="M362" s="77">
        <v>115</v>
      </c>
      <c r="N362" s="76">
        <v>31204.5</v>
      </c>
      <c r="O362" s="75">
        <v>96</v>
      </c>
      <c r="P362" s="74">
        <v>17764.060000000009</v>
      </c>
      <c r="Q362" s="74">
        <v>495.4799999999999</v>
      </c>
      <c r="R362" s="53">
        <f t="shared" si="17"/>
        <v>5243.75</v>
      </c>
      <c r="S362" s="73">
        <v>93819.489999999991</v>
      </c>
    </row>
    <row r="363" spans="1:19" x14ac:dyDescent="0.25">
      <c r="A363" s="28"/>
      <c r="B363" s="45" t="str">
        <f t="shared" si="15"/>
        <v>Nov-2023</v>
      </c>
      <c r="C363" s="57">
        <v>45253</v>
      </c>
      <c r="D363" s="43">
        <f t="shared" si="16"/>
        <v>859</v>
      </c>
      <c r="E363" s="76">
        <v>106</v>
      </c>
      <c r="F363" s="50">
        <v>221</v>
      </c>
      <c r="G363" s="49">
        <v>112040</v>
      </c>
      <c r="H363" s="73">
        <v>221</v>
      </c>
      <c r="I363" s="77">
        <v>221</v>
      </c>
      <c r="J363" s="73">
        <v>93281.01</v>
      </c>
      <c r="K363" s="52">
        <v>4</v>
      </c>
      <c r="L363" s="51">
        <v>765.5</v>
      </c>
      <c r="M363" s="77">
        <v>124</v>
      </c>
      <c r="N363" s="76">
        <v>36282.120000000003</v>
      </c>
      <c r="O363" s="75">
        <v>113</v>
      </c>
      <c r="P363" s="74">
        <v>17523.130000000012</v>
      </c>
      <c r="Q363" s="74">
        <v>399.06</v>
      </c>
      <c r="R363" s="53">
        <f t="shared" si="17"/>
        <v>5602</v>
      </c>
      <c r="S363" s="73">
        <v>93281.01</v>
      </c>
    </row>
    <row r="364" spans="1:19" x14ac:dyDescent="0.25">
      <c r="A364" s="28"/>
      <c r="B364" s="45" t="str">
        <f t="shared" si="15"/>
        <v>Nov-2023</v>
      </c>
      <c r="C364" s="57">
        <v>45254</v>
      </c>
      <c r="D364" s="43">
        <f t="shared" si="16"/>
        <v>858</v>
      </c>
      <c r="E364" s="76">
        <v>113</v>
      </c>
      <c r="F364" s="50">
        <v>225</v>
      </c>
      <c r="G364" s="49">
        <v>113687</v>
      </c>
      <c r="H364" s="73">
        <v>224</v>
      </c>
      <c r="I364" s="77">
        <v>225</v>
      </c>
      <c r="J364" s="73">
        <v>106425.15</v>
      </c>
      <c r="K364" s="52">
        <v>2</v>
      </c>
      <c r="L364" s="51">
        <v>504.11</v>
      </c>
      <c r="M364" s="77">
        <v>88</v>
      </c>
      <c r="N364" s="76">
        <v>27102.18</v>
      </c>
      <c r="O364" s="75">
        <v>82</v>
      </c>
      <c r="P364" s="74">
        <v>19840.330000000002</v>
      </c>
      <c r="Q364" s="74">
        <v>315.40999999999997</v>
      </c>
      <c r="R364" s="53">
        <f t="shared" si="17"/>
        <v>5684.35</v>
      </c>
      <c r="S364" s="73">
        <v>106425.14999999998</v>
      </c>
    </row>
    <row r="365" spans="1:19" x14ac:dyDescent="0.25">
      <c r="A365" s="28"/>
      <c r="B365" s="45" t="str">
        <f t="shared" si="15"/>
        <v>Nov-2023</v>
      </c>
      <c r="C365" s="57">
        <v>45255</v>
      </c>
      <c r="D365" s="43">
        <f t="shared" si="16"/>
        <v>857</v>
      </c>
      <c r="E365" s="76">
        <v>111</v>
      </c>
      <c r="F365" s="50">
        <v>250</v>
      </c>
      <c r="G365" s="49">
        <v>125245</v>
      </c>
      <c r="H365" s="73">
        <v>250</v>
      </c>
      <c r="I365" s="77">
        <v>250</v>
      </c>
      <c r="J365" s="73">
        <v>123063.95</v>
      </c>
      <c r="K365" s="52">
        <v>2</v>
      </c>
      <c r="L365" s="51">
        <v>10</v>
      </c>
      <c r="M365" s="77">
        <v>101</v>
      </c>
      <c r="N365" s="76">
        <v>25141.09</v>
      </c>
      <c r="O365" s="75">
        <v>94</v>
      </c>
      <c r="P365" s="74">
        <v>22960.040000000015</v>
      </c>
      <c r="Q365" s="74">
        <v>400.17</v>
      </c>
      <c r="R365" s="53">
        <f t="shared" si="17"/>
        <v>6262.25</v>
      </c>
      <c r="S365" s="73">
        <v>123063.95</v>
      </c>
    </row>
    <row r="366" spans="1:19" x14ac:dyDescent="0.25">
      <c r="A366" s="28"/>
      <c r="B366" s="45" t="str">
        <f t="shared" si="15"/>
        <v>Nov-2023</v>
      </c>
      <c r="C366" s="57">
        <v>45256</v>
      </c>
      <c r="D366" s="43">
        <f t="shared" si="16"/>
        <v>856</v>
      </c>
      <c r="E366" s="76">
        <v>96</v>
      </c>
      <c r="F366" s="50">
        <v>204</v>
      </c>
      <c r="G366" s="49">
        <v>102895</v>
      </c>
      <c r="H366" s="73">
        <v>203</v>
      </c>
      <c r="I366" s="77">
        <v>204</v>
      </c>
      <c r="J366" s="73">
        <v>91979.85</v>
      </c>
      <c r="K366" s="52">
        <v>1</v>
      </c>
      <c r="L366" s="51">
        <v>100.02</v>
      </c>
      <c r="M366" s="77">
        <v>85</v>
      </c>
      <c r="N366" s="76">
        <v>28340.65</v>
      </c>
      <c r="O366" s="75">
        <v>78</v>
      </c>
      <c r="P366" s="74">
        <v>17425.499999999989</v>
      </c>
      <c r="Q366" s="74">
        <v>557.7299999999999</v>
      </c>
      <c r="R366" s="53">
        <f t="shared" si="17"/>
        <v>5144.75</v>
      </c>
      <c r="S366" s="73">
        <v>91979.849999999991</v>
      </c>
    </row>
    <row r="367" spans="1:19" x14ac:dyDescent="0.25">
      <c r="A367" s="28"/>
      <c r="B367" s="45" t="str">
        <f t="shared" si="15"/>
        <v>Nov-2023</v>
      </c>
      <c r="C367" s="57">
        <v>45257</v>
      </c>
      <c r="D367" s="43">
        <f t="shared" si="16"/>
        <v>855</v>
      </c>
      <c r="E367" s="76">
        <v>103</v>
      </c>
      <c r="F367" s="50">
        <v>173</v>
      </c>
      <c r="G367" s="49">
        <v>86355</v>
      </c>
      <c r="H367" s="73">
        <v>173</v>
      </c>
      <c r="I367" s="77">
        <v>173</v>
      </c>
      <c r="J367" s="73">
        <v>89938.5</v>
      </c>
      <c r="K367" s="52">
        <v>2</v>
      </c>
      <c r="L367" s="51">
        <v>11</v>
      </c>
      <c r="M367" s="77">
        <v>39</v>
      </c>
      <c r="N367" s="76">
        <v>13089.62</v>
      </c>
      <c r="O367" s="75">
        <v>38</v>
      </c>
      <c r="P367" s="74">
        <v>16673.120000000006</v>
      </c>
      <c r="Q367" s="74">
        <v>232.54000000000002</v>
      </c>
      <c r="R367" s="53">
        <f t="shared" si="17"/>
        <v>4317.75</v>
      </c>
      <c r="S367" s="73">
        <v>89938.5</v>
      </c>
    </row>
    <row r="368" spans="1:19" x14ac:dyDescent="0.25">
      <c r="A368" s="28"/>
      <c r="B368" s="45" t="str">
        <f t="shared" si="15"/>
        <v>Nov-2023</v>
      </c>
      <c r="C368" s="57">
        <v>45258</v>
      </c>
      <c r="D368" s="43">
        <f t="shared" si="16"/>
        <v>854</v>
      </c>
      <c r="E368" s="76">
        <v>94</v>
      </c>
      <c r="F368" s="50">
        <v>422</v>
      </c>
      <c r="G368" s="49">
        <v>254628</v>
      </c>
      <c r="H368" s="73">
        <v>416</v>
      </c>
      <c r="I368" s="77">
        <v>422</v>
      </c>
      <c r="J368" s="73">
        <v>138201.65999999997</v>
      </c>
      <c r="K368" s="52">
        <v>17</v>
      </c>
      <c r="L368" s="51">
        <v>4840.67</v>
      </c>
      <c r="M368" s="77">
        <v>402</v>
      </c>
      <c r="N368" s="76">
        <v>142902.12</v>
      </c>
      <c r="O368" s="75">
        <v>345</v>
      </c>
      <c r="P368" s="74">
        <v>26475.780000000002</v>
      </c>
      <c r="Q368" s="74">
        <v>1210.5900000000004</v>
      </c>
      <c r="R368" s="53">
        <f t="shared" si="17"/>
        <v>12731.400000000001</v>
      </c>
      <c r="S368" s="73">
        <v>138201.65999999997</v>
      </c>
    </row>
    <row r="369" spans="1:19" x14ac:dyDescent="0.25">
      <c r="A369" s="28"/>
      <c r="B369" s="45" t="str">
        <f t="shared" si="15"/>
        <v>Nov-2023</v>
      </c>
      <c r="C369" s="57">
        <v>45259</v>
      </c>
      <c r="D369" s="43">
        <f t="shared" si="16"/>
        <v>853</v>
      </c>
      <c r="E369" s="76">
        <v>43</v>
      </c>
      <c r="F369" s="50">
        <v>272</v>
      </c>
      <c r="G369" s="49">
        <v>161044</v>
      </c>
      <c r="H369" s="73">
        <v>272</v>
      </c>
      <c r="I369" s="77">
        <v>272</v>
      </c>
      <c r="J369" s="73">
        <v>85636.97</v>
      </c>
      <c r="K369" s="52">
        <v>4</v>
      </c>
      <c r="L369" s="51">
        <v>1250.22</v>
      </c>
      <c r="M369" s="77">
        <v>261</v>
      </c>
      <c r="N369" s="76">
        <v>91605.95</v>
      </c>
      <c r="O369" s="75">
        <v>227</v>
      </c>
      <c r="P369" s="74">
        <v>16198.919999999998</v>
      </c>
      <c r="Q369" s="74">
        <v>573.16999999999985</v>
      </c>
      <c r="R369" s="53">
        <f t="shared" si="17"/>
        <v>8052.2000000000007</v>
      </c>
      <c r="S369" s="73">
        <v>85636.970000000016</v>
      </c>
    </row>
    <row r="370" spans="1:19" x14ac:dyDescent="0.25">
      <c r="A370" s="28"/>
      <c r="B370" s="45" t="str">
        <f t="shared" si="15"/>
        <v>Nov-2023</v>
      </c>
      <c r="C370" s="57">
        <v>45260</v>
      </c>
      <c r="D370" s="43">
        <f t="shared" si="16"/>
        <v>852</v>
      </c>
      <c r="E370" s="76">
        <v>188</v>
      </c>
      <c r="F370" s="50">
        <v>2917</v>
      </c>
      <c r="G370" s="49">
        <v>2039221</v>
      </c>
      <c r="H370" s="73">
        <v>2906</v>
      </c>
      <c r="I370" s="77">
        <v>2917</v>
      </c>
      <c r="J370" s="73">
        <v>893478.83000000007</v>
      </c>
      <c r="K370" s="52">
        <v>40</v>
      </c>
      <c r="L370" s="51">
        <v>14310.87</v>
      </c>
      <c r="M370" s="77">
        <v>3119</v>
      </c>
      <c r="N370" s="76">
        <v>1322913.68</v>
      </c>
      <c r="O370" s="75">
        <v>2792</v>
      </c>
      <c r="P370" s="74">
        <v>177171.50999999946</v>
      </c>
      <c r="Q370" s="74">
        <v>14608.240000000022</v>
      </c>
      <c r="R370" s="53">
        <f t="shared" si="17"/>
        <v>101961.05</v>
      </c>
      <c r="S370" s="73">
        <v>893478.83000000031</v>
      </c>
    </row>
    <row r="371" spans="1:19" x14ac:dyDescent="0.25">
      <c r="A371" s="28"/>
      <c r="B371" s="45" t="str">
        <f t="shared" si="15"/>
        <v>Dec-2023</v>
      </c>
      <c r="C371" s="57">
        <v>45261</v>
      </c>
      <c r="D371" s="43">
        <f t="shared" si="16"/>
        <v>851</v>
      </c>
      <c r="E371" s="76">
        <v>203</v>
      </c>
      <c r="F371" s="50">
        <v>1188</v>
      </c>
      <c r="G371" s="49">
        <v>938100</v>
      </c>
      <c r="H371" s="73">
        <v>1187</v>
      </c>
      <c r="I371" s="77">
        <v>1188</v>
      </c>
      <c r="J371" s="73">
        <v>461055.62000000017</v>
      </c>
      <c r="K371" s="52">
        <v>6</v>
      </c>
      <c r="L371" s="51">
        <v>3040.63</v>
      </c>
      <c r="M371" s="77">
        <v>1247</v>
      </c>
      <c r="N371" s="76">
        <v>567068.64</v>
      </c>
      <c r="O371" s="75">
        <v>1089</v>
      </c>
      <c r="P371" s="74">
        <v>90024.25999999998</v>
      </c>
      <c r="Q371" s="74">
        <v>6426.4999999999945</v>
      </c>
      <c r="R371" s="53">
        <f t="shared" si="17"/>
        <v>46905</v>
      </c>
      <c r="S371" s="73">
        <v>461055.62000000011</v>
      </c>
    </row>
    <row r="372" spans="1:19" x14ac:dyDescent="0.25">
      <c r="A372" s="28"/>
      <c r="B372" s="45" t="str">
        <f t="shared" si="15"/>
        <v>Dec-2023</v>
      </c>
      <c r="C372" s="57">
        <v>45262</v>
      </c>
      <c r="D372" s="43">
        <f t="shared" si="16"/>
        <v>850</v>
      </c>
      <c r="E372" s="76">
        <v>127</v>
      </c>
      <c r="F372" s="50">
        <v>602</v>
      </c>
      <c r="G372" s="49">
        <v>464220</v>
      </c>
      <c r="H372" s="73">
        <v>602</v>
      </c>
      <c r="I372" s="77">
        <v>602</v>
      </c>
      <c r="J372" s="73">
        <v>246053.07999999996</v>
      </c>
      <c r="K372" s="52"/>
      <c r="L372" s="51"/>
      <c r="M372" s="77">
        <v>558</v>
      </c>
      <c r="N372" s="76">
        <v>265926.92</v>
      </c>
      <c r="O372" s="75">
        <v>504</v>
      </c>
      <c r="P372" s="74">
        <v>47759.999999999993</v>
      </c>
      <c r="Q372" s="74">
        <v>2971.6599999999985</v>
      </c>
      <c r="R372" s="53">
        <f t="shared" si="17"/>
        <v>23211</v>
      </c>
      <c r="S372" s="73">
        <v>246053.07999999996</v>
      </c>
    </row>
    <row r="373" spans="1:19" x14ac:dyDescent="0.25">
      <c r="A373" s="28"/>
      <c r="B373" s="45" t="str">
        <f t="shared" si="15"/>
        <v>Dec-2023</v>
      </c>
      <c r="C373" s="57">
        <v>45263</v>
      </c>
      <c r="D373" s="43">
        <f t="shared" si="16"/>
        <v>849</v>
      </c>
      <c r="E373" s="76">
        <v>104</v>
      </c>
      <c r="F373" s="50">
        <v>451</v>
      </c>
      <c r="G373" s="49">
        <v>340634</v>
      </c>
      <c r="H373" s="73">
        <v>451</v>
      </c>
      <c r="I373" s="77">
        <v>451</v>
      </c>
      <c r="J373" s="73">
        <v>165142.48000000001</v>
      </c>
      <c r="K373" s="52"/>
      <c r="L373" s="51"/>
      <c r="M373" s="77">
        <v>451</v>
      </c>
      <c r="N373" s="76">
        <v>207742.78</v>
      </c>
      <c r="O373" s="75">
        <v>398</v>
      </c>
      <c r="P373" s="74">
        <v>32251.259999999947</v>
      </c>
      <c r="Q373" s="74">
        <v>2299.8399999999997</v>
      </c>
      <c r="R373" s="53">
        <f t="shared" si="17"/>
        <v>17031.7</v>
      </c>
      <c r="S373" s="73">
        <v>165142.47999999995</v>
      </c>
    </row>
    <row r="374" spans="1:19" x14ac:dyDescent="0.25">
      <c r="A374" s="28"/>
      <c r="B374" s="45" t="str">
        <f t="shared" si="15"/>
        <v>Dec-2023</v>
      </c>
      <c r="C374" s="57">
        <v>45264</v>
      </c>
      <c r="D374" s="43">
        <f t="shared" si="16"/>
        <v>848</v>
      </c>
      <c r="E374" s="76">
        <v>92</v>
      </c>
      <c r="F374" s="50">
        <v>715</v>
      </c>
      <c r="G374" s="49">
        <v>538350</v>
      </c>
      <c r="H374" s="73">
        <v>715</v>
      </c>
      <c r="I374" s="77">
        <v>715</v>
      </c>
      <c r="J374" s="73">
        <v>302758.84000000003</v>
      </c>
      <c r="K374" s="52"/>
      <c r="L374" s="51"/>
      <c r="M374" s="77">
        <v>751</v>
      </c>
      <c r="N374" s="76">
        <v>293948.65999999997</v>
      </c>
      <c r="O374" s="75">
        <v>670</v>
      </c>
      <c r="P374" s="74">
        <v>58357.500000000065</v>
      </c>
      <c r="Q374" s="74">
        <v>3656.0200000000004</v>
      </c>
      <c r="R374" s="53">
        <f t="shared" si="17"/>
        <v>26917.5</v>
      </c>
      <c r="S374" s="73">
        <v>302758.83999999997</v>
      </c>
    </row>
    <row r="375" spans="1:19" x14ac:dyDescent="0.25">
      <c r="A375" s="28"/>
      <c r="B375" s="45" t="str">
        <f t="shared" si="15"/>
        <v>Dec-2023</v>
      </c>
      <c r="C375" s="57">
        <v>45265</v>
      </c>
      <c r="D375" s="43">
        <f t="shared" si="16"/>
        <v>847</v>
      </c>
      <c r="E375" s="76">
        <v>106</v>
      </c>
      <c r="F375" s="50">
        <v>580</v>
      </c>
      <c r="G375" s="49">
        <v>423908</v>
      </c>
      <c r="H375" s="73">
        <v>580</v>
      </c>
      <c r="I375" s="77">
        <v>580</v>
      </c>
      <c r="J375" s="73">
        <v>224677.18000000011</v>
      </c>
      <c r="K375" s="52"/>
      <c r="L375" s="51"/>
      <c r="M375" s="77">
        <v>556</v>
      </c>
      <c r="N375" s="76">
        <v>242591.51</v>
      </c>
      <c r="O375" s="75">
        <v>499</v>
      </c>
      <c r="P375" s="74">
        <v>43360.689999999908</v>
      </c>
      <c r="Q375" s="74">
        <v>2704.7900000000018</v>
      </c>
      <c r="R375" s="53">
        <f t="shared" si="17"/>
        <v>21195.4</v>
      </c>
      <c r="S375" s="73">
        <v>224677.18000000014</v>
      </c>
    </row>
    <row r="376" spans="1:19" x14ac:dyDescent="0.25">
      <c r="A376" s="28"/>
      <c r="B376" s="45" t="str">
        <f t="shared" si="15"/>
        <v>Dec-2023</v>
      </c>
      <c r="C376" s="57">
        <v>45266</v>
      </c>
      <c r="D376" s="43">
        <f t="shared" si="16"/>
        <v>846</v>
      </c>
      <c r="E376" s="76">
        <v>91</v>
      </c>
      <c r="F376" s="50">
        <v>403</v>
      </c>
      <c r="G376" s="49">
        <v>290821</v>
      </c>
      <c r="H376" s="73">
        <v>402</v>
      </c>
      <c r="I376" s="77">
        <v>403</v>
      </c>
      <c r="J376" s="73">
        <v>155618.58999999997</v>
      </c>
      <c r="K376" s="52">
        <v>1</v>
      </c>
      <c r="L376" s="51">
        <v>1600.35</v>
      </c>
      <c r="M376" s="77">
        <v>371</v>
      </c>
      <c r="N376" s="76">
        <v>165580.57</v>
      </c>
      <c r="O376" s="75">
        <v>331</v>
      </c>
      <c r="P376" s="74">
        <v>30378.160000000036</v>
      </c>
      <c r="Q376" s="74">
        <v>2200.2800000000002</v>
      </c>
      <c r="R376" s="53">
        <f t="shared" si="17"/>
        <v>14541.050000000001</v>
      </c>
      <c r="S376" s="73">
        <v>155618.59</v>
      </c>
    </row>
    <row r="377" spans="1:19" x14ac:dyDescent="0.25">
      <c r="A377" s="28"/>
      <c r="B377" s="45" t="str">
        <f t="shared" si="15"/>
        <v>Dec-2023</v>
      </c>
      <c r="C377" s="57">
        <v>45267</v>
      </c>
      <c r="D377" s="43">
        <f t="shared" si="16"/>
        <v>845</v>
      </c>
      <c r="E377" s="76">
        <v>91</v>
      </c>
      <c r="F377" s="50">
        <v>393</v>
      </c>
      <c r="G377" s="49">
        <v>277759</v>
      </c>
      <c r="H377" s="73">
        <v>392</v>
      </c>
      <c r="I377" s="77">
        <v>393</v>
      </c>
      <c r="J377" s="73">
        <v>151225.53</v>
      </c>
      <c r="K377" s="52">
        <v>4</v>
      </c>
      <c r="L377" s="51">
        <v>1982.1799999999998</v>
      </c>
      <c r="M377" s="77">
        <v>371</v>
      </c>
      <c r="N377" s="76">
        <v>155195.5</v>
      </c>
      <c r="O377" s="75">
        <v>317</v>
      </c>
      <c r="P377" s="74">
        <v>28662.029999999992</v>
      </c>
      <c r="Q377" s="74">
        <v>1315.0399999999997</v>
      </c>
      <c r="R377" s="53">
        <f t="shared" si="17"/>
        <v>13887.95</v>
      </c>
      <c r="S377" s="73">
        <v>151225.53</v>
      </c>
    </row>
    <row r="378" spans="1:19" x14ac:dyDescent="0.25">
      <c r="A378" s="28"/>
      <c r="B378" s="45" t="str">
        <f t="shared" si="15"/>
        <v>Dec-2023</v>
      </c>
      <c r="C378" s="57">
        <v>45268</v>
      </c>
      <c r="D378" s="43">
        <f t="shared" si="16"/>
        <v>844</v>
      </c>
      <c r="E378" s="76">
        <v>107</v>
      </c>
      <c r="F378" s="50">
        <v>417</v>
      </c>
      <c r="G378" s="49">
        <v>300438</v>
      </c>
      <c r="H378" s="73">
        <v>416</v>
      </c>
      <c r="I378" s="77">
        <v>417</v>
      </c>
      <c r="J378" s="73">
        <v>183586.14999999994</v>
      </c>
      <c r="K378" s="52">
        <v>4</v>
      </c>
      <c r="L378" s="51">
        <v>2602.5500000000002</v>
      </c>
      <c r="M378" s="77">
        <v>374</v>
      </c>
      <c r="N378" s="76">
        <v>152278.67000000001</v>
      </c>
      <c r="O378" s="75">
        <v>337</v>
      </c>
      <c r="P378" s="74">
        <v>35426.819999999978</v>
      </c>
      <c r="Q378" s="74">
        <v>2404.69</v>
      </c>
      <c r="R378" s="53">
        <f t="shared" si="17"/>
        <v>15021.900000000001</v>
      </c>
      <c r="S378" s="73">
        <v>183586.15</v>
      </c>
    </row>
    <row r="379" spans="1:19" x14ac:dyDescent="0.25">
      <c r="A379" s="28"/>
      <c r="B379" s="45" t="str">
        <f t="shared" si="15"/>
        <v>Dec-2023</v>
      </c>
      <c r="C379" s="57">
        <v>45269</v>
      </c>
      <c r="D379" s="43">
        <f t="shared" si="16"/>
        <v>843</v>
      </c>
      <c r="E379" s="76">
        <v>98</v>
      </c>
      <c r="F379" s="50">
        <v>385</v>
      </c>
      <c r="G379" s="49">
        <v>294255</v>
      </c>
      <c r="H379" s="73">
        <v>383</v>
      </c>
      <c r="I379" s="77">
        <v>385</v>
      </c>
      <c r="J379" s="73">
        <v>126706.34999999999</v>
      </c>
      <c r="K379" s="52">
        <v>9</v>
      </c>
      <c r="L379" s="51">
        <v>4980.6000000000004</v>
      </c>
      <c r="M379" s="77">
        <v>422</v>
      </c>
      <c r="N379" s="76">
        <v>192121.87</v>
      </c>
      <c r="O379" s="75">
        <v>364</v>
      </c>
      <c r="P379" s="74">
        <v>24573.220000000012</v>
      </c>
      <c r="Q379" s="74">
        <v>1839.41</v>
      </c>
      <c r="R379" s="53">
        <f t="shared" si="17"/>
        <v>14712.75</v>
      </c>
      <c r="S379" s="73">
        <v>126706.35</v>
      </c>
    </row>
    <row r="380" spans="1:19" x14ac:dyDescent="0.25">
      <c r="A380" s="28"/>
      <c r="B380" s="45" t="str">
        <f t="shared" si="15"/>
        <v>Dec-2023</v>
      </c>
      <c r="C380" s="57">
        <v>45270</v>
      </c>
      <c r="D380" s="43">
        <f t="shared" si="16"/>
        <v>842</v>
      </c>
      <c r="E380" s="76">
        <v>92</v>
      </c>
      <c r="F380" s="50">
        <v>367</v>
      </c>
      <c r="G380" s="49">
        <v>270070</v>
      </c>
      <c r="H380" s="73">
        <v>366</v>
      </c>
      <c r="I380" s="77">
        <v>367</v>
      </c>
      <c r="J380" s="73">
        <v>128335.27999999998</v>
      </c>
      <c r="K380" s="52">
        <v>3</v>
      </c>
      <c r="L380" s="51">
        <v>2406.5299999999997</v>
      </c>
      <c r="M380" s="77">
        <v>340</v>
      </c>
      <c r="N380" s="76">
        <v>166047.45000000001</v>
      </c>
      <c r="O380" s="75">
        <v>309</v>
      </c>
      <c r="P380" s="74">
        <v>24312.730000000018</v>
      </c>
      <c r="Q380" s="74">
        <v>1177.4300000000005</v>
      </c>
      <c r="R380" s="53">
        <f t="shared" si="17"/>
        <v>13503.5</v>
      </c>
      <c r="S380" s="73">
        <v>128335.27999999996</v>
      </c>
    </row>
    <row r="381" spans="1:19" x14ac:dyDescent="0.25">
      <c r="A381" s="28"/>
      <c r="B381" s="45" t="str">
        <f t="shared" si="15"/>
        <v>Dec-2023</v>
      </c>
      <c r="C381" s="57">
        <v>45271</v>
      </c>
      <c r="D381" s="43">
        <f t="shared" si="16"/>
        <v>841</v>
      </c>
      <c r="E381" s="76">
        <v>84</v>
      </c>
      <c r="F381" s="50">
        <v>306</v>
      </c>
      <c r="G381" s="49">
        <v>217965</v>
      </c>
      <c r="H381" s="73">
        <v>305</v>
      </c>
      <c r="I381" s="77">
        <v>306</v>
      </c>
      <c r="J381" s="73">
        <v>112409.15000000001</v>
      </c>
      <c r="K381" s="52">
        <v>7</v>
      </c>
      <c r="L381" s="51">
        <v>2078.4499999999998</v>
      </c>
      <c r="M381" s="77">
        <v>279</v>
      </c>
      <c r="N381" s="76">
        <v>127004.06</v>
      </c>
      <c r="O381" s="75">
        <v>241</v>
      </c>
      <c r="P381" s="74">
        <v>21448.209999999985</v>
      </c>
      <c r="Q381" s="74">
        <v>1165.6600000000001</v>
      </c>
      <c r="R381" s="53">
        <f t="shared" si="17"/>
        <v>10898.25</v>
      </c>
      <c r="S381" s="73">
        <v>112409.15000000002</v>
      </c>
    </row>
    <row r="382" spans="1:19" x14ac:dyDescent="0.25">
      <c r="A382" s="28"/>
      <c r="B382" s="45" t="str">
        <f t="shared" si="15"/>
        <v>Dec-2023</v>
      </c>
      <c r="C382" s="57">
        <v>45272</v>
      </c>
      <c r="D382" s="43">
        <f t="shared" si="16"/>
        <v>840</v>
      </c>
      <c r="E382" s="76">
        <v>94</v>
      </c>
      <c r="F382" s="50">
        <v>395</v>
      </c>
      <c r="G382" s="49">
        <v>280070</v>
      </c>
      <c r="H382" s="73">
        <v>395</v>
      </c>
      <c r="I382" s="77">
        <v>395</v>
      </c>
      <c r="J382" s="73">
        <v>39022.470000000023</v>
      </c>
      <c r="K382" s="52">
        <v>8</v>
      </c>
      <c r="L382" s="51">
        <v>2967.25</v>
      </c>
      <c r="M382" s="77">
        <v>651</v>
      </c>
      <c r="N382" s="76">
        <v>249945.11</v>
      </c>
      <c r="O382" s="75">
        <v>595</v>
      </c>
      <c r="P382" s="74">
        <v>8897.5799999999908</v>
      </c>
      <c r="Q382" s="74">
        <v>1789.4699999999989</v>
      </c>
      <c r="R382" s="53">
        <f t="shared" si="17"/>
        <v>14003.5</v>
      </c>
      <c r="S382" s="73">
        <v>39022.470000000016</v>
      </c>
    </row>
    <row r="383" spans="1:19" x14ac:dyDescent="0.25">
      <c r="A383" s="28"/>
      <c r="B383" s="45" t="str">
        <f t="shared" si="15"/>
        <v>Dec-2023</v>
      </c>
      <c r="C383" s="57">
        <v>45273</v>
      </c>
      <c r="D383" s="43">
        <f t="shared" si="16"/>
        <v>839</v>
      </c>
      <c r="E383" s="76">
        <v>86</v>
      </c>
      <c r="F383" s="50">
        <v>383</v>
      </c>
      <c r="G383" s="49">
        <v>278264</v>
      </c>
      <c r="H383" s="73">
        <v>380</v>
      </c>
      <c r="I383" s="77">
        <v>383</v>
      </c>
      <c r="J383" s="73">
        <v>150258.96000000002</v>
      </c>
      <c r="K383" s="52">
        <v>6</v>
      </c>
      <c r="L383" s="51">
        <v>2570.5100000000002</v>
      </c>
      <c r="M383" s="77">
        <v>312</v>
      </c>
      <c r="N383" s="76">
        <v>156722.12</v>
      </c>
      <c r="O383" s="75">
        <v>281</v>
      </c>
      <c r="P383" s="74">
        <v>28717.079999999976</v>
      </c>
      <c r="Q383" s="74">
        <v>1697.5799999999995</v>
      </c>
      <c r="R383" s="53">
        <f t="shared" si="17"/>
        <v>13913.2</v>
      </c>
      <c r="S383" s="73">
        <v>150258.96000000002</v>
      </c>
    </row>
    <row r="384" spans="1:19" x14ac:dyDescent="0.25">
      <c r="A384" s="28"/>
      <c r="B384" s="45" t="str">
        <f t="shared" si="15"/>
        <v>Dec-2023</v>
      </c>
      <c r="C384" s="57">
        <v>45274</v>
      </c>
      <c r="D384" s="43">
        <f t="shared" si="16"/>
        <v>838</v>
      </c>
      <c r="E384" s="76">
        <v>179</v>
      </c>
      <c r="F384" s="50">
        <v>474</v>
      </c>
      <c r="G384" s="49">
        <v>353358</v>
      </c>
      <c r="H384" s="73">
        <v>474</v>
      </c>
      <c r="I384" s="77">
        <v>474</v>
      </c>
      <c r="J384" s="73">
        <v>181361.67</v>
      </c>
      <c r="K384" s="52">
        <v>11</v>
      </c>
      <c r="L384" s="51">
        <v>3020.78</v>
      </c>
      <c r="M384" s="77">
        <v>416</v>
      </c>
      <c r="N384" s="76">
        <v>206371.72</v>
      </c>
      <c r="O384" s="75">
        <v>364</v>
      </c>
      <c r="P384" s="74">
        <v>34375.390000000021</v>
      </c>
      <c r="Q384" s="74">
        <v>1779.67</v>
      </c>
      <c r="R384" s="53">
        <f t="shared" si="17"/>
        <v>17667.900000000001</v>
      </c>
      <c r="S384" s="73">
        <v>181361.67000000004</v>
      </c>
    </row>
    <row r="385" spans="1:19" x14ac:dyDescent="0.25">
      <c r="A385" s="28"/>
      <c r="B385" s="45" t="str">
        <f t="shared" si="15"/>
        <v>Dec-2023</v>
      </c>
      <c r="C385" s="57">
        <v>45275</v>
      </c>
      <c r="D385" s="43">
        <f t="shared" si="16"/>
        <v>837</v>
      </c>
      <c r="E385" s="76">
        <v>393</v>
      </c>
      <c r="F385" s="50">
        <v>466</v>
      </c>
      <c r="G385" s="49">
        <v>346575</v>
      </c>
      <c r="H385" s="73">
        <v>465</v>
      </c>
      <c r="I385" s="77">
        <v>466</v>
      </c>
      <c r="J385" s="73">
        <v>179554.84000000003</v>
      </c>
      <c r="K385" s="52">
        <v>13</v>
      </c>
      <c r="L385" s="51">
        <v>550.12</v>
      </c>
      <c r="M385" s="77">
        <v>428</v>
      </c>
      <c r="N385" s="76">
        <v>201486.95</v>
      </c>
      <c r="O385" s="75">
        <v>376</v>
      </c>
      <c r="P385" s="74">
        <v>34466.789999999972</v>
      </c>
      <c r="Q385" s="74">
        <v>2320.42</v>
      </c>
      <c r="R385" s="53">
        <f t="shared" si="17"/>
        <v>17328.75</v>
      </c>
      <c r="S385" s="73">
        <v>179554.84000000003</v>
      </c>
    </row>
    <row r="386" spans="1:19" x14ac:dyDescent="0.25">
      <c r="A386" s="28"/>
      <c r="B386" s="45" t="str">
        <f t="shared" si="15"/>
        <v>Dec-2023</v>
      </c>
      <c r="C386" s="57">
        <v>45276</v>
      </c>
      <c r="D386" s="43">
        <f t="shared" si="16"/>
        <v>836</v>
      </c>
      <c r="E386" s="76">
        <v>472</v>
      </c>
      <c r="F386" s="50">
        <v>404</v>
      </c>
      <c r="G386" s="49">
        <v>259767</v>
      </c>
      <c r="H386" s="73">
        <v>404</v>
      </c>
      <c r="I386" s="77">
        <v>404</v>
      </c>
      <c r="J386" s="73">
        <v>183388.43999999992</v>
      </c>
      <c r="K386" s="52">
        <v>5</v>
      </c>
      <c r="L386" s="51">
        <v>100.02</v>
      </c>
      <c r="M386" s="77">
        <v>273</v>
      </c>
      <c r="N386" s="76">
        <v>110643.37</v>
      </c>
      <c r="O386" s="75">
        <v>234</v>
      </c>
      <c r="P386" s="74">
        <v>34264.810000000005</v>
      </c>
      <c r="Q386" s="74">
        <v>1353.5900000000006</v>
      </c>
      <c r="R386" s="53">
        <f t="shared" si="17"/>
        <v>12988.35</v>
      </c>
      <c r="S386" s="73">
        <v>183388.43999999992</v>
      </c>
    </row>
    <row r="387" spans="1:19" x14ac:dyDescent="0.25">
      <c r="A387" s="28"/>
      <c r="B387" s="45" t="str">
        <f t="shared" si="15"/>
        <v>Dec-2023</v>
      </c>
      <c r="C387" s="57">
        <v>45277</v>
      </c>
      <c r="D387" s="43">
        <f t="shared" si="16"/>
        <v>835</v>
      </c>
      <c r="E387" s="76">
        <v>687</v>
      </c>
      <c r="F387" s="50">
        <v>738</v>
      </c>
      <c r="G387" s="49">
        <v>464142</v>
      </c>
      <c r="H387" s="73">
        <v>738</v>
      </c>
      <c r="I387" s="77">
        <v>738</v>
      </c>
      <c r="J387" s="73">
        <v>352864.23</v>
      </c>
      <c r="K387" s="52"/>
      <c r="L387" s="51"/>
      <c r="M387" s="77">
        <v>390</v>
      </c>
      <c r="N387" s="76">
        <v>176432.86</v>
      </c>
      <c r="O387" s="75">
        <v>349</v>
      </c>
      <c r="P387" s="74">
        <v>65155.090000000084</v>
      </c>
      <c r="Q387" s="74">
        <v>2029.6099999999994</v>
      </c>
      <c r="R387" s="53">
        <f t="shared" si="17"/>
        <v>23207.100000000002</v>
      </c>
      <c r="S387" s="73">
        <v>352864.23</v>
      </c>
    </row>
    <row r="388" spans="1:19" x14ac:dyDescent="0.25">
      <c r="A388" s="28"/>
      <c r="B388" s="45" t="str">
        <f t="shared" si="15"/>
        <v>Dec-2023</v>
      </c>
      <c r="C388" s="57">
        <v>45278</v>
      </c>
      <c r="D388" s="43">
        <f t="shared" si="16"/>
        <v>834</v>
      </c>
      <c r="E388" s="76">
        <v>552</v>
      </c>
      <c r="F388" s="50">
        <v>626</v>
      </c>
      <c r="G388" s="49">
        <v>406239</v>
      </c>
      <c r="H388" s="73">
        <v>626</v>
      </c>
      <c r="I388" s="77">
        <v>626</v>
      </c>
      <c r="J388" s="73">
        <v>290673.97000000003</v>
      </c>
      <c r="K388" s="52"/>
      <c r="L388" s="51"/>
      <c r="M388" s="77">
        <v>379</v>
      </c>
      <c r="N388" s="76">
        <v>169799.39</v>
      </c>
      <c r="O388" s="75">
        <v>347</v>
      </c>
      <c r="P388" s="74">
        <v>54234.360000000008</v>
      </c>
      <c r="Q388" s="74">
        <v>2195.1</v>
      </c>
      <c r="R388" s="53">
        <f t="shared" si="17"/>
        <v>20311.95</v>
      </c>
      <c r="S388" s="73">
        <v>290673.97000000003</v>
      </c>
    </row>
    <row r="389" spans="1:19" x14ac:dyDescent="0.25">
      <c r="A389" s="28"/>
      <c r="B389" s="45" t="str">
        <f t="shared" si="15"/>
        <v>Dec-2023</v>
      </c>
      <c r="C389" s="57">
        <v>45279</v>
      </c>
      <c r="D389" s="43">
        <f t="shared" si="16"/>
        <v>833</v>
      </c>
      <c r="E389" s="76">
        <v>521</v>
      </c>
      <c r="F389" s="50">
        <v>611</v>
      </c>
      <c r="G389" s="49">
        <v>412263</v>
      </c>
      <c r="H389" s="73">
        <v>611</v>
      </c>
      <c r="I389" s="77">
        <v>611</v>
      </c>
      <c r="J389" s="73">
        <v>272506.21999999997</v>
      </c>
      <c r="K389" s="52">
        <v>5</v>
      </c>
      <c r="L389" s="51">
        <v>469</v>
      </c>
      <c r="M389" s="77">
        <v>467</v>
      </c>
      <c r="N389" s="76">
        <v>190377.9</v>
      </c>
      <c r="O389" s="75">
        <v>401</v>
      </c>
      <c r="P389" s="74">
        <v>50621.120000000104</v>
      </c>
      <c r="Q389" s="74">
        <v>2222.6099999999997</v>
      </c>
      <c r="R389" s="53">
        <f t="shared" si="17"/>
        <v>20613.150000000001</v>
      </c>
      <c r="S389" s="73">
        <v>272506.21999999997</v>
      </c>
    </row>
    <row r="390" spans="1:19" x14ac:dyDescent="0.25">
      <c r="A390" s="28"/>
      <c r="B390" s="45" t="str">
        <f t="shared" ref="B390:B453" si="18">TEXT(C390,"MMM-YYYY")</f>
        <v>Dec-2023</v>
      </c>
      <c r="C390" s="57">
        <v>45280</v>
      </c>
      <c r="D390" s="43">
        <f t="shared" ref="D390:D453" si="19">$A$1-C390</f>
        <v>832</v>
      </c>
      <c r="E390" s="76">
        <v>499</v>
      </c>
      <c r="F390" s="50">
        <v>601</v>
      </c>
      <c r="G390" s="49">
        <v>407930</v>
      </c>
      <c r="H390" s="73">
        <v>599</v>
      </c>
      <c r="I390" s="77">
        <v>601</v>
      </c>
      <c r="J390" s="73">
        <v>277624.34000000003</v>
      </c>
      <c r="K390" s="52">
        <v>13</v>
      </c>
      <c r="L390" s="51">
        <v>6603.3799999999992</v>
      </c>
      <c r="M390" s="77">
        <v>415</v>
      </c>
      <c r="N390" s="76">
        <v>181733.03</v>
      </c>
      <c r="O390" s="75">
        <v>354</v>
      </c>
      <c r="P390" s="74">
        <v>51427.37000000009</v>
      </c>
      <c r="Q390" s="74">
        <v>1778.56</v>
      </c>
      <c r="R390" s="53">
        <f t="shared" ref="R390:R453" si="20">G390*5%</f>
        <v>20396.5</v>
      </c>
      <c r="S390" s="73">
        <v>277624.33999999997</v>
      </c>
    </row>
    <row r="391" spans="1:19" x14ac:dyDescent="0.25">
      <c r="A391" s="28"/>
      <c r="B391" s="45" t="str">
        <f t="shared" si="18"/>
        <v>Dec-2023</v>
      </c>
      <c r="C391" s="57">
        <v>45281</v>
      </c>
      <c r="D391" s="43">
        <f t="shared" si="19"/>
        <v>831</v>
      </c>
      <c r="E391" s="76">
        <v>404</v>
      </c>
      <c r="F391" s="50">
        <v>453</v>
      </c>
      <c r="G391" s="49">
        <v>289091</v>
      </c>
      <c r="H391" s="73">
        <v>453</v>
      </c>
      <c r="I391" s="77">
        <v>453</v>
      </c>
      <c r="J391" s="73">
        <v>206125.05</v>
      </c>
      <c r="K391" s="52"/>
      <c r="L391" s="51"/>
      <c r="M391" s="77">
        <v>280</v>
      </c>
      <c r="N391" s="76">
        <v>121947.36</v>
      </c>
      <c r="O391" s="75">
        <v>237</v>
      </c>
      <c r="P391" s="74">
        <v>38981.410000000084</v>
      </c>
      <c r="Q391" s="74">
        <v>2207.6799999999985</v>
      </c>
      <c r="R391" s="53">
        <f t="shared" si="20"/>
        <v>14454.550000000001</v>
      </c>
      <c r="S391" s="73">
        <v>206125.05</v>
      </c>
    </row>
    <row r="392" spans="1:19" x14ac:dyDescent="0.25">
      <c r="A392" s="28"/>
      <c r="B392" s="45" t="str">
        <f t="shared" si="18"/>
        <v>Dec-2023</v>
      </c>
      <c r="C392" s="57">
        <v>45282</v>
      </c>
      <c r="D392" s="43">
        <f t="shared" si="19"/>
        <v>830</v>
      </c>
      <c r="E392" s="76">
        <v>445</v>
      </c>
      <c r="F392" s="50">
        <v>555</v>
      </c>
      <c r="G392" s="49">
        <v>368174</v>
      </c>
      <c r="H392" s="73">
        <v>555</v>
      </c>
      <c r="I392" s="77">
        <v>555</v>
      </c>
      <c r="J392" s="73">
        <v>261722.06999999995</v>
      </c>
      <c r="K392" s="52"/>
      <c r="L392" s="51"/>
      <c r="M392" s="77">
        <v>372</v>
      </c>
      <c r="N392" s="76">
        <v>155351.31</v>
      </c>
      <c r="O392" s="75">
        <v>325</v>
      </c>
      <c r="P392" s="74">
        <v>48899.380000000026</v>
      </c>
      <c r="Q392" s="74">
        <v>2241.65</v>
      </c>
      <c r="R392" s="53">
        <f t="shared" si="20"/>
        <v>18408.7</v>
      </c>
      <c r="S392" s="73">
        <v>261722.06999999995</v>
      </c>
    </row>
    <row r="393" spans="1:19" x14ac:dyDescent="0.25">
      <c r="A393" s="28"/>
      <c r="B393" s="45" t="str">
        <f t="shared" si="18"/>
        <v>Dec-2023</v>
      </c>
      <c r="C393" s="57">
        <v>45283</v>
      </c>
      <c r="D393" s="43">
        <f t="shared" si="19"/>
        <v>829</v>
      </c>
      <c r="E393" s="76">
        <v>375</v>
      </c>
      <c r="F393" s="50">
        <v>430</v>
      </c>
      <c r="G393" s="49">
        <v>286873</v>
      </c>
      <c r="H393" s="73">
        <v>430</v>
      </c>
      <c r="I393" s="77">
        <v>430</v>
      </c>
      <c r="J393" s="73">
        <v>193206.25</v>
      </c>
      <c r="K393" s="52"/>
      <c r="L393" s="51"/>
      <c r="M393" s="77">
        <v>346</v>
      </c>
      <c r="N393" s="76">
        <v>129966.38</v>
      </c>
      <c r="O393" s="75">
        <v>291</v>
      </c>
      <c r="P393" s="74">
        <v>36299.630000000026</v>
      </c>
      <c r="Q393" s="74">
        <v>1962.6600000000005</v>
      </c>
      <c r="R393" s="53">
        <f t="shared" si="20"/>
        <v>14343.650000000001</v>
      </c>
      <c r="S393" s="73">
        <v>193206.25</v>
      </c>
    </row>
    <row r="394" spans="1:19" x14ac:dyDescent="0.25">
      <c r="A394" s="28"/>
      <c r="B394" s="45" t="str">
        <f t="shared" si="18"/>
        <v>Dec-2023</v>
      </c>
      <c r="C394" s="57">
        <v>45284</v>
      </c>
      <c r="D394" s="43">
        <f t="shared" si="19"/>
        <v>828</v>
      </c>
      <c r="E394" s="76">
        <v>376</v>
      </c>
      <c r="F394" s="50">
        <v>418</v>
      </c>
      <c r="G394" s="49">
        <v>264910</v>
      </c>
      <c r="H394" s="73">
        <v>418</v>
      </c>
      <c r="I394" s="77">
        <v>418</v>
      </c>
      <c r="J394" s="73">
        <v>194340.31999999998</v>
      </c>
      <c r="K394" s="52"/>
      <c r="L394" s="51"/>
      <c r="M394" s="77">
        <v>274</v>
      </c>
      <c r="N394" s="76">
        <v>106764.55</v>
      </c>
      <c r="O394" s="75">
        <v>241</v>
      </c>
      <c r="P394" s="74">
        <v>36194.869999999981</v>
      </c>
      <c r="Q394" s="74">
        <v>1757.0999999999992</v>
      </c>
      <c r="R394" s="53">
        <f t="shared" si="20"/>
        <v>13245.5</v>
      </c>
      <c r="S394" s="73">
        <v>194340.31999999992</v>
      </c>
    </row>
    <row r="395" spans="1:19" x14ac:dyDescent="0.25">
      <c r="A395" s="28"/>
      <c r="B395" s="45" t="str">
        <f t="shared" si="18"/>
        <v>Dec-2023</v>
      </c>
      <c r="C395" s="57">
        <v>45285</v>
      </c>
      <c r="D395" s="43">
        <f t="shared" si="19"/>
        <v>827</v>
      </c>
      <c r="E395" s="76">
        <v>354</v>
      </c>
      <c r="F395" s="50">
        <v>361</v>
      </c>
      <c r="G395" s="49">
        <v>231995</v>
      </c>
      <c r="H395" s="73">
        <v>361</v>
      </c>
      <c r="I395" s="77">
        <v>361</v>
      </c>
      <c r="J395" s="73">
        <v>165608.18</v>
      </c>
      <c r="K395" s="52"/>
      <c r="L395" s="51"/>
      <c r="M395" s="77">
        <v>315</v>
      </c>
      <c r="N395" s="76">
        <v>97027.09</v>
      </c>
      <c r="O395" s="75">
        <v>240</v>
      </c>
      <c r="P395" s="74">
        <v>30640.269999999946</v>
      </c>
      <c r="Q395" s="74">
        <v>1173.7800000000004</v>
      </c>
      <c r="R395" s="53">
        <f t="shared" si="20"/>
        <v>11599.75</v>
      </c>
      <c r="S395" s="73">
        <v>165608.18</v>
      </c>
    </row>
    <row r="396" spans="1:19" x14ac:dyDescent="0.25">
      <c r="A396" s="28"/>
      <c r="B396" s="45" t="str">
        <f t="shared" si="18"/>
        <v>Dec-2023</v>
      </c>
      <c r="C396" s="57">
        <v>45286</v>
      </c>
      <c r="D396" s="43">
        <f t="shared" si="19"/>
        <v>826</v>
      </c>
      <c r="E396" s="76">
        <v>311</v>
      </c>
      <c r="F396" s="50">
        <v>375</v>
      </c>
      <c r="G396" s="49">
        <v>231604</v>
      </c>
      <c r="H396" s="73">
        <v>375</v>
      </c>
      <c r="I396" s="77">
        <v>375</v>
      </c>
      <c r="J396" s="73">
        <v>168076.47</v>
      </c>
      <c r="K396" s="52"/>
      <c r="L396" s="51"/>
      <c r="M396" s="77">
        <v>272</v>
      </c>
      <c r="N396" s="76">
        <v>95196</v>
      </c>
      <c r="O396" s="75">
        <v>243</v>
      </c>
      <c r="P396" s="74">
        <v>31668.469999999994</v>
      </c>
      <c r="Q396" s="74">
        <v>1943.3700000000003</v>
      </c>
      <c r="R396" s="53">
        <f t="shared" si="20"/>
        <v>11580.2</v>
      </c>
      <c r="S396" s="73">
        <v>168076.46999999997</v>
      </c>
    </row>
    <row r="397" spans="1:19" x14ac:dyDescent="0.25">
      <c r="A397" s="28"/>
      <c r="B397" s="45" t="str">
        <f t="shared" si="18"/>
        <v>Dec-2023</v>
      </c>
      <c r="C397" s="57">
        <v>45287</v>
      </c>
      <c r="D397" s="43">
        <f t="shared" si="19"/>
        <v>825</v>
      </c>
      <c r="E397" s="76">
        <v>330</v>
      </c>
      <c r="F397" s="50">
        <v>366</v>
      </c>
      <c r="G397" s="49">
        <v>236840</v>
      </c>
      <c r="H397" s="73">
        <v>366</v>
      </c>
      <c r="I397" s="77">
        <v>366</v>
      </c>
      <c r="J397" s="73">
        <v>181344.80999999994</v>
      </c>
      <c r="K397" s="52"/>
      <c r="L397" s="51"/>
      <c r="M397" s="77">
        <v>263</v>
      </c>
      <c r="N397" s="76">
        <v>88957.94</v>
      </c>
      <c r="O397" s="75">
        <v>233</v>
      </c>
      <c r="P397" s="74">
        <v>33462.749999999993</v>
      </c>
      <c r="Q397" s="74">
        <v>1309.93</v>
      </c>
      <c r="R397" s="53">
        <f t="shared" si="20"/>
        <v>11842</v>
      </c>
      <c r="S397" s="73">
        <v>181344.80999999994</v>
      </c>
    </row>
    <row r="398" spans="1:19" x14ac:dyDescent="0.25">
      <c r="A398" s="28"/>
      <c r="B398" s="45" t="str">
        <f t="shared" si="18"/>
        <v>Dec-2023</v>
      </c>
      <c r="C398" s="57">
        <v>45288</v>
      </c>
      <c r="D398" s="43">
        <f t="shared" si="19"/>
        <v>824</v>
      </c>
      <c r="E398" s="76">
        <v>411</v>
      </c>
      <c r="F398" s="50">
        <v>476</v>
      </c>
      <c r="G398" s="49">
        <v>310783</v>
      </c>
      <c r="H398" s="73">
        <v>476</v>
      </c>
      <c r="I398" s="77">
        <v>476</v>
      </c>
      <c r="J398" s="73">
        <v>222096.27000000002</v>
      </c>
      <c r="K398" s="52">
        <v>8</v>
      </c>
      <c r="L398" s="51">
        <v>514.55999999999995</v>
      </c>
      <c r="M398" s="77">
        <v>355</v>
      </c>
      <c r="N398" s="76">
        <v>130143.72</v>
      </c>
      <c r="O398" s="75">
        <v>316</v>
      </c>
      <c r="P398" s="74">
        <v>41456.990000000005</v>
      </c>
      <c r="Q398" s="74">
        <v>2499.7700000000004</v>
      </c>
      <c r="R398" s="53">
        <f t="shared" si="20"/>
        <v>15539.150000000001</v>
      </c>
      <c r="S398" s="73">
        <v>222096.27000000002</v>
      </c>
    </row>
    <row r="399" spans="1:19" x14ac:dyDescent="0.25">
      <c r="A399" s="28"/>
      <c r="B399" s="45" t="str">
        <f t="shared" si="18"/>
        <v>Dec-2023</v>
      </c>
      <c r="C399" s="57">
        <v>45289</v>
      </c>
      <c r="D399" s="43">
        <f t="shared" si="19"/>
        <v>823</v>
      </c>
      <c r="E399" s="76">
        <v>395</v>
      </c>
      <c r="F399" s="50">
        <v>524</v>
      </c>
      <c r="G399" s="49">
        <v>336000</v>
      </c>
      <c r="H399" s="73">
        <v>524</v>
      </c>
      <c r="I399" s="77">
        <v>524</v>
      </c>
      <c r="J399" s="73">
        <v>258708.08999999991</v>
      </c>
      <c r="K399" s="52"/>
      <c r="L399" s="51"/>
      <c r="M399" s="77">
        <v>442</v>
      </c>
      <c r="N399" s="76">
        <v>125093.72</v>
      </c>
      <c r="O399" s="75">
        <v>380</v>
      </c>
      <c r="P399" s="74">
        <v>47801.80999999999</v>
      </c>
      <c r="Q399" s="74">
        <v>2241.2699999999986</v>
      </c>
      <c r="R399" s="53">
        <f t="shared" si="20"/>
        <v>16800</v>
      </c>
      <c r="S399" s="73">
        <v>258708.08999999994</v>
      </c>
    </row>
    <row r="400" spans="1:19" x14ac:dyDescent="0.25">
      <c r="A400" s="28"/>
      <c r="B400" s="45" t="str">
        <f t="shared" si="18"/>
        <v>Dec-2023</v>
      </c>
      <c r="C400" s="57">
        <v>45290</v>
      </c>
      <c r="D400" s="43">
        <f t="shared" si="19"/>
        <v>822</v>
      </c>
      <c r="E400" s="76">
        <v>316</v>
      </c>
      <c r="F400" s="50">
        <v>462</v>
      </c>
      <c r="G400" s="49">
        <v>293992</v>
      </c>
      <c r="H400" s="73">
        <v>462</v>
      </c>
      <c r="I400" s="77">
        <v>462</v>
      </c>
      <c r="J400" s="73">
        <v>215826.32</v>
      </c>
      <c r="K400" s="52"/>
      <c r="L400" s="51"/>
      <c r="M400" s="77">
        <v>382</v>
      </c>
      <c r="N400" s="76">
        <v>117903.08</v>
      </c>
      <c r="O400" s="75">
        <v>326</v>
      </c>
      <c r="P400" s="74">
        <v>39737.399999999972</v>
      </c>
      <c r="Q400" s="74">
        <v>1767.33</v>
      </c>
      <c r="R400" s="53">
        <f t="shared" si="20"/>
        <v>14699.6</v>
      </c>
      <c r="S400" s="73">
        <v>215826.32000000004</v>
      </c>
    </row>
    <row r="401" spans="1:19" x14ac:dyDescent="0.25">
      <c r="A401" s="28"/>
      <c r="B401" s="45" t="str">
        <f t="shared" si="18"/>
        <v>Dec-2023</v>
      </c>
      <c r="C401" s="57">
        <v>45291</v>
      </c>
      <c r="D401" s="43">
        <f t="shared" si="19"/>
        <v>821</v>
      </c>
      <c r="E401" s="76">
        <v>365</v>
      </c>
      <c r="F401" s="50">
        <v>367</v>
      </c>
      <c r="G401" s="49">
        <v>259720</v>
      </c>
      <c r="H401" s="73">
        <v>367</v>
      </c>
      <c r="I401" s="77">
        <v>367</v>
      </c>
      <c r="J401" s="73">
        <v>165548.57</v>
      </c>
      <c r="K401" s="52"/>
      <c r="L401" s="51"/>
      <c r="M401" s="77">
        <v>364</v>
      </c>
      <c r="N401" s="76">
        <v>125276.22</v>
      </c>
      <c r="O401" s="75">
        <v>318</v>
      </c>
      <c r="P401" s="74">
        <v>31104.790000000019</v>
      </c>
      <c r="Q401" s="74">
        <v>1874.38</v>
      </c>
      <c r="R401" s="53">
        <f t="shared" si="20"/>
        <v>12986</v>
      </c>
      <c r="S401" s="73">
        <v>165548.57</v>
      </c>
    </row>
    <row r="402" spans="1:19" x14ac:dyDescent="0.25">
      <c r="A402" s="28"/>
      <c r="B402" s="45" t="str">
        <f t="shared" si="18"/>
        <v>Jan-2024</v>
      </c>
      <c r="C402" s="57">
        <v>45292</v>
      </c>
      <c r="D402" s="43">
        <f t="shared" si="19"/>
        <v>820</v>
      </c>
      <c r="E402" s="76">
        <v>301</v>
      </c>
      <c r="F402" s="50">
        <v>227</v>
      </c>
      <c r="G402" s="49">
        <v>171510</v>
      </c>
      <c r="H402" s="73">
        <v>227</v>
      </c>
      <c r="I402" s="77">
        <v>227</v>
      </c>
      <c r="J402" s="73">
        <v>90681.849999999977</v>
      </c>
      <c r="K402" s="52"/>
      <c r="L402" s="51"/>
      <c r="M402" s="77">
        <v>278</v>
      </c>
      <c r="N402" s="76">
        <v>98214.5</v>
      </c>
      <c r="O402" s="75">
        <v>246</v>
      </c>
      <c r="P402" s="74">
        <v>17386.349999999999</v>
      </c>
      <c r="Q402" s="74">
        <v>1397.1100000000001</v>
      </c>
      <c r="R402" s="53">
        <f t="shared" si="20"/>
        <v>8575.5</v>
      </c>
      <c r="S402" s="73">
        <v>90681.849999999991</v>
      </c>
    </row>
    <row r="403" spans="1:19" x14ac:dyDescent="0.25">
      <c r="A403" s="28"/>
      <c r="B403" s="45" t="str">
        <f t="shared" si="18"/>
        <v>Jan-2024</v>
      </c>
      <c r="C403" s="57">
        <v>45293</v>
      </c>
      <c r="D403" s="43">
        <f t="shared" si="19"/>
        <v>819</v>
      </c>
      <c r="E403" s="76">
        <v>345</v>
      </c>
      <c r="F403" s="50">
        <v>367</v>
      </c>
      <c r="G403" s="49">
        <v>253221</v>
      </c>
      <c r="H403" s="73">
        <v>367</v>
      </c>
      <c r="I403" s="77">
        <v>367</v>
      </c>
      <c r="J403" s="73">
        <v>145676.35999999999</v>
      </c>
      <c r="K403" s="52">
        <v>2</v>
      </c>
      <c r="L403" s="51">
        <v>925.1</v>
      </c>
      <c r="M403" s="77">
        <v>365</v>
      </c>
      <c r="N403" s="76">
        <v>135017.25</v>
      </c>
      <c r="O403" s="75">
        <v>287</v>
      </c>
      <c r="P403" s="74">
        <v>27472.609999999946</v>
      </c>
      <c r="Q403" s="74">
        <v>1878.6099999999997</v>
      </c>
      <c r="R403" s="53">
        <f t="shared" si="20"/>
        <v>12661.050000000001</v>
      </c>
      <c r="S403" s="73">
        <v>145676.35999999999</v>
      </c>
    </row>
    <row r="404" spans="1:19" x14ac:dyDescent="0.25">
      <c r="A404" s="28"/>
      <c r="B404" s="45" t="str">
        <f t="shared" si="18"/>
        <v>Jan-2024</v>
      </c>
      <c r="C404" s="57">
        <v>45294</v>
      </c>
      <c r="D404" s="43">
        <f t="shared" si="19"/>
        <v>818</v>
      </c>
      <c r="E404" s="76">
        <v>326</v>
      </c>
      <c r="F404" s="50">
        <v>539</v>
      </c>
      <c r="G404" s="49">
        <v>349939</v>
      </c>
      <c r="H404" s="73">
        <v>537</v>
      </c>
      <c r="I404" s="77">
        <v>539</v>
      </c>
      <c r="J404" s="73">
        <v>238246.15000000002</v>
      </c>
      <c r="K404" s="52">
        <v>5</v>
      </c>
      <c r="L404" s="51">
        <v>5725.97</v>
      </c>
      <c r="M404" s="77">
        <v>335</v>
      </c>
      <c r="N404" s="76">
        <v>155159.70000000001</v>
      </c>
      <c r="O404" s="75">
        <v>305</v>
      </c>
      <c r="P404" s="74">
        <v>43466.85</v>
      </c>
      <c r="Q404" s="74">
        <v>1459.0499999999997</v>
      </c>
      <c r="R404" s="53">
        <f t="shared" si="20"/>
        <v>17496.95</v>
      </c>
      <c r="S404" s="73">
        <v>238246.15000000002</v>
      </c>
    </row>
    <row r="405" spans="1:19" x14ac:dyDescent="0.25">
      <c r="A405" s="28"/>
      <c r="B405" s="45" t="str">
        <f t="shared" si="18"/>
        <v>Jan-2024</v>
      </c>
      <c r="C405" s="57">
        <v>45295</v>
      </c>
      <c r="D405" s="43">
        <f t="shared" si="19"/>
        <v>817</v>
      </c>
      <c r="E405" s="76">
        <v>322</v>
      </c>
      <c r="F405" s="50">
        <v>500</v>
      </c>
      <c r="G405" s="49">
        <v>299760</v>
      </c>
      <c r="H405" s="73">
        <v>500</v>
      </c>
      <c r="I405" s="77">
        <v>500</v>
      </c>
      <c r="J405" s="73">
        <v>224163.63999999996</v>
      </c>
      <c r="K405" s="52">
        <v>2</v>
      </c>
      <c r="L405" s="51">
        <v>1274</v>
      </c>
      <c r="M405" s="77">
        <v>291</v>
      </c>
      <c r="N405" s="76">
        <v>116415.62</v>
      </c>
      <c r="O405" s="75">
        <v>268</v>
      </c>
      <c r="P405" s="74">
        <v>40819.25999999998</v>
      </c>
      <c r="Q405" s="74">
        <v>1384.0600000000009</v>
      </c>
      <c r="R405" s="53">
        <f t="shared" si="20"/>
        <v>14988</v>
      </c>
      <c r="S405" s="73">
        <v>224163.63999999996</v>
      </c>
    </row>
    <row r="406" spans="1:19" x14ac:dyDescent="0.25">
      <c r="A406" s="28"/>
      <c r="B406" s="45" t="str">
        <f t="shared" si="18"/>
        <v>Jan-2024</v>
      </c>
      <c r="C406" s="57">
        <v>45296</v>
      </c>
      <c r="D406" s="43">
        <f t="shared" si="19"/>
        <v>816</v>
      </c>
      <c r="E406" s="76">
        <v>332</v>
      </c>
      <c r="F406" s="50">
        <v>551</v>
      </c>
      <c r="G406" s="49">
        <v>336422</v>
      </c>
      <c r="H406" s="73">
        <v>551</v>
      </c>
      <c r="I406" s="77">
        <v>551</v>
      </c>
      <c r="J406" s="73">
        <v>232993.82</v>
      </c>
      <c r="K406" s="52">
        <v>6</v>
      </c>
      <c r="L406" s="51">
        <v>1163.93</v>
      </c>
      <c r="M406" s="77">
        <v>328</v>
      </c>
      <c r="N406" s="76">
        <v>146202.53</v>
      </c>
      <c r="O406" s="75">
        <v>306</v>
      </c>
      <c r="P406" s="74">
        <v>42774.350000000086</v>
      </c>
      <c r="Q406" s="74">
        <v>1742.5700000000004</v>
      </c>
      <c r="R406" s="53">
        <f t="shared" si="20"/>
        <v>16821.100000000002</v>
      </c>
      <c r="S406" s="73">
        <v>232993.82</v>
      </c>
    </row>
    <row r="407" spans="1:19" x14ac:dyDescent="0.25">
      <c r="A407" s="28"/>
      <c r="B407" s="45" t="str">
        <f t="shared" si="18"/>
        <v>Jan-2024</v>
      </c>
      <c r="C407" s="57">
        <v>45297</v>
      </c>
      <c r="D407" s="43">
        <f t="shared" si="19"/>
        <v>815</v>
      </c>
      <c r="E407" s="76">
        <v>310</v>
      </c>
      <c r="F407" s="50">
        <v>458</v>
      </c>
      <c r="G407" s="49">
        <v>286284</v>
      </c>
      <c r="H407" s="73">
        <v>458</v>
      </c>
      <c r="I407" s="77">
        <v>458</v>
      </c>
      <c r="J407" s="73">
        <v>199619.49000000002</v>
      </c>
      <c r="K407" s="52">
        <v>5</v>
      </c>
      <c r="L407" s="51">
        <v>592</v>
      </c>
      <c r="M407" s="77">
        <v>282</v>
      </c>
      <c r="N407" s="76">
        <v>123373.13</v>
      </c>
      <c r="O407" s="75">
        <v>255</v>
      </c>
      <c r="P407" s="74">
        <v>36708.619999999959</v>
      </c>
      <c r="Q407" s="74">
        <v>1653.6699999999998</v>
      </c>
      <c r="R407" s="53">
        <f t="shared" si="20"/>
        <v>14314.2</v>
      </c>
      <c r="S407" s="73">
        <v>199619.49000000002</v>
      </c>
    </row>
    <row r="408" spans="1:19" x14ac:dyDescent="0.25">
      <c r="A408" s="28"/>
      <c r="B408" s="45" t="str">
        <f t="shared" si="18"/>
        <v>Jan-2024</v>
      </c>
      <c r="C408" s="57">
        <v>45298</v>
      </c>
      <c r="D408" s="43">
        <f t="shared" si="19"/>
        <v>814</v>
      </c>
      <c r="E408" s="76">
        <v>305</v>
      </c>
      <c r="F408" s="50">
        <v>421</v>
      </c>
      <c r="G408" s="49">
        <v>258202</v>
      </c>
      <c r="H408" s="73">
        <v>421</v>
      </c>
      <c r="I408" s="77">
        <v>421</v>
      </c>
      <c r="J408" s="73">
        <v>180052.96000000002</v>
      </c>
      <c r="K408" s="52">
        <v>7</v>
      </c>
      <c r="L408" s="51">
        <v>612.02</v>
      </c>
      <c r="M408" s="77">
        <v>276</v>
      </c>
      <c r="N408" s="76">
        <v>110987.9</v>
      </c>
      <c r="O408" s="75">
        <v>246</v>
      </c>
      <c r="P408" s="74">
        <v>32838.860000000015</v>
      </c>
      <c r="Q408" s="74">
        <v>1195.2499999999998</v>
      </c>
      <c r="R408" s="53">
        <f t="shared" si="20"/>
        <v>12910.1</v>
      </c>
      <c r="S408" s="73">
        <v>180052.96000000002</v>
      </c>
    </row>
    <row r="409" spans="1:19" x14ac:dyDescent="0.25">
      <c r="A409" s="28"/>
      <c r="B409" s="45" t="str">
        <f t="shared" si="18"/>
        <v>Jan-2024</v>
      </c>
      <c r="C409" s="57">
        <v>45299</v>
      </c>
      <c r="D409" s="43">
        <f t="shared" si="19"/>
        <v>813</v>
      </c>
      <c r="E409" s="76">
        <v>372</v>
      </c>
      <c r="F409" s="50">
        <v>500</v>
      </c>
      <c r="G409" s="49">
        <v>304024</v>
      </c>
      <c r="H409" s="73">
        <v>499</v>
      </c>
      <c r="I409" s="77">
        <v>500</v>
      </c>
      <c r="J409" s="73">
        <v>223233.84000000003</v>
      </c>
      <c r="K409" s="52">
        <v>9</v>
      </c>
      <c r="L409" s="51">
        <v>2814.38</v>
      </c>
      <c r="M409" s="77">
        <v>378</v>
      </c>
      <c r="N409" s="76">
        <v>121586.38</v>
      </c>
      <c r="O409" s="75">
        <v>315</v>
      </c>
      <c r="P409" s="74">
        <v>40796.220000000023</v>
      </c>
      <c r="Q409" s="74">
        <v>1647.1600000000005</v>
      </c>
      <c r="R409" s="53">
        <f t="shared" si="20"/>
        <v>15201.2</v>
      </c>
      <c r="S409" s="73">
        <v>223233.84000000003</v>
      </c>
    </row>
    <row r="410" spans="1:19" x14ac:dyDescent="0.25">
      <c r="A410" s="28"/>
      <c r="B410" s="45" t="str">
        <f t="shared" si="18"/>
        <v>Jan-2024</v>
      </c>
      <c r="C410" s="57">
        <v>45300</v>
      </c>
      <c r="D410" s="43">
        <f t="shared" si="19"/>
        <v>812</v>
      </c>
      <c r="E410" s="76">
        <v>354</v>
      </c>
      <c r="F410" s="50">
        <v>539</v>
      </c>
      <c r="G410" s="49">
        <v>338284</v>
      </c>
      <c r="H410" s="73">
        <v>538</v>
      </c>
      <c r="I410" s="77">
        <v>539</v>
      </c>
      <c r="J410" s="73">
        <v>237214.27000000002</v>
      </c>
      <c r="K410" s="52">
        <v>5</v>
      </c>
      <c r="L410" s="51">
        <v>1119.94</v>
      </c>
      <c r="M410" s="77">
        <v>276</v>
      </c>
      <c r="N410" s="76">
        <v>143999.26999999999</v>
      </c>
      <c r="O410" s="75">
        <v>253</v>
      </c>
      <c r="P410" s="74">
        <v>42929.540000000052</v>
      </c>
      <c r="Q410" s="74">
        <v>1355.1500000000003</v>
      </c>
      <c r="R410" s="53">
        <f t="shared" si="20"/>
        <v>16914.2</v>
      </c>
      <c r="S410" s="73">
        <v>237214.27000000002</v>
      </c>
    </row>
    <row r="411" spans="1:19" x14ac:dyDescent="0.25">
      <c r="A411" s="28"/>
      <c r="B411" s="45" t="str">
        <f t="shared" si="18"/>
        <v>Jan-2024</v>
      </c>
      <c r="C411" s="57">
        <v>45301</v>
      </c>
      <c r="D411" s="43">
        <f t="shared" si="19"/>
        <v>811</v>
      </c>
      <c r="E411" s="76">
        <v>325</v>
      </c>
      <c r="F411" s="50">
        <v>514</v>
      </c>
      <c r="G411" s="49">
        <v>308784</v>
      </c>
      <c r="H411" s="73">
        <v>513</v>
      </c>
      <c r="I411" s="77">
        <v>514</v>
      </c>
      <c r="J411" s="73">
        <v>211141.80999999994</v>
      </c>
      <c r="K411" s="52">
        <v>6</v>
      </c>
      <c r="L411" s="51">
        <v>4610.01</v>
      </c>
      <c r="M411" s="77">
        <v>330</v>
      </c>
      <c r="N411" s="76">
        <v>135969.32</v>
      </c>
      <c r="O411" s="75">
        <v>290</v>
      </c>
      <c r="P411" s="74">
        <v>38327.129999999997</v>
      </c>
      <c r="Q411" s="74">
        <v>1342.2600000000004</v>
      </c>
      <c r="R411" s="53">
        <f t="shared" si="20"/>
        <v>15439.2</v>
      </c>
      <c r="S411" s="73">
        <v>211141.80999999994</v>
      </c>
    </row>
    <row r="412" spans="1:19" x14ac:dyDescent="0.25">
      <c r="A412" s="28"/>
      <c r="B412" s="45" t="str">
        <f t="shared" si="18"/>
        <v>Jan-2024</v>
      </c>
      <c r="C412" s="57">
        <v>45302</v>
      </c>
      <c r="D412" s="43">
        <f t="shared" si="19"/>
        <v>810</v>
      </c>
      <c r="E412" s="76">
        <v>324</v>
      </c>
      <c r="F412" s="50">
        <v>422</v>
      </c>
      <c r="G412" s="49">
        <v>261440</v>
      </c>
      <c r="H412" s="73">
        <v>416</v>
      </c>
      <c r="I412" s="77">
        <v>422</v>
      </c>
      <c r="J412" s="73">
        <v>183925.81999999998</v>
      </c>
      <c r="K412" s="52">
        <v>7</v>
      </c>
      <c r="L412" s="51">
        <v>2000.2800000000002</v>
      </c>
      <c r="M412" s="77">
        <v>288</v>
      </c>
      <c r="N412" s="76">
        <v>110909.63</v>
      </c>
      <c r="O412" s="75">
        <v>236</v>
      </c>
      <c r="P412" s="74">
        <v>33395.450000000033</v>
      </c>
      <c r="Q412" s="74">
        <v>1302.25</v>
      </c>
      <c r="R412" s="53">
        <f t="shared" si="20"/>
        <v>13072</v>
      </c>
      <c r="S412" s="73">
        <v>183925.81999999998</v>
      </c>
    </row>
    <row r="413" spans="1:19" x14ac:dyDescent="0.25">
      <c r="A413" s="28"/>
      <c r="B413" s="45" t="str">
        <f t="shared" si="18"/>
        <v>Jan-2024</v>
      </c>
      <c r="C413" s="57">
        <v>45303</v>
      </c>
      <c r="D413" s="43">
        <f t="shared" si="19"/>
        <v>809</v>
      </c>
      <c r="E413" s="76">
        <v>415</v>
      </c>
      <c r="F413" s="50">
        <v>574</v>
      </c>
      <c r="G413" s="49">
        <v>350367</v>
      </c>
      <c r="H413" s="73">
        <v>573</v>
      </c>
      <c r="I413" s="77">
        <v>574</v>
      </c>
      <c r="J413" s="73">
        <v>248110.42999999996</v>
      </c>
      <c r="K413" s="52">
        <v>8</v>
      </c>
      <c r="L413" s="51">
        <v>2934.99</v>
      </c>
      <c r="M413" s="77">
        <v>387</v>
      </c>
      <c r="N413" s="76">
        <v>147520.67000000001</v>
      </c>
      <c r="O413" s="75">
        <v>334</v>
      </c>
      <c r="P413" s="74">
        <v>45264.09999999994</v>
      </c>
      <c r="Q413" s="74">
        <v>1931.81</v>
      </c>
      <c r="R413" s="53">
        <f t="shared" si="20"/>
        <v>17518.350000000002</v>
      </c>
      <c r="S413" s="73">
        <v>248110.42999999993</v>
      </c>
    </row>
    <row r="414" spans="1:19" x14ac:dyDescent="0.25">
      <c r="A414" s="28"/>
      <c r="B414" s="45" t="str">
        <f t="shared" si="18"/>
        <v>Jan-2024</v>
      </c>
      <c r="C414" s="57">
        <v>45304</v>
      </c>
      <c r="D414" s="43">
        <f t="shared" si="19"/>
        <v>808</v>
      </c>
      <c r="E414" s="76">
        <v>354</v>
      </c>
      <c r="F414" s="50">
        <v>495</v>
      </c>
      <c r="G414" s="49">
        <v>305947</v>
      </c>
      <c r="H414" s="73">
        <v>494</v>
      </c>
      <c r="I414" s="77">
        <v>495</v>
      </c>
      <c r="J414" s="73">
        <v>220603.79</v>
      </c>
      <c r="K414" s="52">
        <v>6</v>
      </c>
      <c r="L414" s="51">
        <v>2771.5699999999997</v>
      </c>
      <c r="M414" s="77">
        <v>284</v>
      </c>
      <c r="N414" s="76">
        <v>125168.34</v>
      </c>
      <c r="O414" s="75">
        <v>254</v>
      </c>
      <c r="P414" s="74">
        <v>39825.130000000048</v>
      </c>
      <c r="Q414" s="74">
        <v>1369.1299999999997</v>
      </c>
      <c r="R414" s="53">
        <f t="shared" si="20"/>
        <v>15297.35</v>
      </c>
      <c r="S414" s="73">
        <v>220603.78999999995</v>
      </c>
    </row>
    <row r="415" spans="1:19" x14ac:dyDescent="0.25">
      <c r="A415" s="28"/>
      <c r="B415" s="45" t="str">
        <f t="shared" si="18"/>
        <v>Jan-2024</v>
      </c>
      <c r="C415" s="57">
        <v>45305</v>
      </c>
      <c r="D415" s="43">
        <f t="shared" si="19"/>
        <v>807</v>
      </c>
      <c r="E415" s="76">
        <v>333</v>
      </c>
      <c r="F415" s="50">
        <v>465</v>
      </c>
      <c r="G415" s="49">
        <v>273663</v>
      </c>
      <c r="H415" s="73">
        <v>464</v>
      </c>
      <c r="I415" s="77">
        <v>465</v>
      </c>
      <c r="J415" s="73">
        <v>201741.11000000002</v>
      </c>
      <c r="K415" s="52">
        <v>6</v>
      </c>
      <c r="L415" s="51">
        <v>3690.11</v>
      </c>
      <c r="M415" s="77">
        <v>216</v>
      </c>
      <c r="N415" s="76">
        <v>108249.21</v>
      </c>
      <c r="O415" s="75">
        <v>199</v>
      </c>
      <c r="P415" s="74">
        <v>36327.32000000008</v>
      </c>
      <c r="Q415" s="74">
        <v>1208.3299999999997</v>
      </c>
      <c r="R415" s="53">
        <f t="shared" si="20"/>
        <v>13683.150000000001</v>
      </c>
      <c r="S415" s="73">
        <v>201741.11000000002</v>
      </c>
    </row>
    <row r="416" spans="1:19" x14ac:dyDescent="0.25">
      <c r="A416" s="28"/>
      <c r="B416" s="45" t="str">
        <f t="shared" si="18"/>
        <v>Jan-2024</v>
      </c>
      <c r="C416" s="57">
        <v>45306</v>
      </c>
      <c r="D416" s="43">
        <f t="shared" si="19"/>
        <v>806</v>
      </c>
      <c r="E416" s="76">
        <v>322</v>
      </c>
      <c r="F416" s="50">
        <v>475</v>
      </c>
      <c r="G416" s="49">
        <v>292135</v>
      </c>
      <c r="H416" s="73">
        <v>473</v>
      </c>
      <c r="I416" s="77">
        <v>475</v>
      </c>
      <c r="J416" s="73">
        <v>201097.88</v>
      </c>
      <c r="K416" s="52">
        <v>10</v>
      </c>
      <c r="L416" s="51">
        <v>3994.39</v>
      </c>
      <c r="M416" s="77">
        <v>266</v>
      </c>
      <c r="N416" s="76">
        <v>127079.94</v>
      </c>
      <c r="O416" s="75">
        <v>230</v>
      </c>
      <c r="P416" s="74">
        <v>36042.820000000072</v>
      </c>
      <c r="Q416" s="74">
        <v>1004.8799999999999</v>
      </c>
      <c r="R416" s="53">
        <f t="shared" si="20"/>
        <v>14606.75</v>
      </c>
      <c r="S416" s="73">
        <v>201097.88</v>
      </c>
    </row>
    <row r="417" spans="1:19" x14ac:dyDescent="0.25">
      <c r="A417" s="28"/>
      <c r="B417" s="45" t="str">
        <f t="shared" si="18"/>
        <v>Jan-2024</v>
      </c>
      <c r="C417" s="57">
        <v>45307</v>
      </c>
      <c r="D417" s="43">
        <f t="shared" si="19"/>
        <v>805</v>
      </c>
      <c r="E417" s="76">
        <v>282</v>
      </c>
      <c r="F417" s="50">
        <v>429</v>
      </c>
      <c r="G417" s="49">
        <v>267479</v>
      </c>
      <c r="H417" s="73">
        <v>429</v>
      </c>
      <c r="I417" s="77">
        <v>429</v>
      </c>
      <c r="J417" s="73">
        <v>179682.52</v>
      </c>
      <c r="K417" s="52">
        <v>8</v>
      </c>
      <c r="L417" s="51">
        <v>1323</v>
      </c>
      <c r="M417" s="77">
        <v>288</v>
      </c>
      <c r="N417" s="76">
        <v>120269.61</v>
      </c>
      <c r="O417" s="75">
        <v>249</v>
      </c>
      <c r="P417" s="74">
        <v>32473.129999999961</v>
      </c>
      <c r="Q417" s="74">
        <v>1167.2999999999997</v>
      </c>
      <c r="R417" s="53">
        <f t="shared" si="20"/>
        <v>13373.95</v>
      </c>
      <c r="S417" s="73">
        <v>179682.52</v>
      </c>
    </row>
    <row r="418" spans="1:19" x14ac:dyDescent="0.25">
      <c r="A418" s="28"/>
      <c r="B418" s="45" t="str">
        <f t="shared" si="18"/>
        <v>Jan-2024</v>
      </c>
      <c r="C418" s="57">
        <v>45308</v>
      </c>
      <c r="D418" s="43">
        <f t="shared" si="19"/>
        <v>804</v>
      </c>
      <c r="E418" s="76">
        <v>287</v>
      </c>
      <c r="F418" s="50">
        <v>439</v>
      </c>
      <c r="G418" s="49">
        <v>273973</v>
      </c>
      <c r="H418" s="73">
        <v>437</v>
      </c>
      <c r="I418" s="77">
        <v>439</v>
      </c>
      <c r="J418" s="73">
        <v>170989.82</v>
      </c>
      <c r="K418" s="52">
        <v>12</v>
      </c>
      <c r="L418" s="51">
        <v>4470.13</v>
      </c>
      <c r="M418" s="77">
        <v>407</v>
      </c>
      <c r="N418" s="76">
        <v>134280.54</v>
      </c>
      <c r="O418" s="75">
        <v>351</v>
      </c>
      <c r="P418" s="74">
        <v>31297.360000000026</v>
      </c>
      <c r="Q418" s="74">
        <v>1625.2000000000003</v>
      </c>
      <c r="R418" s="53">
        <f t="shared" si="20"/>
        <v>13698.650000000001</v>
      </c>
      <c r="S418" s="73">
        <v>170989.82</v>
      </c>
    </row>
    <row r="419" spans="1:19" x14ac:dyDescent="0.25">
      <c r="A419" s="28"/>
      <c r="B419" s="45" t="str">
        <f t="shared" si="18"/>
        <v>Jan-2024</v>
      </c>
      <c r="C419" s="57">
        <v>45309</v>
      </c>
      <c r="D419" s="43">
        <f t="shared" si="19"/>
        <v>803</v>
      </c>
      <c r="E419" s="76">
        <v>274</v>
      </c>
      <c r="F419" s="50">
        <v>389</v>
      </c>
      <c r="G419" s="49">
        <v>244897</v>
      </c>
      <c r="H419" s="73">
        <v>389</v>
      </c>
      <c r="I419" s="77">
        <v>389</v>
      </c>
      <c r="J419" s="73">
        <v>158364.09</v>
      </c>
      <c r="K419" s="52">
        <v>6</v>
      </c>
      <c r="L419" s="51">
        <v>303</v>
      </c>
      <c r="M419" s="77">
        <v>248</v>
      </c>
      <c r="N419" s="76">
        <v>115374.19</v>
      </c>
      <c r="O419" s="75">
        <v>228</v>
      </c>
      <c r="P419" s="74">
        <v>28841.280000000042</v>
      </c>
      <c r="Q419" s="74">
        <v>1568.3600000000004</v>
      </c>
      <c r="R419" s="53">
        <f t="shared" si="20"/>
        <v>12244.85</v>
      </c>
      <c r="S419" s="73">
        <v>158364.09</v>
      </c>
    </row>
    <row r="420" spans="1:19" x14ac:dyDescent="0.25">
      <c r="A420" s="28"/>
      <c r="B420" s="45" t="str">
        <f t="shared" si="18"/>
        <v>Jan-2024</v>
      </c>
      <c r="C420" s="57">
        <v>45310</v>
      </c>
      <c r="D420" s="43">
        <f t="shared" si="19"/>
        <v>802</v>
      </c>
      <c r="E420" s="76">
        <v>284</v>
      </c>
      <c r="F420" s="50">
        <v>489</v>
      </c>
      <c r="G420" s="49">
        <v>294340</v>
      </c>
      <c r="H420" s="73">
        <v>489</v>
      </c>
      <c r="I420" s="77">
        <v>489</v>
      </c>
      <c r="J420" s="73">
        <v>211238.91999999998</v>
      </c>
      <c r="K420" s="52">
        <v>5</v>
      </c>
      <c r="L420" s="51">
        <v>419</v>
      </c>
      <c r="M420" s="77">
        <v>308</v>
      </c>
      <c r="N420" s="76">
        <v>121065.77</v>
      </c>
      <c r="O420" s="75">
        <v>270</v>
      </c>
      <c r="P420" s="74">
        <v>37964.69</v>
      </c>
      <c r="Q420" s="74">
        <v>1282.9000000000005</v>
      </c>
      <c r="R420" s="53">
        <f t="shared" si="20"/>
        <v>14717</v>
      </c>
      <c r="S420" s="73">
        <v>211238.91999999998</v>
      </c>
    </row>
    <row r="421" spans="1:19" x14ac:dyDescent="0.25">
      <c r="A421" s="28"/>
      <c r="B421" s="45" t="str">
        <f t="shared" si="18"/>
        <v>Jan-2024</v>
      </c>
      <c r="C421" s="57">
        <v>45311</v>
      </c>
      <c r="D421" s="43">
        <f t="shared" si="19"/>
        <v>801</v>
      </c>
      <c r="E421" s="76">
        <v>346</v>
      </c>
      <c r="F421" s="50">
        <v>552</v>
      </c>
      <c r="G421" s="49">
        <v>327141</v>
      </c>
      <c r="H421" s="73">
        <v>550</v>
      </c>
      <c r="I421" s="77">
        <v>552</v>
      </c>
      <c r="J421" s="73">
        <v>247582.33000000002</v>
      </c>
      <c r="K421" s="52">
        <v>8</v>
      </c>
      <c r="L421" s="51">
        <v>1628.63</v>
      </c>
      <c r="M421" s="77">
        <v>314</v>
      </c>
      <c r="N421" s="76">
        <v>123692.9</v>
      </c>
      <c r="O421" s="75">
        <v>280</v>
      </c>
      <c r="P421" s="74">
        <v>44134.230000000061</v>
      </c>
      <c r="Q421" s="74">
        <v>1180.3200000000002</v>
      </c>
      <c r="R421" s="53">
        <f t="shared" si="20"/>
        <v>16357.050000000001</v>
      </c>
      <c r="S421" s="73">
        <v>247582.33</v>
      </c>
    </row>
    <row r="422" spans="1:19" x14ac:dyDescent="0.25">
      <c r="A422" s="28"/>
      <c r="B422" s="45" t="str">
        <f t="shared" si="18"/>
        <v>Jan-2024</v>
      </c>
      <c r="C422" s="57">
        <v>45312</v>
      </c>
      <c r="D422" s="43">
        <f t="shared" si="19"/>
        <v>800</v>
      </c>
      <c r="E422" s="76">
        <v>318</v>
      </c>
      <c r="F422" s="50">
        <v>520</v>
      </c>
      <c r="G422" s="49">
        <v>306398</v>
      </c>
      <c r="H422" s="73">
        <v>518</v>
      </c>
      <c r="I422" s="77">
        <v>520</v>
      </c>
      <c r="J422" s="73">
        <v>224875.33999999997</v>
      </c>
      <c r="K422" s="52">
        <v>8</v>
      </c>
      <c r="L422" s="51">
        <v>3552.56</v>
      </c>
      <c r="M422" s="77">
        <v>304</v>
      </c>
      <c r="N422" s="76">
        <v>121606.3</v>
      </c>
      <c r="O422" s="75">
        <v>243</v>
      </c>
      <c r="P422" s="74">
        <v>40083.639999999919</v>
      </c>
      <c r="Q422" s="74">
        <v>1105.3000000000004</v>
      </c>
      <c r="R422" s="53">
        <f t="shared" si="20"/>
        <v>15319.900000000001</v>
      </c>
      <c r="S422" s="73">
        <v>224875.33999999997</v>
      </c>
    </row>
    <row r="423" spans="1:19" x14ac:dyDescent="0.25">
      <c r="A423" s="28"/>
      <c r="B423" s="45" t="str">
        <f t="shared" si="18"/>
        <v>Jan-2024</v>
      </c>
      <c r="C423" s="57">
        <v>45313</v>
      </c>
      <c r="D423" s="43">
        <f t="shared" si="19"/>
        <v>799</v>
      </c>
      <c r="E423" s="76">
        <v>344</v>
      </c>
      <c r="F423" s="50">
        <v>522</v>
      </c>
      <c r="G423" s="49">
        <v>304610</v>
      </c>
      <c r="H423" s="73">
        <v>521</v>
      </c>
      <c r="I423" s="77">
        <v>522</v>
      </c>
      <c r="J423" s="73">
        <v>227430.87</v>
      </c>
      <c r="K423" s="52">
        <v>11</v>
      </c>
      <c r="L423" s="51">
        <v>3431.77</v>
      </c>
      <c r="M423" s="77">
        <v>271</v>
      </c>
      <c r="N423" s="76">
        <v>117491.16</v>
      </c>
      <c r="O423" s="75">
        <v>238</v>
      </c>
      <c r="P423" s="74">
        <v>40312.03000000005</v>
      </c>
      <c r="Q423" s="74">
        <v>1096.2200000000007</v>
      </c>
      <c r="R423" s="53">
        <f t="shared" si="20"/>
        <v>15230.5</v>
      </c>
      <c r="S423" s="73">
        <v>227430.87</v>
      </c>
    </row>
    <row r="424" spans="1:19" x14ac:dyDescent="0.25">
      <c r="A424" s="28"/>
      <c r="B424" s="45" t="str">
        <f t="shared" si="18"/>
        <v>Jan-2024</v>
      </c>
      <c r="C424" s="57">
        <v>45314</v>
      </c>
      <c r="D424" s="43">
        <f t="shared" si="19"/>
        <v>798</v>
      </c>
      <c r="E424" s="76">
        <v>317</v>
      </c>
      <c r="F424" s="50">
        <v>522</v>
      </c>
      <c r="G424" s="49">
        <v>304175</v>
      </c>
      <c r="H424" s="73">
        <v>521</v>
      </c>
      <c r="I424" s="77">
        <v>522</v>
      </c>
      <c r="J424" s="73">
        <v>213791.49999999997</v>
      </c>
      <c r="K424" s="52">
        <v>9</v>
      </c>
      <c r="L424" s="51">
        <v>775.12</v>
      </c>
      <c r="M424" s="77">
        <v>360</v>
      </c>
      <c r="N424" s="76">
        <v>128662.53</v>
      </c>
      <c r="O424" s="75">
        <v>314</v>
      </c>
      <c r="P424" s="74">
        <v>38279.030000000013</v>
      </c>
      <c r="Q424" s="74">
        <v>1333.6900000000007</v>
      </c>
      <c r="R424" s="53">
        <f t="shared" si="20"/>
        <v>15208.75</v>
      </c>
      <c r="S424" s="73">
        <v>213791.49999999997</v>
      </c>
    </row>
    <row r="425" spans="1:19" x14ac:dyDescent="0.25">
      <c r="A425" s="28"/>
      <c r="B425" s="45" t="str">
        <f t="shared" si="18"/>
        <v>Jan-2024</v>
      </c>
      <c r="C425" s="57">
        <v>45315</v>
      </c>
      <c r="D425" s="43">
        <f t="shared" si="19"/>
        <v>797</v>
      </c>
      <c r="E425" s="76">
        <v>412</v>
      </c>
      <c r="F425" s="50">
        <v>594</v>
      </c>
      <c r="G425" s="49">
        <v>344050</v>
      </c>
      <c r="H425" s="73">
        <v>591</v>
      </c>
      <c r="I425" s="77">
        <v>594</v>
      </c>
      <c r="J425" s="73">
        <v>268228.64999999997</v>
      </c>
      <c r="K425" s="52">
        <v>5</v>
      </c>
      <c r="L425" s="51">
        <v>1930.3200000000002</v>
      </c>
      <c r="M425" s="77">
        <v>279</v>
      </c>
      <c r="N425" s="76">
        <v>123054.9</v>
      </c>
      <c r="O425" s="75">
        <v>240</v>
      </c>
      <c r="P425" s="74">
        <v>47233.550000000039</v>
      </c>
      <c r="Q425" s="74">
        <v>828.84999999999957</v>
      </c>
      <c r="R425" s="53">
        <f t="shared" si="20"/>
        <v>17202.5</v>
      </c>
      <c r="S425" s="73">
        <v>268228.65000000002</v>
      </c>
    </row>
    <row r="426" spans="1:19" x14ac:dyDescent="0.25">
      <c r="A426" s="28"/>
      <c r="B426" s="45" t="str">
        <f t="shared" si="18"/>
        <v>Jan-2024</v>
      </c>
      <c r="C426" s="57">
        <v>45316</v>
      </c>
      <c r="D426" s="43">
        <f t="shared" si="19"/>
        <v>796</v>
      </c>
      <c r="E426" s="76">
        <v>346</v>
      </c>
      <c r="F426" s="50">
        <v>523</v>
      </c>
      <c r="G426" s="49">
        <v>303193</v>
      </c>
      <c r="H426" s="73">
        <v>523</v>
      </c>
      <c r="I426" s="77">
        <v>523</v>
      </c>
      <c r="J426" s="73">
        <v>231552.15000000002</v>
      </c>
      <c r="K426" s="52">
        <v>4</v>
      </c>
      <c r="L426" s="51">
        <v>2250.4699999999998</v>
      </c>
      <c r="M426" s="77">
        <v>272</v>
      </c>
      <c r="N426" s="76">
        <v>112780.26</v>
      </c>
      <c r="O426" s="75">
        <v>238</v>
      </c>
      <c r="P426" s="74">
        <v>41139.410000000047</v>
      </c>
      <c r="Q426" s="74">
        <v>1191.1800000000003</v>
      </c>
      <c r="R426" s="53">
        <f t="shared" si="20"/>
        <v>15159.650000000001</v>
      </c>
      <c r="S426" s="73">
        <v>231552.15000000002</v>
      </c>
    </row>
    <row r="427" spans="1:19" x14ac:dyDescent="0.25">
      <c r="A427" s="28"/>
      <c r="B427" s="45" t="str">
        <f t="shared" si="18"/>
        <v>Jan-2024</v>
      </c>
      <c r="C427" s="57">
        <v>45317</v>
      </c>
      <c r="D427" s="43">
        <f t="shared" si="19"/>
        <v>795</v>
      </c>
      <c r="E427" s="76">
        <v>307</v>
      </c>
      <c r="F427" s="50">
        <v>500</v>
      </c>
      <c r="G427" s="49">
        <v>294678</v>
      </c>
      <c r="H427" s="73">
        <v>496</v>
      </c>
      <c r="I427" s="77">
        <v>500</v>
      </c>
      <c r="J427" s="73">
        <v>205708.29</v>
      </c>
      <c r="K427" s="52">
        <v>11</v>
      </c>
      <c r="L427" s="51">
        <v>4297.93</v>
      </c>
      <c r="M427" s="77">
        <v>324</v>
      </c>
      <c r="N427" s="76">
        <v>125661.12</v>
      </c>
      <c r="O427" s="75">
        <v>291</v>
      </c>
      <c r="P427" s="74">
        <v>36691.410000000018</v>
      </c>
      <c r="Q427" s="74">
        <v>1282.5400000000004</v>
      </c>
      <c r="R427" s="53">
        <f t="shared" si="20"/>
        <v>14733.900000000001</v>
      </c>
      <c r="S427" s="73">
        <v>205708.28999999998</v>
      </c>
    </row>
    <row r="428" spans="1:19" x14ac:dyDescent="0.25">
      <c r="A428" s="28"/>
      <c r="B428" s="45" t="str">
        <f t="shared" si="18"/>
        <v>Jan-2024</v>
      </c>
      <c r="C428" s="57">
        <v>45318</v>
      </c>
      <c r="D428" s="43">
        <f t="shared" si="19"/>
        <v>794</v>
      </c>
      <c r="E428" s="76">
        <v>298</v>
      </c>
      <c r="F428" s="50">
        <v>485</v>
      </c>
      <c r="G428" s="49">
        <v>291000</v>
      </c>
      <c r="H428" s="73">
        <v>484</v>
      </c>
      <c r="I428" s="77">
        <v>485</v>
      </c>
      <c r="J428" s="73">
        <v>207590.25</v>
      </c>
      <c r="K428" s="52">
        <v>4</v>
      </c>
      <c r="L428" s="51">
        <v>1578.22</v>
      </c>
      <c r="M428" s="77">
        <v>232</v>
      </c>
      <c r="N428" s="76">
        <v>120163.01</v>
      </c>
      <c r="O428" s="75">
        <v>213</v>
      </c>
      <c r="P428" s="74">
        <v>36753.259999999951</v>
      </c>
      <c r="Q428" s="74">
        <v>968.86000000000024</v>
      </c>
      <c r="R428" s="53">
        <f t="shared" si="20"/>
        <v>14550</v>
      </c>
      <c r="S428" s="73">
        <v>207590.25</v>
      </c>
    </row>
    <row r="429" spans="1:19" x14ac:dyDescent="0.25">
      <c r="A429" s="28"/>
      <c r="B429" s="45" t="str">
        <f t="shared" si="18"/>
        <v>Jan-2024</v>
      </c>
      <c r="C429" s="57">
        <v>45319</v>
      </c>
      <c r="D429" s="43">
        <f t="shared" si="19"/>
        <v>793</v>
      </c>
      <c r="E429" s="76">
        <v>271</v>
      </c>
      <c r="F429" s="50">
        <v>446</v>
      </c>
      <c r="G429" s="49">
        <v>255341</v>
      </c>
      <c r="H429" s="73">
        <v>444</v>
      </c>
      <c r="I429" s="77">
        <v>446</v>
      </c>
      <c r="J429" s="73">
        <v>192605.63000000003</v>
      </c>
      <c r="K429" s="52">
        <v>2</v>
      </c>
      <c r="L429" s="51">
        <v>1200.26</v>
      </c>
      <c r="M429" s="77">
        <v>237</v>
      </c>
      <c r="N429" s="76">
        <v>97035.23</v>
      </c>
      <c r="O429" s="75">
        <v>216</v>
      </c>
      <c r="P429" s="74">
        <v>34299.860000000022</v>
      </c>
      <c r="Q429" s="74">
        <v>1122.8099999999995</v>
      </c>
      <c r="R429" s="53">
        <f t="shared" si="20"/>
        <v>12767.050000000001</v>
      </c>
      <c r="S429" s="73">
        <v>192605.63000000003</v>
      </c>
    </row>
    <row r="430" spans="1:19" x14ac:dyDescent="0.25">
      <c r="A430" s="28"/>
      <c r="B430" s="45" t="str">
        <f t="shared" si="18"/>
        <v>Jan-2024</v>
      </c>
      <c r="C430" s="57">
        <v>45320</v>
      </c>
      <c r="D430" s="43">
        <f t="shared" si="19"/>
        <v>792</v>
      </c>
      <c r="E430" s="76">
        <v>323</v>
      </c>
      <c r="F430" s="50">
        <v>495</v>
      </c>
      <c r="G430" s="49">
        <v>300743</v>
      </c>
      <c r="H430" s="73">
        <v>495</v>
      </c>
      <c r="I430" s="77">
        <v>495</v>
      </c>
      <c r="J430" s="73">
        <v>199102.06000000003</v>
      </c>
      <c r="K430" s="52">
        <v>2</v>
      </c>
      <c r="L430" s="51">
        <v>1300.29</v>
      </c>
      <c r="M430" s="77">
        <v>297</v>
      </c>
      <c r="N430" s="76">
        <v>137103.17000000001</v>
      </c>
      <c r="O430" s="75">
        <v>276</v>
      </c>
      <c r="P430" s="74">
        <v>35462.229999999989</v>
      </c>
      <c r="Q430" s="74">
        <v>1352.0400000000004</v>
      </c>
      <c r="R430" s="53">
        <f t="shared" si="20"/>
        <v>15037.150000000001</v>
      </c>
      <c r="S430" s="73">
        <v>199102.06</v>
      </c>
    </row>
    <row r="431" spans="1:19" x14ac:dyDescent="0.25">
      <c r="A431" s="28"/>
      <c r="B431" s="45" t="str">
        <f t="shared" si="18"/>
        <v>Jan-2024</v>
      </c>
      <c r="C431" s="57">
        <v>45321</v>
      </c>
      <c r="D431" s="43">
        <f t="shared" si="19"/>
        <v>791</v>
      </c>
      <c r="E431" s="76">
        <v>320</v>
      </c>
      <c r="F431" s="50">
        <v>539</v>
      </c>
      <c r="G431" s="49">
        <v>314235</v>
      </c>
      <c r="H431" s="73">
        <v>539</v>
      </c>
      <c r="I431" s="77">
        <v>539</v>
      </c>
      <c r="J431" s="73">
        <v>218784.53</v>
      </c>
      <c r="K431" s="52">
        <v>17</v>
      </c>
      <c r="L431" s="51">
        <v>2744.21</v>
      </c>
      <c r="M431" s="77">
        <v>357</v>
      </c>
      <c r="N431" s="76">
        <v>134591.42000000001</v>
      </c>
      <c r="O431" s="75">
        <v>318</v>
      </c>
      <c r="P431" s="74">
        <v>39140.950000000055</v>
      </c>
      <c r="Q431" s="74">
        <v>1603.0099999999995</v>
      </c>
      <c r="R431" s="53">
        <f t="shared" si="20"/>
        <v>15711.75</v>
      </c>
      <c r="S431" s="73">
        <v>218784.53</v>
      </c>
    </row>
    <row r="432" spans="1:19" x14ac:dyDescent="0.25">
      <c r="A432" s="28"/>
      <c r="B432" s="45" t="str">
        <f t="shared" si="18"/>
        <v>Jan-2024</v>
      </c>
      <c r="C432" s="57">
        <v>45322</v>
      </c>
      <c r="D432" s="43">
        <f t="shared" si="19"/>
        <v>790</v>
      </c>
      <c r="E432" s="76">
        <v>352</v>
      </c>
      <c r="F432" s="50">
        <v>511</v>
      </c>
      <c r="G432" s="49">
        <v>294224</v>
      </c>
      <c r="H432" s="73">
        <v>510</v>
      </c>
      <c r="I432" s="77">
        <v>511</v>
      </c>
      <c r="J432" s="73">
        <v>228129.39</v>
      </c>
      <c r="K432" s="52">
        <v>8</v>
      </c>
      <c r="L432" s="51">
        <v>2709.44</v>
      </c>
      <c r="M432" s="77">
        <v>273</v>
      </c>
      <c r="N432" s="76">
        <v>106134.35</v>
      </c>
      <c r="O432" s="75">
        <v>240</v>
      </c>
      <c r="P432" s="74">
        <v>40039.740000000034</v>
      </c>
      <c r="Q432" s="74">
        <v>876.72000000000014</v>
      </c>
      <c r="R432" s="53">
        <f t="shared" si="20"/>
        <v>14711.2</v>
      </c>
      <c r="S432" s="73">
        <v>228129.39</v>
      </c>
    </row>
    <row r="433" spans="1:19" x14ac:dyDescent="0.25">
      <c r="A433" s="28"/>
      <c r="B433" s="45" t="str">
        <f t="shared" si="18"/>
        <v>Feb-2024</v>
      </c>
      <c r="C433" s="57">
        <v>45323</v>
      </c>
      <c r="D433" s="43">
        <f t="shared" si="19"/>
        <v>789</v>
      </c>
      <c r="E433" s="76">
        <v>348</v>
      </c>
      <c r="F433" s="50">
        <v>533</v>
      </c>
      <c r="G433" s="49">
        <v>310690</v>
      </c>
      <c r="H433" s="73">
        <v>526</v>
      </c>
      <c r="I433" s="77">
        <v>533</v>
      </c>
      <c r="J433" s="73">
        <v>223833.32</v>
      </c>
      <c r="K433" s="52">
        <v>13</v>
      </c>
      <c r="L433" s="51">
        <v>5454.05</v>
      </c>
      <c r="M433" s="77">
        <v>264</v>
      </c>
      <c r="N433" s="76">
        <v>126449.51</v>
      </c>
      <c r="O433" s="75">
        <v>246</v>
      </c>
      <c r="P433" s="74">
        <v>39592.829999999994</v>
      </c>
      <c r="Q433" s="74">
        <v>1203.2499999999995</v>
      </c>
      <c r="R433" s="53">
        <f t="shared" si="20"/>
        <v>15534.5</v>
      </c>
      <c r="S433" s="73">
        <v>223833.32</v>
      </c>
    </row>
    <row r="434" spans="1:19" x14ac:dyDescent="0.25">
      <c r="A434" s="28"/>
      <c r="B434" s="45" t="str">
        <f t="shared" si="18"/>
        <v>Feb-2024</v>
      </c>
      <c r="C434" s="57">
        <v>45324</v>
      </c>
      <c r="D434" s="43">
        <f t="shared" si="19"/>
        <v>788</v>
      </c>
      <c r="E434" s="76">
        <v>362</v>
      </c>
      <c r="F434" s="50">
        <v>558</v>
      </c>
      <c r="G434" s="49">
        <v>328451</v>
      </c>
      <c r="H434" s="73">
        <v>558</v>
      </c>
      <c r="I434" s="77">
        <v>558</v>
      </c>
      <c r="J434" s="73">
        <v>237357.42000000004</v>
      </c>
      <c r="K434" s="52">
        <v>8</v>
      </c>
      <c r="L434" s="51">
        <v>2175.11</v>
      </c>
      <c r="M434" s="77">
        <v>308</v>
      </c>
      <c r="N434" s="76">
        <v>132865.85999999999</v>
      </c>
      <c r="O434" s="75">
        <v>280</v>
      </c>
      <c r="P434" s="74">
        <v>41772.280000000006</v>
      </c>
      <c r="Q434" s="74">
        <v>1230.96</v>
      </c>
      <c r="R434" s="53">
        <f t="shared" si="20"/>
        <v>16422.55</v>
      </c>
      <c r="S434" s="73">
        <v>237357.42000000004</v>
      </c>
    </row>
    <row r="435" spans="1:19" x14ac:dyDescent="0.25">
      <c r="A435" s="28"/>
      <c r="B435" s="45" t="str">
        <f t="shared" si="18"/>
        <v>Feb-2024</v>
      </c>
      <c r="C435" s="57">
        <v>45325</v>
      </c>
      <c r="D435" s="43">
        <f t="shared" si="19"/>
        <v>787</v>
      </c>
      <c r="E435" s="76">
        <v>271</v>
      </c>
      <c r="F435" s="50">
        <v>458</v>
      </c>
      <c r="G435" s="49">
        <v>278133</v>
      </c>
      <c r="H435" s="73">
        <v>454</v>
      </c>
      <c r="I435" s="77">
        <v>458</v>
      </c>
      <c r="J435" s="73">
        <v>180528.38</v>
      </c>
      <c r="K435" s="52">
        <v>10</v>
      </c>
      <c r="L435" s="51">
        <v>3170.59</v>
      </c>
      <c r="M435" s="77">
        <v>299</v>
      </c>
      <c r="N435" s="76">
        <v>129873.11</v>
      </c>
      <c r="O435" s="75">
        <v>266</v>
      </c>
      <c r="P435" s="74">
        <v>32268.49</v>
      </c>
      <c r="Q435" s="74">
        <v>1355.4899999999996</v>
      </c>
      <c r="R435" s="53">
        <f t="shared" si="20"/>
        <v>13906.650000000001</v>
      </c>
      <c r="S435" s="73">
        <v>180528.38</v>
      </c>
    </row>
    <row r="436" spans="1:19" x14ac:dyDescent="0.25">
      <c r="A436" s="28"/>
      <c r="B436" s="45" t="str">
        <f t="shared" si="18"/>
        <v>Feb-2024</v>
      </c>
      <c r="C436" s="57">
        <v>45326</v>
      </c>
      <c r="D436" s="43">
        <f t="shared" si="19"/>
        <v>786</v>
      </c>
      <c r="E436" s="76">
        <v>288</v>
      </c>
      <c r="F436" s="50">
        <v>478</v>
      </c>
      <c r="G436" s="49">
        <v>298229</v>
      </c>
      <c r="H436" s="73">
        <v>477</v>
      </c>
      <c r="I436" s="77">
        <v>478</v>
      </c>
      <c r="J436" s="73">
        <v>197812.77999999997</v>
      </c>
      <c r="K436" s="52">
        <v>9</v>
      </c>
      <c r="L436" s="51">
        <v>2552.4699999999998</v>
      </c>
      <c r="M436" s="77">
        <v>327</v>
      </c>
      <c r="N436" s="76">
        <v>135397.35</v>
      </c>
      <c r="O436" s="75">
        <v>290</v>
      </c>
      <c r="P436" s="74">
        <v>34981.130000000005</v>
      </c>
      <c r="Q436" s="74">
        <v>1163.6000000000004</v>
      </c>
      <c r="R436" s="53">
        <f t="shared" si="20"/>
        <v>14911.45</v>
      </c>
      <c r="S436" s="73">
        <v>197812.77999999997</v>
      </c>
    </row>
    <row r="437" spans="1:19" x14ac:dyDescent="0.25">
      <c r="A437" s="28"/>
      <c r="B437" s="45" t="str">
        <f t="shared" si="18"/>
        <v>Feb-2024</v>
      </c>
      <c r="C437" s="57">
        <v>45327</v>
      </c>
      <c r="D437" s="43">
        <f t="shared" si="19"/>
        <v>785</v>
      </c>
      <c r="E437" s="76">
        <v>281</v>
      </c>
      <c r="F437" s="50">
        <v>445</v>
      </c>
      <c r="G437" s="49">
        <v>270431</v>
      </c>
      <c r="H437" s="73">
        <v>441</v>
      </c>
      <c r="I437" s="77">
        <v>445</v>
      </c>
      <c r="J437" s="73">
        <v>177747.77000000002</v>
      </c>
      <c r="K437" s="52">
        <v>11</v>
      </c>
      <c r="L437" s="51">
        <v>2294.38</v>
      </c>
      <c r="M437" s="77">
        <v>274</v>
      </c>
      <c r="N437" s="76">
        <v>124090.19</v>
      </c>
      <c r="O437" s="75">
        <v>246</v>
      </c>
      <c r="P437" s="74">
        <v>31406.960000000006</v>
      </c>
      <c r="Q437" s="74">
        <v>1059.0799999999997</v>
      </c>
      <c r="R437" s="53">
        <f t="shared" si="20"/>
        <v>13521.550000000001</v>
      </c>
      <c r="S437" s="73">
        <v>177747.77</v>
      </c>
    </row>
    <row r="438" spans="1:19" x14ac:dyDescent="0.25">
      <c r="A438" s="28"/>
      <c r="B438" s="45" t="str">
        <f t="shared" si="18"/>
        <v>Feb-2024</v>
      </c>
      <c r="C438" s="57">
        <v>45328</v>
      </c>
      <c r="D438" s="43">
        <f t="shared" si="19"/>
        <v>784</v>
      </c>
      <c r="E438" s="76">
        <v>405</v>
      </c>
      <c r="F438" s="50">
        <v>522</v>
      </c>
      <c r="G438" s="49">
        <v>312070</v>
      </c>
      <c r="H438" s="73">
        <v>519</v>
      </c>
      <c r="I438" s="77">
        <v>522</v>
      </c>
      <c r="J438" s="73">
        <v>222949.85999999996</v>
      </c>
      <c r="K438" s="52">
        <v>18</v>
      </c>
      <c r="L438" s="51">
        <v>3525.52</v>
      </c>
      <c r="M438" s="77">
        <v>287</v>
      </c>
      <c r="N438" s="76">
        <v>128538.45</v>
      </c>
      <c r="O438" s="75">
        <v>258</v>
      </c>
      <c r="P438" s="74">
        <v>39418.310000000041</v>
      </c>
      <c r="Q438" s="74">
        <v>1524.9199999999996</v>
      </c>
      <c r="R438" s="53">
        <f t="shared" si="20"/>
        <v>15603.5</v>
      </c>
      <c r="S438" s="73">
        <v>222949.86</v>
      </c>
    </row>
    <row r="439" spans="1:19" x14ac:dyDescent="0.25">
      <c r="A439" s="28"/>
      <c r="B439" s="45" t="str">
        <f t="shared" si="18"/>
        <v>Feb-2024</v>
      </c>
      <c r="C439" s="57">
        <v>45329</v>
      </c>
      <c r="D439" s="43">
        <f t="shared" si="19"/>
        <v>783</v>
      </c>
      <c r="E439" s="76">
        <v>587</v>
      </c>
      <c r="F439" s="50">
        <v>859</v>
      </c>
      <c r="G439" s="49">
        <v>516275</v>
      </c>
      <c r="H439" s="73">
        <v>859</v>
      </c>
      <c r="I439" s="77">
        <v>859</v>
      </c>
      <c r="J439" s="73">
        <v>377081.70999999996</v>
      </c>
      <c r="K439" s="52">
        <v>4</v>
      </c>
      <c r="L439" s="51">
        <v>1682.81</v>
      </c>
      <c r="M439" s="77">
        <v>468</v>
      </c>
      <c r="N439" s="76">
        <v>205291.9</v>
      </c>
      <c r="O439" s="75">
        <v>421</v>
      </c>
      <c r="P439" s="74">
        <v>66098.61</v>
      </c>
      <c r="Q439" s="74">
        <v>1963.4800000000002</v>
      </c>
      <c r="R439" s="53">
        <f t="shared" si="20"/>
        <v>25813.75</v>
      </c>
      <c r="S439" s="73">
        <v>377081.70999999996</v>
      </c>
    </row>
    <row r="440" spans="1:19" x14ac:dyDescent="0.25">
      <c r="A440" s="28"/>
      <c r="B440" s="45" t="str">
        <f t="shared" si="18"/>
        <v>Feb-2024</v>
      </c>
      <c r="C440" s="57">
        <v>45330</v>
      </c>
      <c r="D440" s="43">
        <f t="shared" si="19"/>
        <v>782</v>
      </c>
      <c r="E440" s="76">
        <v>451</v>
      </c>
      <c r="F440" s="50">
        <v>705</v>
      </c>
      <c r="G440" s="49">
        <v>420758</v>
      </c>
      <c r="H440" s="73">
        <v>703</v>
      </c>
      <c r="I440" s="77">
        <v>705</v>
      </c>
      <c r="J440" s="73">
        <v>310234.42</v>
      </c>
      <c r="K440" s="52">
        <v>14</v>
      </c>
      <c r="L440" s="51">
        <v>2936.4400000000005</v>
      </c>
      <c r="M440" s="77">
        <v>349</v>
      </c>
      <c r="N440" s="76">
        <v>164681.66</v>
      </c>
      <c r="O440" s="75">
        <v>313</v>
      </c>
      <c r="P440" s="74">
        <v>54158.080000000016</v>
      </c>
      <c r="Q440" s="74">
        <v>1518.5399999999997</v>
      </c>
      <c r="R440" s="53">
        <f t="shared" si="20"/>
        <v>21037.9</v>
      </c>
      <c r="S440" s="73">
        <v>310234.42000000004</v>
      </c>
    </row>
    <row r="441" spans="1:19" x14ac:dyDescent="0.25">
      <c r="A441" s="28"/>
      <c r="B441" s="45" t="str">
        <f t="shared" si="18"/>
        <v>Feb-2024</v>
      </c>
      <c r="C441" s="57">
        <v>45331</v>
      </c>
      <c r="D441" s="43">
        <f t="shared" si="19"/>
        <v>781</v>
      </c>
      <c r="E441" s="76">
        <v>334</v>
      </c>
      <c r="F441" s="50">
        <v>586</v>
      </c>
      <c r="G441" s="49">
        <v>352236</v>
      </c>
      <c r="H441" s="73">
        <v>581</v>
      </c>
      <c r="I441" s="77">
        <v>586</v>
      </c>
      <c r="J441" s="73">
        <v>231149.91999999998</v>
      </c>
      <c r="K441" s="52">
        <v>13</v>
      </c>
      <c r="L441" s="51">
        <v>2890.78</v>
      </c>
      <c r="M441" s="77">
        <v>342</v>
      </c>
      <c r="N441" s="76">
        <v>161770.23000000001</v>
      </c>
      <c r="O441" s="75">
        <v>320</v>
      </c>
      <c r="P441" s="74">
        <v>40684.150000000016</v>
      </c>
      <c r="Q441" s="74">
        <v>1400.0799999999997</v>
      </c>
      <c r="R441" s="53">
        <f t="shared" si="20"/>
        <v>17611.8</v>
      </c>
      <c r="S441" s="73">
        <v>231149.92</v>
      </c>
    </row>
    <row r="442" spans="1:19" x14ac:dyDescent="0.25">
      <c r="A442" s="28"/>
      <c r="B442" s="45" t="str">
        <f t="shared" si="18"/>
        <v>Feb-2024</v>
      </c>
      <c r="C442" s="57">
        <v>45332</v>
      </c>
      <c r="D442" s="43">
        <f t="shared" si="19"/>
        <v>780</v>
      </c>
      <c r="E442" s="76">
        <v>334</v>
      </c>
      <c r="F442" s="50">
        <v>510</v>
      </c>
      <c r="G442" s="49">
        <v>311880</v>
      </c>
      <c r="H442" s="73">
        <v>509</v>
      </c>
      <c r="I442" s="77">
        <v>510</v>
      </c>
      <c r="J442" s="73">
        <v>198774.38999999998</v>
      </c>
      <c r="K442" s="52">
        <v>4</v>
      </c>
      <c r="L442" s="51">
        <v>913.13</v>
      </c>
      <c r="M442" s="77">
        <v>307</v>
      </c>
      <c r="N442" s="76">
        <v>148154.15</v>
      </c>
      <c r="O442" s="75">
        <v>282</v>
      </c>
      <c r="P442" s="74">
        <v>35048.539999999979</v>
      </c>
      <c r="Q442" s="74">
        <v>1388.6500000000005</v>
      </c>
      <c r="R442" s="53">
        <f t="shared" si="20"/>
        <v>15594</v>
      </c>
      <c r="S442" s="73">
        <v>198774.39</v>
      </c>
    </row>
    <row r="443" spans="1:19" x14ac:dyDescent="0.25">
      <c r="A443" s="28"/>
      <c r="B443" s="45" t="str">
        <f t="shared" si="18"/>
        <v>Feb-2024</v>
      </c>
      <c r="C443" s="57">
        <v>45333</v>
      </c>
      <c r="D443" s="43">
        <f t="shared" si="19"/>
        <v>779</v>
      </c>
      <c r="E443" s="76">
        <v>312</v>
      </c>
      <c r="F443" s="50">
        <v>502</v>
      </c>
      <c r="G443" s="49">
        <v>293410</v>
      </c>
      <c r="H443" s="73">
        <v>498</v>
      </c>
      <c r="I443" s="77">
        <v>502</v>
      </c>
      <c r="J443" s="73">
        <v>203132.95</v>
      </c>
      <c r="K443" s="52">
        <v>7</v>
      </c>
      <c r="L443" s="51">
        <v>2355.5200000000004</v>
      </c>
      <c r="M443" s="77">
        <v>280</v>
      </c>
      <c r="N443" s="76">
        <v>125807.24</v>
      </c>
      <c r="O443" s="75">
        <v>256</v>
      </c>
      <c r="P443" s="74">
        <v>35530.190000000017</v>
      </c>
      <c r="Q443" s="74">
        <v>1128.17</v>
      </c>
      <c r="R443" s="53">
        <f t="shared" si="20"/>
        <v>14670.5</v>
      </c>
      <c r="S443" s="73">
        <v>203132.95</v>
      </c>
    </row>
    <row r="444" spans="1:19" x14ac:dyDescent="0.25">
      <c r="A444" s="28"/>
      <c r="B444" s="45" t="str">
        <f t="shared" si="18"/>
        <v>Feb-2024</v>
      </c>
      <c r="C444" s="57">
        <v>45334</v>
      </c>
      <c r="D444" s="43">
        <f t="shared" si="19"/>
        <v>778</v>
      </c>
      <c r="E444" s="76">
        <v>325</v>
      </c>
      <c r="F444" s="50">
        <v>509</v>
      </c>
      <c r="G444" s="49">
        <v>309834</v>
      </c>
      <c r="H444" s="73">
        <v>507</v>
      </c>
      <c r="I444" s="77">
        <v>509</v>
      </c>
      <c r="J444" s="73">
        <v>191767.05000000002</v>
      </c>
      <c r="K444" s="52">
        <v>11</v>
      </c>
      <c r="L444" s="51">
        <v>2745.26</v>
      </c>
      <c r="M444" s="77">
        <v>344</v>
      </c>
      <c r="N444" s="76">
        <v>151919.95000000001</v>
      </c>
      <c r="O444" s="75">
        <v>313</v>
      </c>
      <c r="P444" s="74">
        <v>33852.999999999978</v>
      </c>
      <c r="Q444" s="74">
        <v>1413.94</v>
      </c>
      <c r="R444" s="53">
        <f t="shared" si="20"/>
        <v>15491.7</v>
      </c>
      <c r="S444" s="73">
        <v>191767.05</v>
      </c>
    </row>
    <row r="445" spans="1:19" x14ac:dyDescent="0.25">
      <c r="A445" s="28"/>
      <c r="B445" s="45" t="str">
        <f t="shared" si="18"/>
        <v>Feb-2024</v>
      </c>
      <c r="C445" s="57">
        <v>45335</v>
      </c>
      <c r="D445" s="43">
        <f t="shared" si="19"/>
        <v>777</v>
      </c>
      <c r="E445" s="76">
        <v>321</v>
      </c>
      <c r="F445" s="50">
        <v>441</v>
      </c>
      <c r="G445" s="49">
        <v>276018</v>
      </c>
      <c r="H445" s="73">
        <v>439</v>
      </c>
      <c r="I445" s="77">
        <v>441</v>
      </c>
      <c r="J445" s="73">
        <v>192225.15</v>
      </c>
      <c r="K445" s="52">
        <v>10</v>
      </c>
      <c r="L445" s="51">
        <v>1536.85</v>
      </c>
      <c r="M445" s="77">
        <v>285</v>
      </c>
      <c r="N445" s="76">
        <v>117238.1</v>
      </c>
      <c r="O445" s="75">
        <v>257</v>
      </c>
      <c r="P445" s="74">
        <v>33445.249999999993</v>
      </c>
      <c r="Q445" s="74">
        <v>1366.63</v>
      </c>
      <c r="R445" s="53">
        <f t="shared" si="20"/>
        <v>13800.900000000001</v>
      </c>
      <c r="S445" s="73">
        <v>192225.15000000011</v>
      </c>
    </row>
    <row r="446" spans="1:19" x14ac:dyDescent="0.25">
      <c r="A446" s="28"/>
      <c r="B446" s="45" t="str">
        <f t="shared" si="18"/>
        <v>Feb-2024</v>
      </c>
      <c r="C446" s="57">
        <v>45336</v>
      </c>
      <c r="D446" s="43">
        <f t="shared" si="19"/>
        <v>776</v>
      </c>
      <c r="E446" s="76">
        <v>281</v>
      </c>
      <c r="F446" s="50"/>
      <c r="G446" s="49"/>
      <c r="H446" s="73"/>
      <c r="I446" s="77"/>
      <c r="J446" s="73"/>
      <c r="K446" s="52"/>
      <c r="L446" s="51"/>
      <c r="M446" s="77"/>
      <c r="N446" s="76"/>
      <c r="O446" s="75"/>
      <c r="P446" s="74"/>
      <c r="Q446" s="74"/>
      <c r="R446" s="53">
        <f t="shared" si="20"/>
        <v>0</v>
      </c>
      <c r="S446" s="73"/>
    </row>
    <row r="447" spans="1:19" x14ac:dyDescent="0.25">
      <c r="A447" s="28"/>
      <c r="B447" s="45" t="str">
        <f t="shared" si="18"/>
        <v>Feb-2024</v>
      </c>
      <c r="C447" s="57">
        <v>45337</v>
      </c>
      <c r="D447" s="43">
        <f t="shared" si="19"/>
        <v>775</v>
      </c>
      <c r="E447" s="76">
        <v>245</v>
      </c>
      <c r="F447" s="50"/>
      <c r="G447" s="49"/>
      <c r="H447" s="73"/>
      <c r="I447" s="77"/>
      <c r="J447" s="73"/>
      <c r="K447" s="52"/>
      <c r="L447" s="51"/>
      <c r="M447" s="77"/>
      <c r="N447" s="76"/>
      <c r="O447" s="75"/>
      <c r="P447" s="74"/>
      <c r="Q447" s="74"/>
      <c r="R447" s="53">
        <f t="shared" si="20"/>
        <v>0</v>
      </c>
      <c r="S447" s="73"/>
    </row>
    <row r="448" spans="1:19" x14ac:dyDescent="0.25">
      <c r="A448" s="28"/>
      <c r="B448" s="45" t="str">
        <f t="shared" si="18"/>
        <v>Feb-2024</v>
      </c>
      <c r="C448" s="57">
        <v>45338</v>
      </c>
      <c r="D448" s="43">
        <f t="shared" si="19"/>
        <v>774</v>
      </c>
      <c r="E448" s="76">
        <v>274</v>
      </c>
      <c r="F448" s="50">
        <v>790</v>
      </c>
      <c r="G448" s="49">
        <v>521405</v>
      </c>
      <c r="H448" s="73">
        <v>790</v>
      </c>
      <c r="I448" s="77">
        <v>790</v>
      </c>
      <c r="J448" s="73">
        <v>278242.21000000002</v>
      </c>
      <c r="K448" s="52">
        <v>10</v>
      </c>
      <c r="L448" s="51">
        <v>2866.87</v>
      </c>
      <c r="M448" s="77">
        <v>652</v>
      </c>
      <c r="N448" s="76">
        <v>292294.06</v>
      </c>
      <c r="O448" s="75">
        <v>585</v>
      </c>
      <c r="P448" s="74">
        <v>49131.270000000026</v>
      </c>
      <c r="Q448" s="74">
        <v>2273.3799999999992</v>
      </c>
      <c r="R448" s="53">
        <f t="shared" si="20"/>
        <v>26070.25</v>
      </c>
      <c r="S448" s="73">
        <v>278242.21000000002</v>
      </c>
    </row>
    <row r="449" spans="1:19" x14ac:dyDescent="0.25">
      <c r="A449" s="28"/>
      <c r="B449" s="45" t="str">
        <f t="shared" si="18"/>
        <v>Feb-2024</v>
      </c>
      <c r="C449" s="57">
        <v>45339</v>
      </c>
      <c r="D449" s="43">
        <f t="shared" si="19"/>
        <v>773</v>
      </c>
      <c r="E449" s="76">
        <v>280</v>
      </c>
      <c r="F449" s="50">
        <v>307</v>
      </c>
      <c r="G449" s="49">
        <v>189276</v>
      </c>
      <c r="H449" s="73">
        <v>307</v>
      </c>
      <c r="I449" s="77">
        <v>307</v>
      </c>
      <c r="J449" s="73">
        <v>135591.28999999998</v>
      </c>
      <c r="K449" s="52">
        <v>7</v>
      </c>
      <c r="L449" s="51">
        <v>310.87</v>
      </c>
      <c r="M449" s="77">
        <v>188</v>
      </c>
      <c r="N449" s="76">
        <v>77330.25</v>
      </c>
      <c r="O449" s="75">
        <v>168</v>
      </c>
      <c r="P449" s="74">
        <v>23645.539999999968</v>
      </c>
      <c r="Q449" s="74">
        <v>831.6400000000001</v>
      </c>
      <c r="R449" s="53">
        <f t="shared" si="20"/>
        <v>9463.8000000000011</v>
      </c>
      <c r="S449" s="73">
        <v>135591.28999999998</v>
      </c>
    </row>
    <row r="450" spans="1:19" x14ac:dyDescent="0.25">
      <c r="A450" s="28"/>
      <c r="B450" s="45" t="str">
        <f t="shared" si="18"/>
        <v>Feb-2024</v>
      </c>
      <c r="C450" s="57">
        <v>45340</v>
      </c>
      <c r="D450" s="43">
        <f t="shared" si="19"/>
        <v>772</v>
      </c>
      <c r="E450" s="76">
        <v>192</v>
      </c>
      <c r="F450" s="50"/>
      <c r="G450" s="49"/>
      <c r="H450" s="73"/>
      <c r="I450" s="77"/>
      <c r="J450" s="73"/>
      <c r="K450" s="52"/>
      <c r="L450" s="51"/>
      <c r="M450" s="77"/>
      <c r="N450" s="76"/>
      <c r="O450" s="75"/>
      <c r="P450" s="74"/>
      <c r="Q450" s="74"/>
      <c r="R450" s="53">
        <f t="shared" si="20"/>
        <v>0</v>
      </c>
      <c r="S450" s="73"/>
    </row>
    <row r="451" spans="1:19" x14ac:dyDescent="0.25">
      <c r="A451" s="28"/>
      <c r="B451" s="45" t="str">
        <f t="shared" si="18"/>
        <v>Feb-2024</v>
      </c>
      <c r="C451" s="57">
        <v>45341</v>
      </c>
      <c r="D451" s="43">
        <f t="shared" si="19"/>
        <v>771</v>
      </c>
      <c r="E451" s="76">
        <v>291</v>
      </c>
      <c r="F451" s="50"/>
      <c r="G451" s="49"/>
      <c r="H451" s="73"/>
      <c r="I451" s="77"/>
      <c r="J451" s="73"/>
      <c r="K451" s="52"/>
      <c r="L451" s="51"/>
      <c r="M451" s="77"/>
      <c r="N451" s="76"/>
      <c r="O451" s="75"/>
      <c r="P451" s="74"/>
      <c r="Q451" s="74"/>
      <c r="R451" s="53">
        <f t="shared" si="20"/>
        <v>0</v>
      </c>
      <c r="S451" s="73"/>
    </row>
    <row r="452" spans="1:19" x14ac:dyDescent="0.25">
      <c r="A452" s="28"/>
      <c r="B452" s="45" t="str">
        <f t="shared" si="18"/>
        <v>Feb-2024</v>
      </c>
      <c r="C452" s="57">
        <v>45342</v>
      </c>
      <c r="D452" s="43">
        <f t="shared" si="19"/>
        <v>770</v>
      </c>
      <c r="E452" s="76">
        <v>290</v>
      </c>
      <c r="F452" s="50"/>
      <c r="G452" s="49"/>
      <c r="H452" s="73"/>
      <c r="I452" s="77"/>
      <c r="J452" s="73"/>
      <c r="K452" s="52"/>
      <c r="L452" s="51"/>
      <c r="M452" s="77"/>
      <c r="N452" s="76"/>
      <c r="O452" s="75"/>
      <c r="P452" s="74"/>
      <c r="Q452" s="74"/>
      <c r="R452" s="53">
        <f t="shared" si="20"/>
        <v>0</v>
      </c>
      <c r="S452" s="73"/>
    </row>
    <row r="453" spans="1:19" x14ac:dyDescent="0.25">
      <c r="A453" s="28"/>
      <c r="B453" s="45" t="str">
        <f t="shared" si="18"/>
        <v>Feb-2024</v>
      </c>
      <c r="C453" s="57">
        <v>45343</v>
      </c>
      <c r="D453" s="43">
        <f t="shared" si="19"/>
        <v>769</v>
      </c>
      <c r="E453" s="76">
        <v>284</v>
      </c>
      <c r="F453" s="50"/>
      <c r="G453" s="49"/>
      <c r="H453" s="73"/>
      <c r="I453" s="77"/>
      <c r="J453" s="73"/>
      <c r="K453" s="52"/>
      <c r="L453" s="51"/>
      <c r="M453" s="77"/>
      <c r="N453" s="76"/>
      <c r="O453" s="75"/>
      <c r="P453" s="74"/>
      <c r="Q453" s="74"/>
      <c r="R453" s="53">
        <f t="shared" si="20"/>
        <v>0</v>
      </c>
      <c r="S453" s="73"/>
    </row>
    <row r="454" spans="1:19" x14ac:dyDescent="0.25">
      <c r="A454" s="28"/>
      <c r="B454" s="45" t="str">
        <f t="shared" ref="B454:B517" si="21">TEXT(C454,"MMM-YYYY")</f>
        <v>Feb-2024</v>
      </c>
      <c r="C454" s="57">
        <v>45344</v>
      </c>
      <c r="D454" s="43">
        <f t="shared" ref="D454:D517" si="22">$A$1-C454</f>
        <v>768</v>
      </c>
      <c r="E454" s="76">
        <v>245</v>
      </c>
      <c r="F454" s="50"/>
      <c r="G454" s="49"/>
      <c r="H454" s="73"/>
      <c r="I454" s="77"/>
      <c r="J454" s="73"/>
      <c r="K454" s="52"/>
      <c r="L454" s="51"/>
      <c r="M454" s="77"/>
      <c r="N454" s="76"/>
      <c r="O454" s="75"/>
      <c r="P454" s="74"/>
      <c r="Q454" s="74"/>
      <c r="R454" s="53">
        <f t="shared" ref="R454:R517" si="23">G454*5%</f>
        <v>0</v>
      </c>
      <c r="S454" s="73"/>
    </row>
    <row r="455" spans="1:19" x14ac:dyDescent="0.25">
      <c r="A455" s="28"/>
      <c r="B455" s="45" t="str">
        <f t="shared" si="21"/>
        <v>Feb-2024</v>
      </c>
      <c r="C455" s="57">
        <v>45345</v>
      </c>
      <c r="D455" s="43">
        <f t="shared" si="22"/>
        <v>767</v>
      </c>
      <c r="E455" s="76">
        <v>259</v>
      </c>
      <c r="F455" s="50"/>
      <c r="G455" s="49"/>
      <c r="H455" s="73"/>
      <c r="I455" s="77"/>
      <c r="J455" s="73"/>
      <c r="K455" s="52"/>
      <c r="L455" s="51"/>
      <c r="M455" s="77"/>
      <c r="N455" s="76"/>
      <c r="O455" s="75"/>
      <c r="P455" s="74"/>
      <c r="Q455" s="74"/>
      <c r="R455" s="53">
        <f t="shared" si="23"/>
        <v>0</v>
      </c>
      <c r="S455" s="73"/>
    </row>
    <row r="456" spans="1:19" x14ac:dyDescent="0.25">
      <c r="A456" s="28"/>
      <c r="B456" s="45" t="str">
        <f t="shared" si="21"/>
        <v>Feb-2024</v>
      </c>
      <c r="C456" s="57">
        <v>45346</v>
      </c>
      <c r="D456" s="43">
        <f t="shared" si="22"/>
        <v>766</v>
      </c>
      <c r="E456" s="76">
        <v>251</v>
      </c>
      <c r="F456" s="50"/>
      <c r="G456" s="49"/>
      <c r="H456" s="73"/>
      <c r="I456" s="77"/>
      <c r="J456" s="73"/>
      <c r="K456" s="52"/>
      <c r="L456" s="51"/>
      <c r="M456" s="77"/>
      <c r="N456" s="76"/>
      <c r="O456" s="75"/>
      <c r="P456" s="74"/>
      <c r="Q456" s="74"/>
      <c r="R456" s="53">
        <f t="shared" si="23"/>
        <v>0</v>
      </c>
      <c r="S456" s="73"/>
    </row>
    <row r="457" spans="1:19" x14ac:dyDescent="0.25">
      <c r="A457" s="28"/>
      <c r="B457" s="45" t="str">
        <f t="shared" si="21"/>
        <v>Feb-2024</v>
      </c>
      <c r="C457" s="57">
        <v>45347</v>
      </c>
      <c r="D457" s="43">
        <f t="shared" si="22"/>
        <v>765</v>
      </c>
      <c r="E457" s="76">
        <v>268</v>
      </c>
      <c r="F457" s="50"/>
      <c r="G457" s="49"/>
      <c r="H457" s="73"/>
      <c r="I457" s="77"/>
      <c r="J457" s="73"/>
      <c r="K457" s="52"/>
      <c r="L457" s="51"/>
      <c r="M457" s="77"/>
      <c r="N457" s="76"/>
      <c r="O457" s="75"/>
      <c r="P457" s="74"/>
      <c r="Q457" s="74"/>
      <c r="R457" s="53">
        <f t="shared" si="23"/>
        <v>0</v>
      </c>
      <c r="S457" s="73"/>
    </row>
    <row r="458" spans="1:19" x14ac:dyDescent="0.25">
      <c r="A458" s="28"/>
      <c r="B458" s="45" t="str">
        <f t="shared" si="21"/>
        <v>Feb-2024</v>
      </c>
      <c r="C458" s="57">
        <v>45348</v>
      </c>
      <c r="D458" s="43">
        <f t="shared" si="22"/>
        <v>764</v>
      </c>
      <c r="E458" s="76">
        <v>250</v>
      </c>
      <c r="F458" s="50">
        <v>1136</v>
      </c>
      <c r="G458" s="49">
        <v>762431</v>
      </c>
      <c r="H458" s="73">
        <v>1135</v>
      </c>
      <c r="I458" s="77">
        <v>1136</v>
      </c>
      <c r="J458" s="73">
        <v>446070.64999999991</v>
      </c>
      <c r="K458" s="52">
        <v>15</v>
      </c>
      <c r="L458" s="51">
        <v>1996.29</v>
      </c>
      <c r="M458" s="77">
        <v>1041</v>
      </c>
      <c r="N458" s="76">
        <v>395048.09</v>
      </c>
      <c r="O458" s="75">
        <v>893</v>
      </c>
      <c r="P458" s="74">
        <v>78687.740000000136</v>
      </c>
      <c r="Q458" s="74">
        <v>4590.3999999999978</v>
      </c>
      <c r="R458" s="53">
        <f t="shared" si="23"/>
        <v>38121.550000000003</v>
      </c>
      <c r="S458" s="73">
        <v>446070.64999999991</v>
      </c>
    </row>
    <row r="459" spans="1:19" x14ac:dyDescent="0.25">
      <c r="A459" s="28"/>
      <c r="B459" s="45" t="str">
        <f t="shared" si="21"/>
        <v>Feb-2024</v>
      </c>
      <c r="C459" s="57">
        <v>45349</v>
      </c>
      <c r="D459" s="43">
        <f t="shared" si="22"/>
        <v>763</v>
      </c>
      <c r="E459" s="76">
        <v>273</v>
      </c>
      <c r="F459" s="50">
        <v>524</v>
      </c>
      <c r="G459" s="49">
        <v>349957</v>
      </c>
      <c r="H459" s="73">
        <v>522</v>
      </c>
      <c r="I459" s="77">
        <v>524</v>
      </c>
      <c r="J459" s="73">
        <v>207355.55000000005</v>
      </c>
      <c r="K459" s="52">
        <v>16</v>
      </c>
      <c r="L459" s="51">
        <v>1147.5</v>
      </c>
      <c r="M459" s="77">
        <v>401</v>
      </c>
      <c r="N459" s="76">
        <v>179380.21</v>
      </c>
      <c r="O459" s="75">
        <v>348</v>
      </c>
      <c r="P459" s="74">
        <v>36778.760000000031</v>
      </c>
      <c r="Q459" s="74">
        <v>2242.5200000000009</v>
      </c>
      <c r="R459" s="53">
        <f t="shared" si="23"/>
        <v>17497.850000000002</v>
      </c>
      <c r="S459" s="73">
        <v>207355.55000000005</v>
      </c>
    </row>
    <row r="460" spans="1:19" x14ac:dyDescent="0.25">
      <c r="A460" s="28"/>
      <c r="B460" s="45" t="str">
        <f t="shared" si="21"/>
        <v>Feb-2024</v>
      </c>
      <c r="C460" s="57">
        <v>45350</v>
      </c>
      <c r="D460" s="43">
        <f t="shared" si="22"/>
        <v>762</v>
      </c>
      <c r="E460" s="76">
        <v>291</v>
      </c>
      <c r="F460" s="50"/>
      <c r="G460" s="49"/>
      <c r="H460" s="73"/>
      <c r="I460" s="77"/>
      <c r="J460" s="73"/>
      <c r="K460" s="52"/>
      <c r="L460" s="51"/>
      <c r="M460" s="77"/>
      <c r="N460" s="76"/>
      <c r="O460" s="75"/>
      <c r="P460" s="74"/>
      <c r="Q460" s="74"/>
      <c r="R460" s="53">
        <f t="shared" si="23"/>
        <v>0</v>
      </c>
      <c r="S460" s="73"/>
    </row>
    <row r="461" spans="1:19" x14ac:dyDescent="0.25">
      <c r="A461" s="28"/>
      <c r="B461" s="45" t="str">
        <f t="shared" si="21"/>
        <v>Feb-2024</v>
      </c>
      <c r="C461" s="57">
        <v>45351</v>
      </c>
      <c r="D461" s="43">
        <f t="shared" si="22"/>
        <v>761</v>
      </c>
      <c r="E461" s="76">
        <v>274</v>
      </c>
      <c r="F461" s="50"/>
      <c r="G461" s="49"/>
      <c r="H461" s="73"/>
      <c r="I461" s="77"/>
      <c r="J461" s="73"/>
      <c r="K461" s="52"/>
      <c r="L461" s="51"/>
      <c r="M461" s="77"/>
      <c r="N461" s="76"/>
      <c r="O461" s="75"/>
      <c r="P461" s="74"/>
      <c r="Q461" s="74"/>
      <c r="R461" s="53">
        <f t="shared" si="23"/>
        <v>0</v>
      </c>
      <c r="S461" s="73"/>
    </row>
    <row r="462" spans="1:19" x14ac:dyDescent="0.25">
      <c r="A462" s="28"/>
      <c r="B462" s="45" t="str">
        <f t="shared" si="21"/>
        <v>Mar-2024</v>
      </c>
      <c r="C462" s="57">
        <v>45352</v>
      </c>
      <c r="D462" s="43">
        <f t="shared" si="22"/>
        <v>760</v>
      </c>
      <c r="E462" s="76">
        <v>258</v>
      </c>
      <c r="F462" s="50"/>
      <c r="G462" s="49"/>
      <c r="H462" s="73"/>
      <c r="I462" s="77"/>
      <c r="J462" s="73"/>
      <c r="K462" s="52"/>
      <c r="L462" s="51"/>
      <c r="M462" s="77"/>
      <c r="N462" s="76"/>
      <c r="O462" s="75"/>
      <c r="P462" s="74"/>
      <c r="Q462" s="74"/>
      <c r="R462" s="53">
        <f t="shared" si="23"/>
        <v>0</v>
      </c>
      <c r="S462" s="73"/>
    </row>
    <row r="463" spans="1:19" x14ac:dyDescent="0.25">
      <c r="A463" s="28"/>
      <c r="B463" s="45" t="str">
        <f t="shared" si="21"/>
        <v>Mar-2024</v>
      </c>
      <c r="C463" s="57">
        <v>45353</v>
      </c>
      <c r="D463" s="43">
        <f t="shared" si="22"/>
        <v>759</v>
      </c>
      <c r="E463" s="76">
        <v>226</v>
      </c>
      <c r="F463" s="50"/>
      <c r="G463" s="49"/>
      <c r="H463" s="73"/>
      <c r="I463" s="77"/>
      <c r="J463" s="73"/>
      <c r="K463" s="52"/>
      <c r="L463" s="51"/>
      <c r="M463" s="77"/>
      <c r="N463" s="76"/>
      <c r="O463" s="75"/>
      <c r="P463" s="74"/>
      <c r="Q463" s="74"/>
      <c r="R463" s="53">
        <f t="shared" si="23"/>
        <v>0</v>
      </c>
      <c r="S463" s="73"/>
    </row>
    <row r="464" spans="1:19" x14ac:dyDescent="0.25">
      <c r="A464" s="28"/>
      <c r="B464" s="45" t="str">
        <f t="shared" si="21"/>
        <v>Mar-2024</v>
      </c>
      <c r="C464" s="57">
        <v>45354</v>
      </c>
      <c r="D464" s="43">
        <f t="shared" si="22"/>
        <v>758</v>
      </c>
      <c r="E464" s="76">
        <v>231</v>
      </c>
      <c r="F464" s="50"/>
      <c r="G464" s="49"/>
      <c r="H464" s="73"/>
      <c r="I464" s="77"/>
      <c r="J464" s="73"/>
      <c r="K464" s="52"/>
      <c r="L464" s="51"/>
      <c r="M464" s="77"/>
      <c r="N464" s="76"/>
      <c r="O464" s="75"/>
      <c r="P464" s="74"/>
      <c r="Q464" s="74"/>
      <c r="R464" s="53">
        <f t="shared" si="23"/>
        <v>0</v>
      </c>
      <c r="S464" s="73"/>
    </row>
    <row r="465" spans="1:19" x14ac:dyDescent="0.25">
      <c r="A465" s="28"/>
      <c r="B465" s="45" t="str">
        <f t="shared" si="21"/>
        <v>Mar-2024</v>
      </c>
      <c r="C465" s="57">
        <v>45355</v>
      </c>
      <c r="D465" s="43">
        <f t="shared" si="22"/>
        <v>757</v>
      </c>
      <c r="E465" s="76">
        <v>242</v>
      </c>
      <c r="F465" s="50"/>
      <c r="G465" s="49"/>
      <c r="H465" s="73"/>
      <c r="I465" s="77"/>
      <c r="J465" s="73"/>
      <c r="K465" s="52"/>
      <c r="L465" s="51"/>
      <c r="M465" s="77"/>
      <c r="N465" s="76"/>
      <c r="O465" s="75"/>
      <c r="P465" s="74"/>
      <c r="Q465" s="74"/>
      <c r="R465" s="53">
        <f t="shared" si="23"/>
        <v>0</v>
      </c>
      <c r="S465" s="73"/>
    </row>
    <row r="466" spans="1:19" x14ac:dyDescent="0.25">
      <c r="A466" s="28"/>
      <c r="B466" s="45" t="str">
        <f t="shared" si="21"/>
        <v>Mar-2024</v>
      </c>
      <c r="C466" s="57">
        <v>45356</v>
      </c>
      <c r="D466" s="43">
        <f t="shared" si="22"/>
        <v>756</v>
      </c>
      <c r="E466" s="76">
        <v>238</v>
      </c>
      <c r="F466" s="50"/>
      <c r="G466" s="49"/>
      <c r="H466" s="73"/>
      <c r="I466" s="77"/>
      <c r="J466" s="73"/>
      <c r="K466" s="52"/>
      <c r="L466" s="51"/>
      <c r="M466" s="77"/>
      <c r="N466" s="76"/>
      <c r="O466" s="75"/>
      <c r="P466" s="74"/>
      <c r="Q466" s="74"/>
      <c r="R466" s="53">
        <f t="shared" si="23"/>
        <v>0</v>
      </c>
      <c r="S466" s="73"/>
    </row>
    <row r="467" spans="1:19" x14ac:dyDescent="0.25">
      <c r="A467" s="28"/>
      <c r="B467" s="45" t="str">
        <f t="shared" si="21"/>
        <v>Mar-2024</v>
      </c>
      <c r="C467" s="57">
        <v>45357</v>
      </c>
      <c r="D467" s="43">
        <f t="shared" si="22"/>
        <v>755</v>
      </c>
      <c r="E467" s="76">
        <v>303</v>
      </c>
      <c r="F467" s="50">
        <v>1639</v>
      </c>
      <c r="G467" s="49">
        <v>1061805</v>
      </c>
      <c r="H467" s="73">
        <v>1635</v>
      </c>
      <c r="I467" s="77">
        <v>1639</v>
      </c>
      <c r="J467" s="73">
        <v>647881.61999999976</v>
      </c>
      <c r="K467" s="52">
        <v>32</v>
      </c>
      <c r="L467" s="51">
        <v>7335.4999999999991</v>
      </c>
      <c r="M467" s="77">
        <v>1382</v>
      </c>
      <c r="N467" s="76">
        <v>525964.78</v>
      </c>
      <c r="O467" s="75">
        <v>1201</v>
      </c>
      <c r="P467" s="74">
        <v>112041.39999999956</v>
      </c>
      <c r="Q467" s="74">
        <v>5456.4999999999973</v>
      </c>
      <c r="R467" s="53">
        <f t="shared" si="23"/>
        <v>53090.25</v>
      </c>
      <c r="S467" s="73">
        <v>647881.61999999976</v>
      </c>
    </row>
    <row r="468" spans="1:19" x14ac:dyDescent="0.25">
      <c r="A468" s="28"/>
      <c r="B468" s="45" t="str">
        <f t="shared" si="21"/>
        <v>Mar-2024</v>
      </c>
      <c r="C468" s="57">
        <v>45358</v>
      </c>
      <c r="D468" s="43">
        <f t="shared" si="22"/>
        <v>754</v>
      </c>
      <c r="E468" s="76">
        <v>261</v>
      </c>
      <c r="F468" s="50">
        <v>257</v>
      </c>
      <c r="G468" s="49">
        <v>177106</v>
      </c>
      <c r="H468" s="73">
        <v>257</v>
      </c>
      <c r="I468" s="77">
        <v>257</v>
      </c>
      <c r="J468" s="73">
        <v>102262.90999999999</v>
      </c>
      <c r="K468" s="52">
        <v>2</v>
      </c>
      <c r="L468" s="51">
        <v>21</v>
      </c>
      <c r="M468" s="77">
        <v>177</v>
      </c>
      <c r="N468" s="76">
        <v>92467.1</v>
      </c>
      <c r="O468" s="75">
        <v>164</v>
      </c>
      <c r="P468" s="74">
        <v>17624.010000000006</v>
      </c>
      <c r="Q468" s="74">
        <v>820.2600000000001</v>
      </c>
      <c r="R468" s="53">
        <f t="shared" si="23"/>
        <v>8855.3000000000011</v>
      </c>
      <c r="S468" s="73">
        <v>102262.91</v>
      </c>
    </row>
    <row r="469" spans="1:19" x14ac:dyDescent="0.25">
      <c r="A469" s="28"/>
      <c r="B469" s="45" t="str">
        <f t="shared" si="21"/>
        <v>Mar-2024</v>
      </c>
      <c r="C469" s="57">
        <v>45359</v>
      </c>
      <c r="D469" s="43">
        <f t="shared" si="22"/>
        <v>753</v>
      </c>
      <c r="E469" s="76">
        <v>208</v>
      </c>
      <c r="F469" s="50"/>
      <c r="G469" s="49"/>
      <c r="H469" s="73"/>
      <c r="I469" s="77"/>
      <c r="J469" s="73"/>
      <c r="K469" s="52"/>
      <c r="L469" s="51"/>
      <c r="M469" s="77"/>
      <c r="N469" s="76"/>
      <c r="O469" s="75"/>
      <c r="P469" s="74"/>
      <c r="Q469" s="74"/>
      <c r="R469" s="53">
        <f t="shared" si="23"/>
        <v>0</v>
      </c>
      <c r="S469" s="73"/>
    </row>
    <row r="470" spans="1:19" x14ac:dyDescent="0.25">
      <c r="A470" s="28"/>
      <c r="B470" s="45" t="str">
        <f t="shared" si="21"/>
        <v>Mar-2024</v>
      </c>
      <c r="C470" s="57">
        <v>45360</v>
      </c>
      <c r="D470" s="43">
        <f t="shared" si="22"/>
        <v>752</v>
      </c>
      <c r="E470" s="76">
        <v>222</v>
      </c>
      <c r="F470" s="50"/>
      <c r="G470" s="49"/>
      <c r="H470" s="73"/>
      <c r="I470" s="77"/>
      <c r="J470" s="73"/>
      <c r="K470" s="52"/>
      <c r="L470" s="51"/>
      <c r="M470" s="77"/>
      <c r="N470" s="76"/>
      <c r="O470" s="75"/>
      <c r="P470" s="74"/>
      <c r="Q470" s="74"/>
      <c r="R470" s="53">
        <f t="shared" si="23"/>
        <v>0</v>
      </c>
      <c r="S470" s="73"/>
    </row>
    <row r="471" spans="1:19" x14ac:dyDescent="0.25">
      <c r="A471" s="28"/>
      <c r="B471" s="45" t="str">
        <f t="shared" si="21"/>
        <v>Mar-2024</v>
      </c>
      <c r="C471" s="57">
        <v>45361</v>
      </c>
      <c r="D471" s="43">
        <f t="shared" si="22"/>
        <v>751</v>
      </c>
      <c r="E471" s="76">
        <v>238</v>
      </c>
      <c r="F471" s="50"/>
      <c r="G471" s="49"/>
      <c r="H471" s="73"/>
      <c r="I471" s="77"/>
      <c r="J471" s="73"/>
      <c r="K471" s="52"/>
      <c r="L471" s="51"/>
      <c r="M471" s="77"/>
      <c r="N471" s="76"/>
      <c r="O471" s="75"/>
      <c r="P471" s="74"/>
      <c r="Q471" s="74"/>
      <c r="R471" s="53">
        <f t="shared" si="23"/>
        <v>0</v>
      </c>
      <c r="S471" s="73"/>
    </row>
    <row r="472" spans="1:19" x14ac:dyDescent="0.25">
      <c r="A472" s="28"/>
      <c r="B472" s="45" t="str">
        <f t="shared" si="21"/>
        <v>Mar-2024</v>
      </c>
      <c r="C472" s="57">
        <v>45362</v>
      </c>
      <c r="D472" s="43">
        <f t="shared" si="22"/>
        <v>750</v>
      </c>
      <c r="E472" s="76">
        <v>246</v>
      </c>
      <c r="F472" s="50"/>
      <c r="G472" s="49"/>
      <c r="H472" s="73"/>
      <c r="I472" s="77"/>
      <c r="J472" s="73"/>
      <c r="K472" s="52"/>
      <c r="L472" s="51"/>
      <c r="M472" s="77"/>
      <c r="N472" s="76"/>
      <c r="O472" s="75"/>
      <c r="P472" s="74"/>
      <c r="Q472" s="74"/>
      <c r="R472" s="53">
        <f t="shared" si="23"/>
        <v>0</v>
      </c>
      <c r="S472" s="73"/>
    </row>
    <row r="473" spans="1:19" x14ac:dyDescent="0.25">
      <c r="A473" s="28"/>
      <c r="B473" s="45" t="str">
        <f t="shared" si="21"/>
        <v>Mar-2024</v>
      </c>
      <c r="C473" s="57">
        <v>45363</v>
      </c>
      <c r="D473" s="43">
        <f t="shared" si="22"/>
        <v>749</v>
      </c>
      <c r="E473" s="76">
        <v>242</v>
      </c>
      <c r="F473" s="50"/>
      <c r="G473" s="49"/>
      <c r="H473" s="73"/>
      <c r="I473" s="77"/>
      <c r="J473" s="73"/>
      <c r="K473" s="52"/>
      <c r="L473" s="51"/>
      <c r="M473" s="77"/>
      <c r="N473" s="76"/>
      <c r="O473" s="75"/>
      <c r="P473" s="74"/>
      <c r="Q473" s="74"/>
      <c r="R473" s="53">
        <f t="shared" si="23"/>
        <v>0</v>
      </c>
      <c r="S473" s="73"/>
    </row>
    <row r="474" spans="1:19" x14ac:dyDescent="0.25">
      <c r="A474" s="28"/>
      <c r="B474" s="45" t="str">
        <f t="shared" si="21"/>
        <v>Mar-2024</v>
      </c>
      <c r="C474" s="57">
        <v>45364</v>
      </c>
      <c r="D474" s="43">
        <f t="shared" si="22"/>
        <v>748</v>
      </c>
      <c r="E474" s="76">
        <v>256</v>
      </c>
      <c r="F474" s="50"/>
      <c r="G474" s="49"/>
      <c r="H474" s="73"/>
      <c r="I474" s="77"/>
      <c r="J474" s="73"/>
      <c r="K474" s="52"/>
      <c r="L474" s="51"/>
      <c r="M474" s="77"/>
      <c r="N474" s="76"/>
      <c r="O474" s="75"/>
      <c r="P474" s="74"/>
      <c r="Q474" s="74"/>
      <c r="R474" s="53">
        <f t="shared" si="23"/>
        <v>0</v>
      </c>
      <c r="S474" s="73"/>
    </row>
    <row r="475" spans="1:19" x14ac:dyDescent="0.25">
      <c r="A475" s="28"/>
      <c r="B475" s="45" t="str">
        <f t="shared" si="21"/>
        <v>Mar-2024</v>
      </c>
      <c r="C475" s="57">
        <v>45365</v>
      </c>
      <c r="D475" s="43">
        <f t="shared" si="22"/>
        <v>747</v>
      </c>
      <c r="E475" s="76">
        <v>276</v>
      </c>
      <c r="F475" s="50">
        <v>1083</v>
      </c>
      <c r="G475" s="49">
        <v>690366</v>
      </c>
      <c r="H475" s="73">
        <v>1082</v>
      </c>
      <c r="I475" s="77">
        <v>1083</v>
      </c>
      <c r="J475" s="73">
        <v>454982.63000000018</v>
      </c>
      <c r="K475" s="52">
        <v>7</v>
      </c>
      <c r="L475" s="51">
        <v>2034.37</v>
      </c>
      <c r="M475" s="77">
        <v>763</v>
      </c>
      <c r="N475" s="76">
        <v>313487.82</v>
      </c>
      <c r="O475" s="75">
        <v>663</v>
      </c>
      <c r="P475" s="74">
        <v>78104.45000000039</v>
      </c>
      <c r="Q475" s="74">
        <v>3727.3199999999988</v>
      </c>
      <c r="R475" s="53">
        <f t="shared" si="23"/>
        <v>34518.300000000003</v>
      </c>
      <c r="S475" s="73">
        <v>454982.63000000012</v>
      </c>
    </row>
    <row r="476" spans="1:19" x14ac:dyDescent="0.25">
      <c r="A476" s="28"/>
      <c r="B476" s="45" t="str">
        <f t="shared" si="21"/>
        <v>Mar-2024</v>
      </c>
      <c r="C476" s="57">
        <v>45366</v>
      </c>
      <c r="D476" s="43">
        <f t="shared" si="22"/>
        <v>746</v>
      </c>
      <c r="E476" s="76">
        <v>233</v>
      </c>
      <c r="F476" s="50">
        <v>466</v>
      </c>
      <c r="G476" s="49">
        <v>293509</v>
      </c>
      <c r="H476" s="73">
        <v>466</v>
      </c>
      <c r="I476" s="77">
        <v>466</v>
      </c>
      <c r="J476" s="73">
        <v>206989.96000000002</v>
      </c>
      <c r="K476" s="52">
        <v>11</v>
      </c>
      <c r="L476" s="51">
        <v>951.18</v>
      </c>
      <c r="M476" s="77">
        <v>349</v>
      </c>
      <c r="N476" s="76">
        <v>122092.04</v>
      </c>
      <c r="O476" s="75">
        <v>306</v>
      </c>
      <c r="P476" s="74">
        <v>35573.000000000022</v>
      </c>
      <c r="Q476" s="74">
        <v>1765.6099999999994</v>
      </c>
      <c r="R476" s="53">
        <f t="shared" si="23"/>
        <v>14675.45</v>
      </c>
      <c r="S476" s="73">
        <v>206989.96</v>
      </c>
    </row>
    <row r="477" spans="1:19" x14ac:dyDescent="0.25">
      <c r="A477" s="28"/>
      <c r="B477" s="45" t="str">
        <f t="shared" si="21"/>
        <v>Mar-2024</v>
      </c>
      <c r="C477" s="57">
        <v>45367</v>
      </c>
      <c r="D477" s="43">
        <f t="shared" si="22"/>
        <v>745</v>
      </c>
      <c r="E477" s="76">
        <v>252</v>
      </c>
      <c r="F477" s="50"/>
      <c r="G477" s="49"/>
      <c r="H477" s="73"/>
      <c r="I477" s="77"/>
      <c r="J477" s="73"/>
      <c r="K477" s="52"/>
      <c r="L477" s="51"/>
      <c r="M477" s="77"/>
      <c r="N477" s="76"/>
      <c r="O477" s="75"/>
      <c r="P477" s="74"/>
      <c r="Q477" s="74"/>
      <c r="R477" s="53">
        <f t="shared" si="23"/>
        <v>0</v>
      </c>
      <c r="S477" s="73"/>
    </row>
    <row r="478" spans="1:19" x14ac:dyDescent="0.25">
      <c r="A478" s="28"/>
      <c r="B478" s="45" t="str">
        <f t="shared" si="21"/>
        <v>Mar-2024</v>
      </c>
      <c r="C478" s="57">
        <v>45368</v>
      </c>
      <c r="D478" s="43">
        <f t="shared" si="22"/>
        <v>744</v>
      </c>
      <c r="E478" s="76">
        <v>189</v>
      </c>
      <c r="F478" s="50"/>
      <c r="G478" s="49"/>
      <c r="H478" s="73"/>
      <c r="I478" s="77"/>
      <c r="J478" s="73"/>
      <c r="K478" s="52"/>
      <c r="L478" s="51"/>
      <c r="M478" s="77"/>
      <c r="N478" s="76"/>
      <c r="O478" s="75"/>
      <c r="P478" s="74"/>
      <c r="Q478" s="74"/>
      <c r="R478" s="53">
        <f t="shared" si="23"/>
        <v>0</v>
      </c>
      <c r="S478" s="73"/>
    </row>
    <row r="479" spans="1:19" x14ac:dyDescent="0.25">
      <c r="A479" s="28"/>
      <c r="B479" s="45" t="str">
        <f t="shared" si="21"/>
        <v>Mar-2024</v>
      </c>
      <c r="C479" s="57">
        <v>45369</v>
      </c>
      <c r="D479" s="43">
        <f t="shared" si="22"/>
        <v>743</v>
      </c>
      <c r="E479" s="76">
        <v>202</v>
      </c>
      <c r="F479" s="50"/>
      <c r="G479" s="49"/>
      <c r="H479" s="73"/>
      <c r="I479" s="77"/>
      <c r="J479" s="73"/>
      <c r="K479" s="52"/>
      <c r="L479" s="51"/>
      <c r="M479" s="77"/>
      <c r="N479" s="76"/>
      <c r="O479" s="75"/>
      <c r="P479" s="74"/>
      <c r="Q479" s="74"/>
      <c r="R479" s="53">
        <f t="shared" si="23"/>
        <v>0</v>
      </c>
      <c r="S479" s="73"/>
    </row>
    <row r="480" spans="1:19" x14ac:dyDescent="0.25">
      <c r="A480" s="28"/>
      <c r="B480" s="45" t="str">
        <f t="shared" si="21"/>
        <v>Mar-2024</v>
      </c>
      <c r="C480" s="57">
        <v>45370</v>
      </c>
      <c r="D480" s="43">
        <f t="shared" si="22"/>
        <v>742</v>
      </c>
      <c r="E480" s="76">
        <v>140</v>
      </c>
      <c r="F480" s="50"/>
      <c r="G480" s="49"/>
      <c r="H480" s="73"/>
      <c r="I480" s="77"/>
      <c r="J480" s="73"/>
      <c r="K480" s="52"/>
      <c r="L480" s="51"/>
      <c r="M480" s="77"/>
      <c r="N480" s="76"/>
      <c r="O480" s="75"/>
      <c r="P480" s="74"/>
      <c r="Q480" s="74"/>
      <c r="R480" s="53">
        <f t="shared" si="23"/>
        <v>0</v>
      </c>
      <c r="S480" s="73"/>
    </row>
    <row r="481" spans="1:19" x14ac:dyDescent="0.25">
      <c r="A481" s="28"/>
      <c r="B481" s="45" t="str">
        <f t="shared" si="21"/>
        <v>Mar-2024</v>
      </c>
      <c r="C481" s="57">
        <v>45371</v>
      </c>
      <c r="D481" s="43">
        <f t="shared" si="22"/>
        <v>741</v>
      </c>
      <c r="E481" s="76">
        <v>234</v>
      </c>
      <c r="F481" s="50"/>
      <c r="G481" s="49"/>
      <c r="H481" s="73"/>
      <c r="I481" s="77"/>
      <c r="J481" s="73"/>
      <c r="K481" s="52"/>
      <c r="L481" s="51"/>
      <c r="M481" s="77"/>
      <c r="N481" s="76"/>
      <c r="O481" s="75"/>
      <c r="P481" s="74"/>
      <c r="Q481" s="74"/>
      <c r="R481" s="53">
        <f t="shared" si="23"/>
        <v>0</v>
      </c>
      <c r="S481" s="73"/>
    </row>
    <row r="482" spans="1:19" x14ac:dyDescent="0.25">
      <c r="A482" s="28"/>
      <c r="B482" s="45" t="str">
        <f t="shared" si="21"/>
        <v>Mar-2024</v>
      </c>
      <c r="C482" s="57">
        <v>45372</v>
      </c>
      <c r="D482" s="43">
        <f t="shared" si="22"/>
        <v>740</v>
      </c>
      <c r="E482" s="76">
        <v>245</v>
      </c>
      <c r="F482" s="50"/>
      <c r="G482" s="49"/>
      <c r="H482" s="73"/>
      <c r="I482" s="77"/>
      <c r="J482" s="73"/>
      <c r="K482" s="52"/>
      <c r="L482" s="51"/>
      <c r="M482" s="77"/>
      <c r="N482" s="76"/>
      <c r="O482" s="75"/>
      <c r="P482" s="74"/>
      <c r="Q482" s="74"/>
      <c r="R482" s="53">
        <f t="shared" si="23"/>
        <v>0</v>
      </c>
      <c r="S482" s="73"/>
    </row>
    <row r="483" spans="1:19" x14ac:dyDescent="0.25">
      <c r="A483" s="28"/>
      <c r="B483" s="45" t="str">
        <f t="shared" si="21"/>
        <v>Mar-2024</v>
      </c>
      <c r="C483" s="57">
        <v>45373</v>
      </c>
      <c r="D483" s="43">
        <f t="shared" si="22"/>
        <v>739</v>
      </c>
      <c r="E483" s="76">
        <v>216</v>
      </c>
      <c r="F483" s="50"/>
      <c r="G483" s="49"/>
      <c r="H483" s="73"/>
      <c r="I483" s="77"/>
      <c r="J483" s="73"/>
      <c r="K483" s="52"/>
      <c r="L483" s="51"/>
      <c r="M483" s="77"/>
      <c r="N483" s="76"/>
      <c r="O483" s="75"/>
      <c r="P483" s="74"/>
      <c r="Q483" s="74"/>
      <c r="R483" s="53">
        <f t="shared" si="23"/>
        <v>0</v>
      </c>
      <c r="S483" s="73"/>
    </row>
    <row r="484" spans="1:19" x14ac:dyDescent="0.25">
      <c r="A484" s="28"/>
      <c r="B484" s="45" t="str">
        <f t="shared" si="21"/>
        <v>Mar-2024</v>
      </c>
      <c r="C484" s="57">
        <v>45374</v>
      </c>
      <c r="D484" s="43">
        <f t="shared" si="22"/>
        <v>738</v>
      </c>
      <c r="E484" s="76">
        <v>197</v>
      </c>
      <c r="F484" s="50"/>
      <c r="G484" s="49"/>
      <c r="H484" s="73"/>
      <c r="I484" s="77"/>
      <c r="J484" s="73"/>
      <c r="K484" s="52"/>
      <c r="L484" s="51"/>
      <c r="M484" s="77"/>
      <c r="N484" s="76"/>
      <c r="O484" s="75"/>
      <c r="P484" s="74"/>
      <c r="Q484" s="74"/>
      <c r="R484" s="53">
        <f t="shared" si="23"/>
        <v>0</v>
      </c>
      <c r="S484" s="73"/>
    </row>
    <row r="485" spans="1:19" x14ac:dyDescent="0.25">
      <c r="A485" s="28"/>
      <c r="B485" s="45" t="str">
        <f t="shared" si="21"/>
        <v>Mar-2024</v>
      </c>
      <c r="C485" s="57">
        <v>45375</v>
      </c>
      <c r="D485" s="43">
        <f t="shared" si="22"/>
        <v>737</v>
      </c>
      <c r="E485" s="76">
        <v>200</v>
      </c>
      <c r="F485" s="50"/>
      <c r="G485" s="49"/>
      <c r="H485" s="73"/>
      <c r="I485" s="77"/>
      <c r="J485" s="73"/>
      <c r="K485" s="52"/>
      <c r="L485" s="51"/>
      <c r="M485" s="77"/>
      <c r="N485" s="76"/>
      <c r="O485" s="75"/>
      <c r="P485" s="74"/>
      <c r="Q485" s="74"/>
      <c r="R485" s="53">
        <f t="shared" si="23"/>
        <v>0</v>
      </c>
      <c r="S485" s="73"/>
    </row>
    <row r="486" spans="1:19" x14ac:dyDescent="0.25">
      <c r="A486" s="28"/>
      <c r="B486" s="45" t="str">
        <f t="shared" si="21"/>
        <v>Mar-2024</v>
      </c>
      <c r="C486" s="57">
        <v>45376</v>
      </c>
      <c r="D486" s="43">
        <f t="shared" si="22"/>
        <v>736</v>
      </c>
      <c r="E486" s="76">
        <v>163</v>
      </c>
      <c r="F486" s="50"/>
      <c r="G486" s="49"/>
      <c r="H486" s="73"/>
      <c r="I486" s="77"/>
      <c r="J486" s="73"/>
      <c r="K486" s="52"/>
      <c r="L486" s="51"/>
      <c r="M486" s="77"/>
      <c r="N486" s="76"/>
      <c r="O486" s="75"/>
      <c r="P486" s="74"/>
      <c r="Q486" s="74"/>
      <c r="R486" s="53">
        <f t="shared" si="23"/>
        <v>0</v>
      </c>
      <c r="S486" s="73"/>
    </row>
    <row r="487" spans="1:19" x14ac:dyDescent="0.25">
      <c r="A487" s="28"/>
      <c r="B487" s="45" t="str">
        <f t="shared" si="21"/>
        <v>Mar-2024</v>
      </c>
      <c r="C487" s="57">
        <v>45377</v>
      </c>
      <c r="D487" s="43">
        <f t="shared" si="22"/>
        <v>735</v>
      </c>
      <c r="E487" s="76">
        <v>196</v>
      </c>
      <c r="F487" s="50"/>
      <c r="G487" s="49"/>
      <c r="H487" s="73"/>
      <c r="I487" s="77"/>
      <c r="J487" s="73"/>
      <c r="K487" s="52"/>
      <c r="L487" s="51"/>
      <c r="M487" s="77"/>
      <c r="N487" s="76"/>
      <c r="O487" s="75"/>
      <c r="P487" s="74"/>
      <c r="Q487" s="74"/>
      <c r="R487" s="53">
        <f t="shared" si="23"/>
        <v>0</v>
      </c>
      <c r="S487" s="73"/>
    </row>
    <row r="488" spans="1:19" x14ac:dyDescent="0.25">
      <c r="A488" s="28"/>
      <c r="B488" s="45" t="str">
        <f t="shared" si="21"/>
        <v>Mar-2024</v>
      </c>
      <c r="C488" s="57">
        <v>45378</v>
      </c>
      <c r="D488" s="43">
        <f t="shared" si="22"/>
        <v>734</v>
      </c>
      <c r="E488" s="76">
        <v>209</v>
      </c>
      <c r="F488" s="50">
        <v>730</v>
      </c>
      <c r="G488" s="49">
        <v>490902</v>
      </c>
      <c r="H488" s="73">
        <v>729</v>
      </c>
      <c r="I488" s="77">
        <v>730</v>
      </c>
      <c r="J488" s="73">
        <v>286887.47000000003</v>
      </c>
      <c r="K488" s="52">
        <v>10</v>
      </c>
      <c r="L488" s="51">
        <v>1881.22</v>
      </c>
      <c r="M488" s="77">
        <v>626</v>
      </c>
      <c r="N488" s="76">
        <v>252730.14</v>
      </c>
      <c r="O488" s="75">
        <v>570</v>
      </c>
      <c r="P488" s="74">
        <v>48715.610000000073</v>
      </c>
      <c r="Q488" s="74">
        <v>2710.5599999999995</v>
      </c>
      <c r="R488" s="53">
        <f t="shared" si="23"/>
        <v>24545.100000000002</v>
      </c>
      <c r="S488" s="73">
        <v>286887.47000000009</v>
      </c>
    </row>
    <row r="489" spans="1:19" x14ac:dyDescent="0.25">
      <c r="A489" s="28"/>
      <c r="B489" s="45" t="str">
        <f t="shared" si="21"/>
        <v>Mar-2024</v>
      </c>
      <c r="C489" s="57">
        <v>45379</v>
      </c>
      <c r="D489" s="43">
        <f t="shared" si="22"/>
        <v>733</v>
      </c>
      <c r="E489" s="76">
        <v>225</v>
      </c>
      <c r="F489" s="50"/>
      <c r="G489" s="49"/>
      <c r="H489" s="73"/>
      <c r="I489" s="77"/>
      <c r="J489" s="73"/>
      <c r="K489" s="52"/>
      <c r="L489" s="51"/>
      <c r="M489" s="77"/>
      <c r="N489" s="76"/>
      <c r="O489" s="75"/>
      <c r="P489" s="74"/>
      <c r="Q489" s="74"/>
      <c r="R489" s="53">
        <f t="shared" si="23"/>
        <v>0</v>
      </c>
      <c r="S489" s="73"/>
    </row>
    <row r="490" spans="1:19" x14ac:dyDescent="0.25">
      <c r="A490" s="28"/>
      <c r="B490" s="45" t="str">
        <f t="shared" si="21"/>
        <v>Mar-2024</v>
      </c>
      <c r="C490" s="57">
        <v>45380</v>
      </c>
      <c r="D490" s="43">
        <f t="shared" si="22"/>
        <v>732</v>
      </c>
      <c r="E490" s="76">
        <v>148</v>
      </c>
      <c r="F490" s="50"/>
      <c r="G490" s="49"/>
      <c r="H490" s="73"/>
      <c r="I490" s="77"/>
      <c r="J490" s="73"/>
      <c r="K490" s="52"/>
      <c r="L490" s="51"/>
      <c r="M490" s="77"/>
      <c r="N490" s="76"/>
      <c r="O490" s="75"/>
      <c r="P490" s="74"/>
      <c r="Q490" s="74"/>
      <c r="R490" s="53">
        <f t="shared" si="23"/>
        <v>0</v>
      </c>
      <c r="S490" s="73"/>
    </row>
    <row r="491" spans="1:19" x14ac:dyDescent="0.25">
      <c r="A491" s="28"/>
      <c r="B491" s="45" t="str">
        <f t="shared" si="21"/>
        <v>Mar-2024</v>
      </c>
      <c r="C491" s="57">
        <v>45381</v>
      </c>
      <c r="D491" s="43">
        <f t="shared" si="22"/>
        <v>731</v>
      </c>
      <c r="E491" s="76">
        <v>171</v>
      </c>
      <c r="F491" s="50"/>
      <c r="G491" s="49"/>
      <c r="H491" s="73"/>
      <c r="I491" s="77"/>
      <c r="J491" s="73"/>
      <c r="K491" s="52"/>
      <c r="L491" s="51"/>
      <c r="M491" s="77"/>
      <c r="N491" s="76"/>
      <c r="O491" s="75"/>
      <c r="P491" s="74"/>
      <c r="Q491" s="74"/>
      <c r="R491" s="53">
        <f t="shared" si="23"/>
        <v>0</v>
      </c>
      <c r="S491" s="73"/>
    </row>
    <row r="492" spans="1:19" x14ac:dyDescent="0.25">
      <c r="A492" s="28"/>
      <c r="B492" s="45" t="str">
        <f t="shared" si="21"/>
        <v>Mar-2024</v>
      </c>
      <c r="C492" s="57">
        <v>45382</v>
      </c>
      <c r="D492" s="43">
        <f t="shared" si="22"/>
        <v>730</v>
      </c>
      <c r="E492" s="76">
        <v>143</v>
      </c>
      <c r="F492" s="50"/>
      <c r="G492" s="49"/>
      <c r="H492" s="73"/>
      <c r="I492" s="77"/>
      <c r="J492" s="73"/>
      <c r="K492" s="52"/>
      <c r="L492" s="51"/>
      <c r="M492" s="77"/>
      <c r="N492" s="76"/>
      <c r="O492" s="75"/>
      <c r="P492" s="74"/>
      <c r="Q492" s="74"/>
      <c r="R492" s="53">
        <f t="shared" si="23"/>
        <v>0</v>
      </c>
      <c r="S492" s="73"/>
    </row>
    <row r="493" spans="1:19" x14ac:dyDescent="0.25">
      <c r="A493" s="28"/>
      <c r="B493" s="45" t="str">
        <f t="shared" si="21"/>
        <v>Apr-2024</v>
      </c>
      <c r="C493" s="57">
        <v>45383</v>
      </c>
      <c r="D493" s="43">
        <f t="shared" si="22"/>
        <v>729</v>
      </c>
      <c r="E493" s="76">
        <v>176</v>
      </c>
      <c r="F493" s="50"/>
      <c r="G493" s="49"/>
      <c r="H493" s="73"/>
      <c r="I493" s="77"/>
      <c r="J493" s="73"/>
      <c r="K493" s="52"/>
      <c r="L493" s="51"/>
      <c r="M493" s="77"/>
      <c r="N493" s="76"/>
      <c r="O493" s="75"/>
      <c r="P493" s="74"/>
      <c r="Q493" s="74"/>
      <c r="R493" s="53">
        <f t="shared" si="23"/>
        <v>0</v>
      </c>
      <c r="S493" s="73"/>
    </row>
    <row r="494" spans="1:19" x14ac:dyDescent="0.25">
      <c r="A494" s="28"/>
      <c r="B494" s="45" t="str">
        <f t="shared" si="21"/>
        <v>Apr-2024</v>
      </c>
      <c r="C494" s="57">
        <v>45384</v>
      </c>
      <c r="D494" s="43">
        <f t="shared" si="22"/>
        <v>728</v>
      </c>
      <c r="E494" s="76">
        <v>187</v>
      </c>
      <c r="F494" s="50"/>
      <c r="G494" s="49"/>
      <c r="H494" s="73"/>
      <c r="I494" s="77"/>
      <c r="J494" s="73"/>
      <c r="K494" s="52"/>
      <c r="L494" s="51"/>
      <c r="M494" s="77"/>
      <c r="N494" s="76"/>
      <c r="O494" s="75"/>
      <c r="P494" s="74"/>
      <c r="Q494" s="74"/>
      <c r="R494" s="53">
        <f t="shared" si="23"/>
        <v>0</v>
      </c>
      <c r="S494" s="73"/>
    </row>
    <row r="495" spans="1:19" x14ac:dyDescent="0.25">
      <c r="A495" s="28"/>
      <c r="B495" s="45" t="str">
        <f t="shared" si="21"/>
        <v>Apr-2024</v>
      </c>
      <c r="C495" s="57">
        <v>45385</v>
      </c>
      <c r="D495" s="43">
        <f t="shared" si="22"/>
        <v>727</v>
      </c>
      <c r="E495" s="76">
        <v>164</v>
      </c>
      <c r="F495" s="50"/>
      <c r="G495" s="49"/>
      <c r="H495" s="73"/>
      <c r="I495" s="77"/>
      <c r="J495" s="73"/>
      <c r="K495" s="52"/>
      <c r="L495" s="51"/>
      <c r="M495" s="77"/>
      <c r="N495" s="76"/>
      <c r="O495" s="75"/>
      <c r="P495" s="74"/>
      <c r="Q495" s="74"/>
      <c r="R495" s="53">
        <f t="shared" si="23"/>
        <v>0</v>
      </c>
      <c r="S495" s="73"/>
    </row>
    <row r="496" spans="1:19" x14ac:dyDescent="0.25">
      <c r="A496" s="28"/>
      <c r="B496" s="45" t="str">
        <f t="shared" si="21"/>
        <v>Apr-2024</v>
      </c>
      <c r="C496" s="57">
        <v>45386</v>
      </c>
      <c r="D496" s="43">
        <f t="shared" si="22"/>
        <v>726</v>
      </c>
      <c r="E496" s="76">
        <v>149</v>
      </c>
      <c r="F496" s="50"/>
      <c r="G496" s="49"/>
      <c r="H496" s="73"/>
      <c r="I496" s="77"/>
      <c r="J496" s="73"/>
      <c r="K496" s="52"/>
      <c r="L496" s="51"/>
      <c r="M496" s="77"/>
      <c r="N496" s="76"/>
      <c r="O496" s="75"/>
      <c r="P496" s="74"/>
      <c r="Q496" s="74"/>
      <c r="R496" s="53">
        <f t="shared" si="23"/>
        <v>0</v>
      </c>
      <c r="S496" s="73"/>
    </row>
    <row r="497" spans="1:19" x14ac:dyDescent="0.25">
      <c r="A497" s="28"/>
      <c r="B497" s="45" t="str">
        <f t="shared" si="21"/>
        <v>Apr-2024</v>
      </c>
      <c r="C497" s="57">
        <v>45387</v>
      </c>
      <c r="D497" s="43">
        <f t="shared" si="22"/>
        <v>725</v>
      </c>
      <c r="E497" s="76">
        <v>146</v>
      </c>
      <c r="F497" s="50"/>
      <c r="G497" s="49"/>
      <c r="H497" s="73"/>
      <c r="I497" s="77"/>
      <c r="J497" s="73"/>
      <c r="K497" s="52"/>
      <c r="L497" s="51"/>
      <c r="M497" s="77"/>
      <c r="N497" s="76"/>
      <c r="O497" s="75"/>
      <c r="P497" s="74"/>
      <c r="Q497" s="74"/>
      <c r="R497" s="53">
        <f t="shared" si="23"/>
        <v>0</v>
      </c>
      <c r="S497" s="73"/>
    </row>
    <row r="498" spans="1:19" x14ac:dyDescent="0.25">
      <c r="A498" s="28"/>
      <c r="B498" s="45" t="str">
        <f t="shared" si="21"/>
        <v>Apr-2024</v>
      </c>
      <c r="C498" s="57">
        <v>45388</v>
      </c>
      <c r="D498" s="43">
        <f t="shared" si="22"/>
        <v>724</v>
      </c>
      <c r="E498" s="76">
        <v>156</v>
      </c>
      <c r="F498" s="50"/>
      <c r="G498" s="49"/>
      <c r="H498" s="73"/>
      <c r="I498" s="77"/>
      <c r="J498" s="73"/>
      <c r="K498" s="52"/>
      <c r="L498" s="51"/>
      <c r="M498" s="77"/>
      <c r="N498" s="76"/>
      <c r="O498" s="75"/>
      <c r="P498" s="74"/>
      <c r="Q498" s="74"/>
      <c r="R498" s="53">
        <f t="shared" si="23"/>
        <v>0</v>
      </c>
      <c r="S498" s="73"/>
    </row>
    <row r="499" spans="1:19" x14ac:dyDescent="0.25">
      <c r="A499" s="28"/>
      <c r="B499" s="45" t="str">
        <f t="shared" si="21"/>
        <v>Apr-2024</v>
      </c>
      <c r="C499" s="57">
        <v>45389</v>
      </c>
      <c r="D499" s="43">
        <f t="shared" si="22"/>
        <v>723</v>
      </c>
      <c r="E499" s="76">
        <v>148</v>
      </c>
      <c r="F499" s="50"/>
      <c r="G499" s="49"/>
      <c r="H499" s="73"/>
      <c r="I499" s="77"/>
      <c r="J499" s="73"/>
      <c r="K499" s="52"/>
      <c r="L499" s="51"/>
      <c r="M499" s="77"/>
      <c r="N499" s="76"/>
      <c r="O499" s="75"/>
      <c r="P499" s="74"/>
      <c r="Q499" s="74"/>
      <c r="R499" s="53">
        <f t="shared" si="23"/>
        <v>0</v>
      </c>
      <c r="S499" s="73"/>
    </row>
    <row r="500" spans="1:19" x14ac:dyDescent="0.25">
      <c r="A500" s="28"/>
      <c r="B500" s="45" t="str">
        <f t="shared" si="21"/>
        <v>Apr-2024</v>
      </c>
      <c r="C500" s="57">
        <v>45390</v>
      </c>
      <c r="D500" s="43">
        <f t="shared" si="22"/>
        <v>722</v>
      </c>
      <c r="E500" s="76">
        <v>165</v>
      </c>
      <c r="F500" s="50"/>
      <c r="G500" s="49"/>
      <c r="H500" s="73"/>
      <c r="I500" s="77"/>
      <c r="J500" s="73"/>
      <c r="K500" s="52"/>
      <c r="L500" s="51"/>
      <c r="M500" s="77"/>
      <c r="N500" s="76"/>
      <c r="O500" s="75"/>
      <c r="P500" s="74"/>
      <c r="Q500" s="74"/>
      <c r="R500" s="53">
        <f t="shared" si="23"/>
        <v>0</v>
      </c>
      <c r="S500" s="73"/>
    </row>
    <row r="501" spans="1:19" x14ac:dyDescent="0.25">
      <c r="A501" s="28"/>
      <c r="B501" s="45" t="str">
        <f t="shared" si="21"/>
        <v>Apr-2024</v>
      </c>
      <c r="C501" s="57">
        <v>45391</v>
      </c>
      <c r="D501" s="43">
        <f t="shared" si="22"/>
        <v>721</v>
      </c>
      <c r="E501" s="76">
        <v>132</v>
      </c>
      <c r="F501" s="50"/>
      <c r="G501" s="49"/>
      <c r="H501" s="73"/>
      <c r="I501" s="77"/>
      <c r="J501" s="73"/>
      <c r="K501" s="52"/>
      <c r="L501" s="51"/>
      <c r="M501" s="77"/>
      <c r="N501" s="76"/>
      <c r="O501" s="75"/>
      <c r="P501" s="74"/>
      <c r="Q501" s="74"/>
      <c r="R501" s="53">
        <f t="shared" si="23"/>
        <v>0</v>
      </c>
      <c r="S501" s="73"/>
    </row>
    <row r="502" spans="1:19" x14ac:dyDescent="0.25">
      <c r="A502" s="28"/>
      <c r="B502" s="45" t="str">
        <f t="shared" si="21"/>
        <v>Apr-2024</v>
      </c>
      <c r="C502" s="57">
        <v>45392</v>
      </c>
      <c r="D502" s="43">
        <f t="shared" si="22"/>
        <v>720</v>
      </c>
      <c r="E502" s="76">
        <v>179</v>
      </c>
      <c r="F502" s="50"/>
      <c r="G502" s="49"/>
      <c r="H502" s="73"/>
      <c r="I502" s="77"/>
      <c r="J502" s="73"/>
      <c r="K502" s="52"/>
      <c r="L502" s="51"/>
      <c r="M502" s="77"/>
      <c r="N502" s="76"/>
      <c r="O502" s="75"/>
      <c r="P502" s="74"/>
      <c r="Q502" s="74"/>
      <c r="R502" s="53">
        <f t="shared" si="23"/>
        <v>0</v>
      </c>
      <c r="S502" s="73"/>
    </row>
    <row r="503" spans="1:19" x14ac:dyDescent="0.25">
      <c r="A503" s="28"/>
      <c r="B503" s="45" t="str">
        <f t="shared" si="21"/>
        <v>Apr-2024</v>
      </c>
      <c r="C503" s="57">
        <v>45393</v>
      </c>
      <c r="D503" s="43">
        <f t="shared" si="22"/>
        <v>719</v>
      </c>
      <c r="E503" s="76">
        <v>224</v>
      </c>
      <c r="F503" s="50">
        <v>1431</v>
      </c>
      <c r="G503" s="49">
        <v>946010</v>
      </c>
      <c r="H503" s="73">
        <v>1427</v>
      </c>
      <c r="I503" s="77">
        <v>1431</v>
      </c>
      <c r="J503" s="73">
        <v>602472.41000000015</v>
      </c>
      <c r="K503" s="52">
        <v>10</v>
      </c>
      <c r="L503" s="51">
        <v>1737.12</v>
      </c>
      <c r="M503" s="77">
        <v>988</v>
      </c>
      <c r="N503" s="76">
        <v>443676.24</v>
      </c>
      <c r="O503" s="75">
        <v>905</v>
      </c>
      <c r="P503" s="74">
        <v>100138.65000000055</v>
      </c>
      <c r="Q503" s="74">
        <v>4627.029999999997</v>
      </c>
      <c r="R503" s="53">
        <f t="shared" si="23"/>
        <v>47300.5</v>
      </c>
      <c r="S503" s="73">
        <v>602472.41000000015</v>
      </c>
    </row>
    <row r="504" spans="1:19" x14ac:dyDescent="0.25">
      <c r="A504" s="28"/>
      <c r="B504" s="45" t="str">
        <f t="shared" si="21"/>
        <v>Apr-2024</v>
      </c>
      <c r="C504" s="57">
        <v>45394</v>
      </c>
      <c r="D504" s="43">
        <f t="shared" si="22"/>
        <v>718</v>
      </c>
      <c r="E504" s="76">
        <v>158</v>
      </c>
      <c r="F504" s="50">
        <v>290</v>
      </c>
      <c r="G504" s="49">
        <v>204130</v>
      </c>
      <c r="H504" s="73">
        <v>290</v>
      </c>
      <c r="I504" s="77">
        <v>290</v>
      </c>
      <c r="J504" s="73">
        <v>127989.25</v>
      </c>
      <c r="K504" s="52">
        <v>8</v>
      </c>
      <c r="L504" s="51">
        <v>2179.2200000000003</v>
      </c>
      <c r="M504" s="77">
        <v>231</v>
      </c>
      <c r="N504" s="76">
        <v>97783.12</v>
      </c>
      <c r="O504" s="75">
        <v>199</v>
      </c>
      <c r="P504" s="74">
        <v>21642.370000000003</v>
      </c>
      <c r="Q504" s="74">
        <v>1625.0300000000002</v>
      </c>
      <c r="R504" s="53">
        <f t="shared" si="23"/>
        <v>10206.5</v>
      </c>
      <c r="S504" s="73">
        <v>127989.25</v>
      </c>
    </row>
    <row r="505" spans="1:19" x14ac:dyDescent="0.25">
      <c r="A505" s="28"/>
      <c r="B505" s="45" t="str">
        <f t="shared" si="21"/>
        <v>Apr-2024</v>
      </c>
      <c r="C505" s="57">
        <v>45395</v>
      </c>
      <c r="D505" s="43">
        <f t="shared" si="22"/>
        <v>717</v>
      </c>
      <c r="E505" s="76">
        <v>143</v>
      </c>
      <c r="F505" s="50"/>
      <c r="G505" s="49"/>
      <c r="H505" s="73"/>
      <c r="I505" s="77"/>
      <c r="J505" s="73"/>
      <c r="K505" s="52"/>
      <c r="L505" s="51"/>
      <c r="M505" s="77"/>
      <c r="N505" s="76"/>
      <c r="O505" s="75"/>
      <c r="P505" s="74"/>
      <c r="Q505" s="74"/>
      <c r="R505" s="53">
        <f t="shared" si="23"/>
        <v>0</v>
      </c>
      <c r="S505" s="73"/>
    </row>
    <row r="506" spans="1:19" x14ac:dyDescent="0.25">
      <c r="A506" s="28"/>
      <c r="B506" s="45" t="str">
        <f t="shared" si="21"/>
        <v>Apr-2024</v>
      </c>
      <c r="C506" s="57">
        <v>45396</v>
      </c>
      <c r="D506" s="43">
        <f t="shared" si="22"/>
        <v>716</v>
      </c>
      <c r="E506" s="76">
        <v>134</v>
      </c>
      <c r="F506" s="50"/>
      <c r="G506" s="49"/>
      <c r="H506" s="73"/>
      <c r="I506" s="77"/>
      <c r="J506" s="73"/>
      <c r="K506" s="52"/>
      <c r="L506" s="51"/>
      <c r="M506" s="77"/>
      <c r="N506" s="76"/>
      <c r="O506" s="75"/>
      <c r="P506" s="74"/>
      <c r="Q506" s="74"/>
      <c r="R506" s="53">
        <f t="shared" si="23"/>
        <v>0</v>
      </c>
      <c r="S506" s="73"/>
    </row>
    <row r="507" spans="1:19" x14ac:dyDescent="0.25">
      <c r="A507" s="28"/>
      <c r="B507" s="45" t="str">
        <f t="shared" si="21"/>
        <v>Apr-2024</v>
      </c>
      <c r="C507" s="57">
        <v>45397</v>
      </c>
      <c r="D507" s="43">
        <f t="shared" si="22"/>
        <v>715</v>
      </c>
      <c r="E507" s="76">
        <v>174</v>
      </c>
      <c r="F507" s="50"/>
      <c r="G507" s="49"/>
      <c r="H507" s="73"/>
      <c r="I507" s="77"/>
      <c r="J507" s="73"/>
      <c r="K507" s="52"/>
      <c r="L507" s="51"/>
      <c r="M507" s="77"/>
      <c r="N507" s="76"/>
      <c r="O507" s="75"/>
      <c r="P507" s="74"/>
      <c r="Q507" s="74"/>
      <c r="R507" s="53">
        <f t="shared" si="23"/>
        <v>0</v>
      </c>
      <c r="S507" s="73"/>
    </row>
    <row r="508" spans="1:19" x14ac:dyDescent="0.25">
      <c r="A508" s="28"/>
      <c r="B508" s="45" t="str">
        <f t="shared" si="21"/>
        <v>Apr-2024</v>
      </c>
      <c r="C508" s="57">
        <v>45398</v>
      </c>
      <c r="D508" s="43">
        <f t="shared" si="22"/>
        <v>714</v>
      </c>
      <c r="E508" s="76">
        <v>150</v>
      </c>
      <c r="F508" s="50"/>
      <c r="G508" s="49"/>
      <c r="H508" s="73"/>
      <c r="I508" s="77"/>
      <c r="J508" s="73"/>
      <c r="K508" s="52"/>
      <c r="L508" s="51"/>
      <c r="M508" s="77"/>
      <c r="N508" s="76"/>
      <c r="O508" s="75"/>
      <c r="P508" s="74"/>
      <c r="Q508" s="74"/>
      <c r="R508" s="53">
        <f t="shared" si="23"/>
        <v>0</v>
      </c>
      <c r="S508" s="73"/>
    </row>
    <row r="509" spans="1:19" x14ac:dyDescent="0.25">
      <c r="A509" s="28"/>
      <c r="B509" s="45" t="str">
        <f t="shared" si="21"/>
        <v>Apr-2024</v>
      </c>
      <c r="C509" s="57">
        <v>45399</v>
      </c>
      <c r="D509" s="43">
        <f t="shared" si="22"/>
        <v>713</v>
      </c>
      <c r="E509" s="76">
        <v>161</v>
      </c>
      <c r="F509" s="50"/>
      <c r="G509" s="49"/>
      <c r="H509" s="73"/>
      <c r="I509" s="77"/>
      <c r="J509" s="73"/>
      <c r="K509" s="52"/>
      <c r="L509" s="51"/>
      <c r="M509" s="77"/>
      <c r="N509" s="76"/>
      <c r="O509" s="75"/>
      <c r="P509" s="74"/>
      <c r="Q509" s="74"/>
      <c r="R509" s="53">
        <f t="shared" si="23"/>
        <v>0</v>
      </c>
      <c r="S509" s="73"/>
    </row>
    <row r="510" spans="1:19" x14ac:dyDescent="0.25">
      <c r="A510" s="28"/>
      <c r="B510" s="45" t="str">
        <f t="shared" si="21"/>
        <v>Apr-2024</v>
      </c>
      <c r="C510" s="57">
        <v>45400</v>
      </c>
      <c r="D510" s="43">
        <f t="shared" si="22"/>
        <v>712</v>
      </c>
      <c r="E510" s="76">
        <v>186</v>
      </c>
      <c r="F510" s="50">
        <v>629</v>
      </c>
      <c r="G510" s="49">
        <v>388002</v>
      </c>
      <c r="H510" s="73">
        <v>628</v>
      </c>
      <c r="I510" s="77">
        <v>629</v>
      </c>
      <c r="J510" s="73">
        <v>266965.65000000002</v>
      </c>
      <c r="K510" s="52">
        <v>6</v>
      </c>
      <c r="L510" s="51">
        <v>1873.33</v>
      </c>
      <c r="M510" s="77">
        <v>391</v>
      </c>
      <c r="N510" s="76">
        <v>165444.39000000001</v>
      </c>
      <c r="O510" s="75">
        <v>351</v>
      </c>
      <c r="P510" s="74">
        <v>44408.040000000052</v>
      </c>
      <c r="Q510" s="74">
        <v>2403.4</v>
      </c>
      <c r="R510" s="53">
        <f t="shared" si="23"/>
        <v>19400.100000000002</v>
      </c>
      <c r="S510" s="73">
        <v>266965.65000000002</v>
      </c>
    </row>
    <row r="511" spans="1:19" x14ac:dyDescent="0.25">
      <c r="A511" s="28"/>
      <c r="B511" s="45" t="str">
        <f t="shared" si="21"/>
        <v>Apr-2024</v>
      </c>
      <c r="C511" s="57">
        <v>45401</v>
      </c>
      <c r="D511" s="43">
        <f t="shared" si="22"/>
        <v>711</v>
      </c>
      <c r="E511" s="76">
        <v>193</v>
      </c>
      <c r="F511" s="50">
        <v>804</v>
      </c>
      <c r="G511" s="49">
        <v>486580</v>
      </c>
      <c r="H511" s="73">
        <v>801</v>
      </c>
      <c r="I511" s="77">
        <v>804</v>
      </c>
      <c r="J511" s="73">
        <v>320526.61999999994</v>
      </c>
      <c r="K511" s="52">
        <v>20</v>
      </c>
      <c r="L511" s="51">
        <v>3305.4300000000003</v>
      </c>
      <c r="M511" s="77">
        <v>536</v>
      </c>
      <c r="N511" s="76">
        <v>219290.34</v>
      </c>
      <c r="O511" s="75">
        <v>470</v>
      </c>
      <c r="P511" s="74">
        <v>53236.959999999839</v>
      </c>
      <c r="Q511" s="74">
        <v>2897.0900000000015</v>
      </c>
      <c r="R511" s="53">
        <f t="shared" si="23"/>
        <v>24329</v>
      </c>
      <c r="S511" s="73">
        <v>320526.61999999994</v>
      </c>
    </row>
    <row r="512" spans="1:19" x14ac:dyDescent="0.25">
      <c r="A512" s="28"/>
      <c r="B512" s="45" t="str">
        <f t="shared" si="21"/>
        <v>Apr-2024</v>
      </c>
      <c r="C512" s="57">
        <v>45402</v>
      </c>
      <c r="D512" s="43">
        <f t="shared" si="22"/>
        <v>710</v>
      </c>
      <c r="E512" s="76">
        <v>150</v>
      </c>
      <c r="F512" s="50">
        <v>1</v>
      </c>
      <c r="G512" s="49">
        <v>650</v>
      </c>
      <c r="H512" s="73">
        <v>1</v>
      </c>
      <c r="I512" s="77">
        <v>1</v>
      </c>
      <c r="J512" s="73">
        <v>0</v>
      </c>
      <c r="K512" s="52"/>
      <c r="L512" s="51"/>
      <c r="M512" s="77">
        <v>1</v>
      </c>
      <c r="N512" s="76">
        <v>650.84</v>
      </c>
      <c r="O512" s="75">
        <v>1</v>
      </c>
      <c r="P512" s="74">
        <v>0.84</v>
      </c>
      <c r="Q512" s="74">
        <v>0.84</v>
      </c>
      <c r="R512" s="53">
        <f t="shared" si="23"/>
        <v>32.5</v>
      </c>
      <c r="S512" s="73"/>
    </row>
    <row r="513" spans="1:19" x14ac:dyDescent="0.25">
      <c r="A513" s="28"/>
      <c r="B513" s="45" t="str">
        <f t="shared" si="21"/>
        <v>Apr-2024</v>
      </c>
      <c r="C513" s="57">
        <v>45403</v>
      </c>
      <c r="D513" s="43">
        <f t="shared" si="22"/>
        <v>709</v>
      </c>
      <c r="E513" s="76">
        <v>150</v>
      </c>
      <c r="F513" s="50"/>
      <c r="G513" s="49"/>
      <c r="H513" s="73"/>
      <c r="I513" s="77"/>
      <c r="J513" s="73"/>
      <c r="K513" s="52"/>
      <c r="L513" s="51"/>
      <c r="M513" s="77"/>
      <c r="N513" s="76"/>
      <c r="O513" s="75"/>
      <c r="P513" s="74"/>
      <c r="Q513" s="74"/>
      <c r="R513" s="53">
        <f t="shared" si="23"/>
        <v>0</v>
      </c>
      <c r="S513" s="73"/>
    </row>
    <row r="514" spans="1:19" x14ac:dyDescent="0.25">
      <c r="A514" s="28"/>
      <c r="B514" s="45" t="str">
        <f t="shared" si="21"/>
        <v>Apr-2024</v>
      </c>
      <c r="C514" s="57">
        <v>45404</v>
      </c>
      <c r="D514" s="43">
        <f t="shared" si="22"/>
        <v>708</v>
      </c>
      <c r="E514" s="76">
        <v>175</v>
      </c>
      <c r="F514" s="50">
        <v>84</v>
      </c>
      <c r="G514" s="49">
        <v>50550</v>
      </c>
      <c r="H514" s="73">
        <v>83</v>
      </c>
      <c r="I514" s="77">
        <v>84</v>
      </c>
      <c r="J514" s="73">
        <v>31054.789999999961</v>
      </c>
      <c r="K514" s="52">
        <v>2</v>
      </c>
      <c r="L514" s="51">
        <v>55.01</v>
      </c>
      <c r="M514" s="77">
        <v>52</v>
      </c>
      <c r="N514" s="76">
        <v>24512.04</v>
      </c>
      <c r="O514" s="75">
        <v>48</v>
      </c>
      <c r="P514" s="74">
        <v>5016.829999999999</v>
      </c>
      <c r="Q514" s="74">
        <v>147.23999999999998</v>
      </c>
      <c r="R514" s="53">
        <f t="shared" si="23"/>
        <v>2527.5</v>
      </c>
      <c r="S514" s="73">
        <v>31054.789999999961</v>
      </c>
    </row>
    <row r="515" spans="1:19" x14ac:dyDescent="0.25">
      <c r="A515" s="28"/>
      <c r="B515" s="45" t="str">
        <f t="shared" si="21"/>
        <v>Apr-2024</v>
      </c>
      <c r="C515" s="57">
        <v>45405</v>
      </c>
      <c r="D515" s="43">
        <f t="shared" si="22"/>
        <v>707</v>
      </c>
      <c r="E515" s="76">
        <v>153</v>
      </c>
      <c r="F515" s="50"/>
      <c r="G515" s="49"/>
      <c r="H515" s="73"/>
      <c r="I515" s="77"/>
      <c r="J515" s="73"/>
      <c r="K515" s="52"/>
      <c r="L515" s="51"/>
      <c r="M515" s="77"/>
      <c r="N515" s="76"/>
      <c r="O515" s="75"/>
      <c r="P515" s="74"/>
      <c r="Q515" s="74"/>
      <c r="R515" s="53">
        <f t="shared" si="23"/>
        <v>0</v>
      </c>
      <c r="S515" s="73"/>
    </row>
    <row r="516" spans="1:19" x14ac:dyDescent="0.25">
      <c r="A516" s="28"/>
      <c r="B516" s="45" t="str">
        <f t="shared" si="21"/>
        <v>Apr-2024</v>
      </c>
      <c r="C516" s="57">
        <v>45406</v>
      </c>
      <c r="D516" s="43">
        <f t="shared" si="22"/>
        <v>706</v>
      </c>
      <c r="E516" s="76">
        <v>156</v>
      </c>
      <c r="F516" s="50"/>
      <c r="G516" s="49"/>
      <c r="H516" s="73"/>
      <c r="I516" s="77"/>
      <c r="J516" s="73"/>
      <c r="K516" s="52"/>
      <c r="L516" s="51"/>
      <c r="M516" s="77"/>
      <c r="N516" s="76"/>
      <c r="O516" s="75"/>
      <c r="P516" s="74"/>
      <c r="Q516" s="74"/>
      <c r="R516" s="53">
        <f t="shared" si="23"/>
        <v>0</v>
      </c>
      <c r="S516" s="73"/>
    </row>
    <row r="517" spans="1:19" x14ac:dyDescent="0.25">
      <c r="A517" s="28"/>
      <c r="B517" s="45" t="str">
        <f t="shared" si="21"/>
        <v>Apr-2024</v>
      </c>
      <c r="C517" s="57">
        <v>45407</v>
      </c>
      <c r="D517" s="43">
        <f t="shared" si="22"/>
        <v>705</v>
      </c>
      <c r="E517" s="76">
        <v>147</v>
      </c>
      <c r="F517" s="50"/>
      <c r="G517" s="49"/>
      <c r="H517" s="73"/>
      <c r="I517" s="77"/>
      <c r="J517" s="73"/>
      <c r="K517" s="52"/>
      <c r="L517" s="51"/>
      <c r="M517" s="77"/>
      <c r="N517" s="76"/>
      <c r="O517" s="75"/>
      <c r="P517" s="74"/>
      <c r="Q517" s="74"/>
      <c r="R517" s="53">
        <f t="shared" si="23"/>
        <v>0</v>
      </c>
      <c r="S517" s="73"/>
    </row>
    <row r="518" spans="1:19" x14ac:dyDescent="0.25">
      <c r="A518" s="28"/>
      <c r="B518" s="45" t="str">
        <f t="shared" ref="B518:B581" si="24">TEXT(C518,"MMM-YYYY")</f>
        <v>Apr-2024</v>
      </c>
      <c r="C518" s="57">
        <v>45408</v>
      </c>
      <c r="D518" s="43">
        <f t="shared" ref="D518:D581" si="25">$A$1-C518</f>
        <v>704</v>
      </c>
      <c r="E518" s="76">
        <v>182</v>
      </c>
      <c r="F518" s="50"/>
      <c r="G518" s="49"/>
      <c r="H518" s="73"/>
      <c r="I518" s="77"/>
      <c r="J518" s="73"/>
      <c r="K518" s="52"/>
      <c r="L518" s="51"/>
      <c r="M518" s="77"/>
      <c r="N518" s="76"/>
      <c r="O518" s="75"/>
      <c r="P518" s="74"/>
      <c r="Q518" s="74"/>
      <c r="R518" s="53">
        <f t="shared" ref="R518:R581" si="26">G518*5%</f>
        <v>0</v>
      </c>
      <c r="S518" s="73"/>
    </row>
    <row r="519" spans="1:19" x14ac:dyDescent="0.25">
      <c r="A519" s="28"/>
      <c r="B519" s="45" t="str">
        <f t="shared" si="24"/>
        <v>Apr-2024</v>
      </c>
      <c r="C519" s="57">
        <v>45409</v>
      </c>
      <c r="D519" s="43">
        <f t="shared" si="25"/>
        <v>703</v>
      </c>
      <c r="E519" s="76">
        <v>152</v>
      </c>
      <c r="F519" s="50"/>
      <c r="G519" s="49"/>
      <c r="H519" s="73"/>
      <c r="I519" s="77"/>
      <c r="J519" s="73"/>
      <c r="K519" s="52"/>
      <c r="L519" s="51"/>
      <c r="M519" s="77"/>
      <c r="N519" s="76"/>
      <c r="O519" s="75"/>
      <c r="P519" s="74"/>
      <c r="Q519" s="74"/>
      <c r="R519" s="53">
        <f t="shared" si="26"/>
        <v>0</v>
      </c>
      <c r="S519" s="73"/>
    </row>
    <row r="520" spans="1:19" x14ac:dyDescent="0.25">
      <c r="A520" s="28"/>
      <c r="B520" s="45" t="str">
        <f t="shared" si="24"/>
        <v>Apr-2024</v>
      </c>
      <c r="C520" s="57">
        <v>45410</v>
      </c>
      <c r="D520" s="43">
        <f t="shared" si="25"/>
        <v>702</v>
      </c>
      <c r="E520" s="76">
        <v>121</v>
      </c>
      <c r="F520" s="50"/>
      <c r="G520" s="49"/>
      <c r="H520" s="73"/>
      <c r="I520" s="77"/>
      <c r="J520" s="73"/>
      <c r="K520" s="52"/>
      <c r="L520" s="51"/>
      <c r="M520" s="77"/>
      <c r="N520" s="76"/>
      <c r="O520" s="75"/>
      <c r="P520" s="74"/>
      <c r="Q520" s="74"/>
      <c r="R520" s="53">
        <f t="shared" si="26"/>
        <v>0</v>
      </c>
      <c r="S520" s="73"/>
    </row>
    <row r="521" spans="1:19" x14ac:dyDescent="0.25">
      <c r="A521" s="28"/>
      <c r="B521" s="45" t="str">
        <f t="shared" si="24"/>
        <v>Apr-2024</v>
      </c>
      <c r="C521" s="57">
        <v>45411</v>
      </c>
      <c r="D521" s="43">
        <f t="shared" si="25"/>
        <v>701</v>
      </c>
      <c r="E521" s="76">
        <v>139</v>
      </c>
      <c r="F521" s="50"/>
      <c r="G521" s="49"/>
      <c r="H521" s="73"/>
      <c r="I521" s="77"/>
      <c r="J521" s="73"/>
      <c r="K521" s="52"/>
      <c r="L521" s="51"/>
      <c r="M521" s="77"/>
      <c r="N521" s="76"/>
      <c r="O521" s="75"/>
      <c r="P521" s="74"/>
      <c r="Q521" s="74"/>
      <c r="R521" s="53">
        <f t="shared" si="26"/>
        <v>0</v>
      </c>
      <c r="S521" s="73"/>
    </row>
    <row r="522" spans="1:19" x14ac:dyDescent="0.25">
      <c r="A522" s="28"/>
      <c r="B522" s="45" t="str">
        <f t="shared" si="24"/>
        <v>Apr-2024</v>
      </c>
      <c r="C522" s="57">
        <v>45412</v>
      </c>
      <c r="D522" s="43">
        <f t="shared" si="25"/>
        <v>700</v>
      </c>
      <c r="E522" s="76">
        <v>18</v>
      </c>
      <c r="F522" s="50"/>
      <c r="G522" s="49"/>
      <c r="H522" s="73"/>
      <c r="I522" s="77"/>
      <c r="J522" s="73"/>
      <c r="K522" s="52"/>
      <c r="L522" s="51"/>
      <c r="M522" s="77"/>
      <c r="N522" s="76"/>
      <c r="O522" s="75"/>
      <c r="P522" s="74"/>
      <c r="Q522" s="74"/>
      <c r="R522" s="53">
        <f t="shared" si="26"/>
        <v>0</v>
      </c>
      <c r="S522" s="73"/>
    </row>
    <row r="523" spans="1:19" x14ac:dyDescent="0.25">
      <c r="A523" s="28"/>
      <c r="B523" s="45" t="str">
        <f t="shared" si="24"/>
        <v>May-2024</v>
      </c>
      <c r="C523" s="57">
        <v>45413</v>
      </c>
      <c r="D523" s="43">
        <f t="shared" si="25"/>
        <v>699</v>
      </c>
      <c r="E523" s="76">
        <v>149</v>
      </c>
      <c r="F523" s="50"/>
      <c r="G523" s="49"/>
      <c r="H523" s="73"/>
      <c r="I523" s="77"/>
      <c r="J523" s="73"/>
      <c r="K523" s="52"/>
      <c r="L523" s="51"/>
      <c r="M523" s="77"/>
      <c r="N523" s="76"/>
      <c r="O523" s="75"/>
      <c r="P523" s="74"/>
      <c r="Q523" s="74"/>
      <c r="R523" s="53">
        <f t="shared" si="26"/>
        <v>0</v>
      </c>
      <c r="S523" s="73"/>
    </row>
    <row r="524" spans="1:19" x14ac:dyDescent="0.25">
      <c r="A524" s="28"/>
      <c r="B524" s="45" t="str">
        <f t="shared" si="24"/>
        <v>May-2024</v>
      </c>
      <c r="C524" s="57">
        <v>45414</v>
      </c>
      <c r="D524" s="43">
        <f t="shared" si="25"/>
        <v>698</v>
      </c>
      <c r="E524" s="76">
        <v>26</v>
      </c>
      <c r="F524" s="50"/>
      <c r="G524" s="49"/>
      <c r="H524" s="73"/>
      <c r="I524" s="77"/>
      <c r="J524" s="73"/>
      <c r="K524" s="52"/>
      <c r="L524" s="51"/>
      <c r="M524" s="77"/>
      <c r="N524" s="76"/>
      <c r="O524" s="75"/>
      <c r="P524" s="74"/>
      <c r="Q524" s="74"/>
      <c r="R524" s="53">
        <f t="shared" si="26"/>
        <v>0</v>
      </c>
      <c r="S524" s="73"/>
    </row>
    <row r="525" spans="1:19" x14ac:dyDescent="0.25">
      <c r="A525" s="28"/>
      <c r="B525" s="45" t="str">
        <f t="shared" si="24"/>
        <v>May-2024</v>
      </c>
      <c r="C525" s="57">
        <v>45415</v>
      </c>
      <c r="D525" s="43">
        <f t="shared" si="25"/>
        <v>697</v>
      </c>
      <c r="E525" s="76">
        <v>157</v>
      </c>
      <c r="F525" s="50"/>
      <c r="G525" s="49"/>
      <c r="H525" s="73"/>
      <c r="I525" s="77"/>
      <c r="J525" s="73"/>
      <c r="K525" s="52"/>
      <c r="L525" s="51"/>
      <c r="M525" s="77"/>
      <c r="N525" s="76"/>
      <c r="O525" s="75"/>
      <c r="P525" s="74"/>
      <c r="Q525" s="74"/>
      <c r="R525" s="53">
        <f t="shared" si="26"/>
        <v>0</v>
      </c>
      <c r="S525" s="73"/>
    </row>
    <row r="526" spans="1:19" x14ac:dyDescent="0.25">
      <c r="A526" s="28"/>
      <c r="B526" s="45" t="str">
        <f t="shared" si="24"/>
        <v>May-2024</v>
      </c>
      <c r="C526" s="57">
        <v>45416</v>
      </c>
      <c r="D526" s="43">
        <f t="shared" si="25"/>
        <v>696</v>
      </c>
      <c r="E526" s="76">
        <v>146</v>
      </c>
      <c r="F526" s="50"/>
      <c r="G526" s="49"/>
      <c r="H526" s="73"/>
      <c r="I526" s="77"/>
      <c r="J526" s="73"/>
      <c r="K526" s="52"/>
      <c r="L526" s="51"/>
      <c r="M526" s="77"/>
      <c r="N526" s="76"/>
      <c r="O526" s="75"/>
      <c r="P526" s="74"/>
      <c r="Q526" s="74"/>
      <c r="R526" s="53">
        <f t="shared" si="26"/>
        <v>0</v>
      </c>
      <c r="S526" s="73"/>
    </row>
    <row r="527" spans="1:19" x14ac:dyDescent="0.25">
      <c r="A527" s="28"/>
      <c r="B527" s="45" t="str">
        <f t="shared" si="24"/>
        <v>May-2024</v>
      </c>
      <c r="C527" s="57">
        <v>45417</v>
      </c>
      <c r="D527" s="43">
        <f t="shared" si="25"/>
        <v>695</v>
      </c>
      <c r="E527" s="76">
        <v>18</v>
      </c>
      <c r="F527" s="50"/>
      <c r="G527" s="49"/>
      <c r="H527" s="73"/>
      <c r="I527" s="77"/>
      <c r="J527" s="73"/>
      <c r="K527" s="52"/>
      <c r="L527" s="51"/>
      <c r="M527" s="77"/>
      <c r="N527" s="76"/>
      <c r="O527" s="75"/>
      <c r="P527" s="74"/>
      <c r="Q527" s="74"/>
      <c r="R527" s="53">
        <f t="shared" si="26"/>
        <v>0</v>
      </c>
      <c r="S527" s="73"/>
    </row>
    <row r="528" spans="1:19" x14ac:dyDescent="0.25">
      <c r="A528" s="28"/>
      <c r="B528" s="45" t="str">
        <f t="shared" si="24"/>
        <v>May-2024</v>
      </c>
      <c r="C528" s="57">
        <v>45418</v>
      </c>
      <c r="D528" s="43">
        <f t="shared" si="25"/>
        <v>694</v>
      </c>
      <c r="E528" s="76">
        <v>162</v>
      </c>
      <c r="F528" s="50"/>
      <c r="G528" s="49"/>
      <c r="H528" s="73"/>
      <c r="I528" s="77"/>
      <c r="J528" s="73"/>
      <c r="K528" s="52"/>
      <c r="L528" s="51"/>
      <c r="M528" s="77"/>
      <c r="N528" s="76"/>
      <c r="O528" s="75"/>
      <c r="P528" s="74"/>
      <c r="Q528" s="74"/>
      <c r="R528" s="53">
        <f t="shared" si="26"/>
        <v>0</v>
      </c>
      <c r="S528" s="73"/>
    </row>
    <row r="529" spans="1:19" x14ac:dyDescent="0.25">
      <c r="A529" s="28"/>
      <c r="B529" s="45" t="str">
        <f t="shared" si="24"/>
        <v>May-2024</v>
      </c>
      <c r="C529" s="57">
        <v>45419</v>
      </c>
      <c r="D529" s="43">
        <f t="shared" si="25"/>
        <v>693</v>
      </c>
      <c r="E529" s="76">
        <v>4</v>
      </c>
      <c r="F529" s="50"/>
      <c r="G529" s="49"/>
      <c r="H529" s="73"/>
      <c r="I529" s="77"/>
      <c r="J529" s="73"/>
      <c r="K529" s="52"/>
      <c r="L529" s="51"/>
      <c r="M529" s="77"/>
      <c r="N529" s="76"/>
      <c r="O529" s="75"/>
      <c r="P529" s="74"/>
      <c r="Q529" s="74"/>
      <c r="R529" s="53">
        <f t="shared" si="26"/>
        <v>0</v>
      </c>
      <c r="S529" s="73"/>
    </row>
    <row r="530" spans="1:19" x14ac:dyDescent="0.25">
      <c r="A530" s="28"/>
      <c r="B530" s="45" t="str">
        <f t="shared" si="24"/>
        <v>May-2024</v>
      </c>
      <c r="C530" s="57">
        <v>45420</v>
      </c>
      <c r="D530" s="43">
        <f t="shared" si="25"/>
        <v>692</v>
      </c>
      <c r="E530" s="76">
        <v>143</v>
      </c>
      <c r="F530" s="50"/>
      <c r="G530" s="49"/>
      <c r="H530" s="73"/>
      <c r="I530" s="77"/>
      <c r="J530" s="73"/>
      <c r="K530" s="52"/>
      <c r="L530" s="51"/>
      <c r="M530" s="77"/>
      <c r="N530" s="76"/>
      <c r="O530" s="75"/>
      <c r="P530" s="74"/>
      <c r="Q530" s="74"/>
      <c r="R530" s="53">
        <f t="shared" si="26"/>
        <v>0</v>
      </c>
      <c r="S530" s="73"/>
    </row>
    <row r="531" spans="1:19" x14ac:dyDescent="0.25">
      <c r="A531" s="28"/>
      <c r="B531" s="45" t="str">
        <f t="shared" si="24"/>
        <v>May-2024</v>
      </c>
      <c r="C531" s="57">
        <v>45421</v>
      </c>
      <c r="D531" s="43">
        <f t="shared" si="25"/>
        <v>691</v>
      </c>
      <c r="E531" s="76">
        <v>19</v>
      </c>
      <c r="F531" s="50"/>
      <c r="G531" s="49"/>
      <c r="H531" s="73"/>
      <c r="I531" s="77"/>
      <c r="J531" s="73"/>
      <c r="K531" s="52"/>
      <c r="L531" s="51"/>
      <c r="M531" s="77"/>
      <c r="N531" s="76"/>
      <c r="O531" s="75"/>
      <c r="P531" s="74"/>
      <c r="Q531" s="74"/>
      <c r="R531" s="53">
        <f t="shared" si="26"/>
        <v>0</v>
      </c>
      <c r="S531" s="73"/>
    </row>
    <row r="532" spans="1:19" x14ac:dyDescent="0.25">
      <c r="A532" s="28"/>
      <c r="B532" s="45" t="str">
        <f t="shared" si="24"/>
        <v>May-2024</v>
      </c>
      <c r="C532" s="57">
        <v>45422</v>
      </c>
      <c r="D532" s="43">
        <f t="shared" si="25"/>
        <v>690</v>
      </c>
      <c r="E532" s="76">
        <v>170</v>
      </c>
      <c r="F532" s="50"/>
      <c r="G532" s="49"/>
      <c r="H532" s="73"/>
      <c r="I532" s="77"/>
      <c r="J532" s="73"/>
      <c r="K532" s="52"/>
      <c r="L532" s="51"/>
      <c r="M532" s="77"/>
      <c r="N532" s="76"/>
      <c r="O532" s="75"/>
      <c r="P532" s="74"/>
      <c r="Q532" s="74"/>
      <c r="R532" s="53">
        <f t="shared" si="26"/>
        <v>0</v>
      </c>
      <c r="S532" s="73"/>
    </row>
    <row r="533" spans="1:19" x14ac:dyDescent="0.25">
      <c r="A533" s="28"/>
      <c r="B533" s="45" t="str">
        <f t="shared" si="24"/>
        <v>May-2024</v>
      </c>
      <c r="C533" s="57">
        <v>45423</v>
      </c>
      <c r="D533" s="43">
        <f t="shared" si="25"/>
        <v>689</v>
      </c>
      <c r="E533" s="76">
        <v>119</v>
      </c>
      <c r="F533" s="50"/>
      <c r="G533" s="49"/>
      <c r="H533" s="73"/>
      <c r="I533" s="77"/>
      <c r="J533" s="73"/>
      <c r="K533" s="52"/>
      <c r="L533" s="51"/>
      <c r="M533" s="77"/>
      <c r="N533" s="76"/>
      <c r="O533" s="75"/>
      <c r="P533" s="74"/>
      <c r="Q533" s="74"/>
      <c r="R533" s="53">
        <f t="shared" si="26"/>
        <v>0</v>
      </c>
      <c r="S533" s="73"/>
    </row>
    <row r="534" spans="1:19" x14ac:dyDescent="0.25">
      <c r="A534" s="28"/>
      <c r="B534" s="45" t="str">
        <f t="shared" si="24"/>
        <v>May-2024</v>
      </c>
      <c r="C534" s="57">
        <v>45424</v>
      </c>
      <c r="D534" s="43">
        <f t="shared" si="25"/>
        <v>688</v>
      </c>
      <c r="E534" s="76">
        <v>14</v>
      </c>
      <c r="F534" s="50"/>
      <c r="G534" s="49"/>
      <c r="H534" s="73"/>
      <c r="I534" s="77"/>
      <c r="J534" s="73"/>
      <c r="K534" s="52"/>
      <c r="L534" s="51"/>
      <c r="M534" s="77"/>
      <c r="N534" s="76"/>
      <c r="O534" s="75"/>
      <c r="P534" s="74"/>
      <c r="Q534" s="74"/>
      <c r="R534" s="53">
        <f t="shared" si="26"/>
        <v>0</v>
      </c>
      <c r="S534" s="73"/>
    </row>
    <row r="535" spans="1:19" x14ac:dyDescent="0.25">
      <c r="A535" s="28"/>
      <c r="B535" s="45" t="str">
        <f t="shared" si="24"/>
        <v>May-2024</v>
      </c>
      <c r="C535" s="57">
        <v>45425</v>
      </c>
      <c r="D535" s="43">
        <f t="shared" si="25"/>
        <v>687</v>
      </c>
      <c r="E535" s="76">
        <v>118</v>
      </c>
      <c r="F535" s="50"/>
      <c r="G535" s="49"/>
      <c r="H535" s="73"/>
      <c r="I535" s="77"/>
      <c r="J535" s="73"/>
      <c r="K535" s="52"/>
      <c r="L535" s="51"/>
      <c r="M535" s="77"/>
      <c r="N535" s="76"/>
      <c r="O535" s="75"/>
      <c r="P535" s="74"/>
      <c r="Q535" s="74"/>
      <c r="R535" s="53">
        <f t="shared" si="26"/>
        <v>0</v>
      </c>
      <c r="S535" s="73"/>
    </row>
    <row r="536" spans="1:19" x14ac:dyDescent="0.25">
      <c r="A536" s="28"/>
      <c r="B536" s="45" t="str">
        <f t="shared" si="24"/>
        <v>May-2024</v>
      </c>
      <c r="C536" s="57">
        <v>45426</v>
      </c>
      <c r="D536" s="43">
        <f t="shared" si="25"/>
        <v>686</v>
      </c>
      <c r="E536" s="76">
        <v>1</v>
      </c>
      <c r="F536" s="50"/>
      <c r="G536" s="49"/>
      <c r="H536" s="73"/>
      <c r="I536" s="77"/>
      <c r="J536" s="73"/>
      <c r="K536" s="52"/>
      <c r="L536" s="51"/>
      <c r="M536" s="77"/>
      <c r="N536" s="76"/>
      <c r="O536" s="75"/>
      <c r="P536" s="74"/>
      <c r="Q536" s="74"/>
      <c r="R536" s="53">
        <f t="shared" si="26"/>
        <v>0</v>
      </c>
      <c r="S536" s="73"/>
    </row>
    <row r="537" spans="1:19" x14ac:dyDescent="0.25">
      <c r="A537" s="28"/>
      <c r="B537" s="45" t="str">
        <f t="shared" si="24"/>
        <v>May-2024</v>
      </c>
      <c r="C537" s="57">
        <v>45427</v>
      </c>
      <c r="D537" s="43">
        <f t="shared" si="25"/>
        <v>685</v>
      </c>
      <c r="E537" s="76">
        <v>153</v>
      </c>
      <c r="F537" s="50"/>
      <c r="G537" s="49"/>
      <c r="H537" s="73"/>
      <c r="I537" s="77"/>
      <c r="J537" s="73"/>
      <c r="K537" s="52"/>
      <c r="L537" s="51"/>
      <c r="M537" s="77"/>
      <c r="N537" s="76"/>
      <c r="O537" s="75"/>
      <c r="P537" s="74"/>
      <c r="Q537" s="74"/>
      <c r="R537" s="53">
        <f t="shared" si="26"/>
        <v>0</v>
      </c>
      <c r="S537" s="73"/>
    </row>
    <row r="538" spans="1:19" x14ac:dyDescent="0.25">
      <c r="A538" s="28"/>
      <c r="B538" s="45" t="str">
        <f t="shared" si="24"/>
        <v>May-2024</v>
      </c>
      <c r="C538" s="57">
        <v>45428</v>
      </c>
      <c r="D538" s="43">
        <f t="shared" si="25"/>
        <v>684</v>
      </c>
      <c r="E538" s="76">
        <v>94</v>
      </c>
      <c r="F538" s="50"/>
      <c r="G538" s="49"/>
      <c r="H538" s="73"/>
      <c r="I538" s="77"/>
      <c r="J538" s="73"/>
      <c r="K538" s="52"/>
      <c r="L538" s="51"/>
      <c r="M538" s="77"/>
      <c r="N538" s="76"/>
      <c r="O538" s="75"/>
      <c r="P538" s="74"/>
      <c r="Q538" s="74"/>
      <c r="R538" s="53">
        <f t="shared" si="26"/>
        <v>0</v>
      </c>
      <c r="S538" s="73"/>
    </row>
    <row r="539" spans="1:19" x14ac:dyDescent="0.25">
      <c r="A539" s="28"/>
      <c r="B539" s="45" t="str">
        <f t="shared" si="24"/>
        <v>May-2024</v>
      </c>
      <c r="C539" s="57">
        <v>45429</v>
      </c>
      <c r="D539" s="43">
        <f t="shared" si="25"/>
        <v>683</v>
      </c>
      <c r="E539" s="76">
        <v>122</v>
      </c>
      <c r="F539" s="50"/>
      <c r="G539" s="49"/>
      <c r="H539" s="73"/>
      <c r="I539" s="77"/>
      <c r="J539" s="73"/>
      <c r="K539" s="52"/>
      <c r="L539" s="51"/>
      <c r="M539" s="77"/>
      <c r="N539" s="76"/>
      <c r="O539" s="75"/>
      <c r="P539" s="74"/>
      <c r="Q539" s="74"/>
      <c r="R539" s="53">
        <f t="shared" si="26"/>
        <v>0</v>
      </c>
      <c r="S539" s="73"/>
    </row>
    <row r="540" spans="1:19" x14ac:dyDescent="0.25">
      <c r="A540" s="28"/>
      <c r="B540" s="45" t="str">
        <f t="shared" si="24"/>
        <v>May-2024</v>
      </c>
      <c r="C540" s="57">
        <v>45430</v>
      </c>
      <c r="D540" s="43">
        <f t="shared" si="25"/>
        <v>682</v>
      </c>
      <c r="E540" s="76">
        <v>131</v>
      </c>
      <c r="F540" s="50"/>
      <c r="G540" s="49"/>
      <c r="H540" s="73"/>
      <c r="I540" s="77"/>
      <c r="J540" s="73"/>
      <c r="K540" s="52"/>
      <c r="L540" s="51"/>
      <c r="M540" s="77"/>
      <c r="N540" s="76"/>
      <c r="O540" s="75"/>
      <c r="P540" s="74"/>
      <c r="Q540" s="74"/>
      <c r="R540" s="53">
        <f t="shared" si="26"/>
        <v>0</v>
      </c>
      <c r="S540" s="73"/>
    </row>
    <row r="541" spans="1:19" x14ac:dyDescent="0.25">
      <c r="A541" s="28"/>
      <c r="B541" s="45" t="str">
        <f t="shared" si="24"/>
        <v>May-2024</v>
      </c>
      <c r="C541" s="57">
        <v>45431</v>
      </c>
      <c r="D541" s="43">
        <f t="shared" si="25"/>
        <v>681</v>
      </c>
      <c r="E541" s="76">
        <v>7</v>
      </c>
      <c r="F541" s="50"/>
      <c r="G541" s="49"/>
      <c r="H541" s="73"/>
      <c r="I541" s="77"/>
      <c r="J541" s="73"/>
      <c r="K541" s="52"/>
      <c r="L541" s="51"/>
      <c r="M541" s="77"/>
      <c r="N541" s="76"/>
      <c r="O541" s="75"/>
      <c r="P541" s="74"/>
      <c r="Q541" s="74"/>
      <c r="R541" s="53">
        <f t="shared" si="26"/>
        <v>0</v>
      </c>
      <c r="S541" s="73"/>
    </row>
    <row r="542" spans="1:19" x14ac:dyDescent="0.25">
      <c r="A542" s="28"/>
      <c r="B542" s="45" t="str">
        <f t="shared" si="24"/>
        <v>May-2024</v>
      </c>
      <c r="C542" s="57">
        <v>45432</v>
      </c>
      <c r="D542" s="43">
        <f t="shared" si="25"/>
        <v>680</v>
      </c>
      <c r="E542" s="76">
        <v>82</v>
      </c>
      <c r="F542" s="50"/>
      <c r="G542" s="49"/>
      <c r="H542" s="73"/>
      <c r="I542" s="77"/>
      <c r="J542" s="73"/>
      <c r="K542" s="52"/>
      <c r="L542" s="51"/>
      <c r="M542" s="77"/>
      <c r="N542" s="76"/>
      <c r="O542" s="75"/>
      <c r="P542" s="74"/>
      <c r="Q542" s="74"/>
      <c r="R542" s="53">
        <f t="shared" si="26"/>
        <v>0</v>
      </c>
      <c r="S542" s="73"/>
    </row>
    <row r="543" spans="1:19" x14ac:dyDescent="0.25">
      <c r="A543" s="28"/>
      <c r="B543" s="45" t="str">
        <f t="shared" si="24"/>
        <v>May-2024</v>
      </c>
      <c r="C543" s="57">
        <v>45434</v>
      </c>
      <c r="D543" s="43">
        <f t="shared" si="25"/>
        <v>678</v>
      </c>
      <c r="E543" s="76">
        <v>125</v>
      </c>
      <c r="F543" s="50"/>
      <c r="G543" s="49"/>
      <c r="H543" s="73"/>
      <c r="I543" s="77"/>
      <c r="J543" s="73"/>
      <c r="K543" s="52"/>
      <c r="L543" s="51"/>
      <c r="M543" s="77"/>
      <c r="N543" s="76"/>
      <c r="O543" s="75"/>
      <c r="P543" s="74"/>
      <c r="Q543" s="74"/>
      <c r="R543" s="53">
        <f t="shared" si="26"/>
        <v>0</v>
      </c>
      <c r="S543" s="73"/>
    </row>
    <row r="544" spans="1:19" x14ac:dyDescent="0.25">
      <c r="A544" s="28"/>
      <c r="B544" s="45" t="str">
        <f t="shared" si="24"/>
        <v>May-2024</v>
      </c>
      <c r="C544" s="57">
        <v>45435</v>
      </c>
      <c r="D544" s="43">
        <f t="shared" si="25"/>
        <v>677</v>
      </c>
      <c r="E544" s="76">
        <v>151</v>
      </c>
      <c r="F544" s="50">
        <v>932</v>
      </c>
      <c r="G544" s="49">
        <v>596685</v>
      </c>
      <c r="H544" s="73">
        <v>925</v>
      </c>
      <c r="I544" s="77">
        <v>932</v>
      </c>
      <c r="J544" s="73">
        <v>299176.98999999987</v>
      </c>
      <c r="K544" s="52">
        <v>19</v>
      </c>
      <c r="L544" s="51">
        <v>3807.6499999999996</v>
      </c>
      <c r="M544" s="77">
        <v>843</v>
      </c>
      <c r="N544" s="76">
        <v>346007.3</v>
      </c>
      <c r="O544" s="75">
        <v>756</v>
      </c>
      <c r="P544" s="74">
        <v>48499.290000000045</v>
      </c>
      <c r="Q544" s="74">
        <v>3348.1699999999983</v>
      </c>
      <c r="R544" s="53">
        <f t="shared" si="26"/>
        <v>29834.25</v>
      </c>
      <c r="S544" s="73">
        <v>299176.99</v>
      </c>
    </row>
    <row r="545" spans="1:19" x14ac:dyDescent="0.25">
      <c r="A545" s="28"/>
      <c r="B545" s="45" t="str">
        <f t="shared" si="24"/>
        <v>May-2024</v>
      </c>
      <c r="C545" s="57">
        <v>45436</v>
      </c>
      <c r="D545" s="43">
        <f t="shared" si="25"/>
        <v>676</v>
      </c>
      <c r="E545" s="76">
        <v>208</v>
      </c>
      <c r="F545" s="50">
        <v>852</v>
      </c>
      <c r="G545" s="49">
        <v>483375</v>
      </c>
      <c r="H545" s="73">
        <v>847</v>
      </c>
      <c r="I545" s="77">
        <v>852</v>
      </c>
      <c r="J545" s="73">
        <v>267090.53999999998</v>
      </c>
      <c r="K545" s="52">
        <v>12</v>
      </c>
      <c r="L545" s="51">
        <v>1914.1799999999998</v>
      </c>
      <c r="M545" s="77">
        <v>722</v>
      </c>
      <c r="N545" s="76">
        <v>259578.26</v>
      </c>
      <c r="O545" s="75">
        <v>668</v>
      </c>
      <c r="P545" s="74">
        <v>43293.80000000001</v>
      </c>
      <c r="Q545" s="74">
        <v>3084.6799999999976</v>
      </c>
      <c r="R545" s="53">
        <f t="shared" si="26"/>
        <v>24168.75</v>
      </c>
      <c r="S545" s="73">
        <v>267090.53999999992</v>
      </c>
    </row>
    <row r="546" spans="1:19" x14ac:dyDescent="0.25">
      <c r="A546" s="28"/>
      <c r="B546" s="45" t="str">
        <f t="shared" si="24"/>
        <v>May-2024</v>
      </c>
      <c r="C546" s="57">
        <v>45437</v>
      </c>
      <c r="D546" s="43">
        <f t="shared" si="25"/>
        <v>675</v>
      </c>
      <c r="E546" s="76">
        <v>95</v>
      </c>
      <c r="F546" s="50">
        <v>16</v>
      </c>
      <c r="G546" s="49">
        <v>7000</v>
      </c>
      <c r="H546" s="73">
        <v>16</v>
      </c>
      <c r="I546" s="77">
        <v>16</v>
      </c>
      <c r="J546" s="73">
        <v>2248.36</v>
      </c>
      <c r="K546" s="52"/>
      <c r="L546" s="51"/>
      <c r="M546" s="77">
        <v>14</v>
      </c>
      <c r="N546" s="76">
        <v>5127</v>
      </c>
      <c r="O546" s="75">
        <v>12</v>
      </c>
      <c r="P546" s="74">
        <v>375.36000000000007</v>
      </c>
      <c r="Q546" s="74">
        <v>27</v>
      </c>
      <c r="R546" s="53">
        <f t="shared" si="26"/>
        <v>350</v>
      </c>
      <c r="S546" s="73">
        <v>2248.36</v>
      </c>
    </row>
    <row r="547" spans="1:19" x14ac:dyDescent="0.25">
      <c r="A547" s="28"/>
      <c r="B547" s="45" t="str">
        <f t="shared" si="24"/>
        <v>May-2024</v>
      </c>
      <c r="C547" s="57">
        <v>45438</v>
      </c>
      <c r="D547" s="43">
        <f t="shared" si="25"/>
        <v>674</v>
      </c>
      <c r="E547" s="76">
        <v>33</v>
      </c>
      <c r="F547" s="50">
        <v>1</v>
      </c>
      <c r="G547" s="49">
        <v>100</v>
      </c>
      <c r="H547" s="73">
        <v>1</v>
      </c>
      <c r="I547" s="77">
        <v>1</v>
      </c>
      <c r="J547" s="73">
        <v>120.4</v>
      </c>
      <c r="K547" s="52"/>
      <c r="L547" s="51"/>
      <c r="M547" s="77"/>
      <c r="N547" s="76"/>
      <c r="O547" s="75"/>
      <c r="P547" s="74">
        <v>20.399999999999999</v>
      </c>
      <c r="Q547" s="74">
        <v>0</v>
      </c>
      <c r="R547" s="53">
        <f t="shared" si="26"/>
        <v>5</v>
      </c>
      <c r="S547" s="73">
        <v>120.4</v>
      </c>
    </row>
    <row r="548" spans="1:19" x14ac:dyDescent="0.25">
      <c r="A548" s="28"/>
      <c r="B548" s="45" t="str">
        <f t="shared" si="24"/>
        <v>May-2024</v>
      </c>
      <c r="C548" s="57">
        <v>45439</v>
      </c>
      <c r="D548" s="43">
        <f t="shared" si="25"/>
        <v>673</v>
      </c>
      <c r="E548" s="76">
        <v>79</v>
      </c>
      <c r="F548" s="50"/>
      <c r="G548" s="49"/>
      <c r="H548" s="73"/>
      <c r="I548" s="77"/>
      <c r="J548" s="73"/>
      <c r="K548" s="52"/>
      <c r="L548" s="51"/>
      <c r="M548" s="77"/>
      <c r="N548" s="76"/>
      <c r="O548" s="75"/>
      <c r="P548" s="74"/>
      <c r="Q548" s="74"/>
      <c r="R548" s="53">
        <f t="shared" si="26"/>
        <v>0</v>
      </c>
      <c r="S548" s="73"/>
    </row>
    <row r="549" spans="1:19" x14ac:dyDescent="0.25">
      <c r="A549" s="28"/>
      <c r="B549" s="45" t="str">
        <f t="shared" si="24"/>
        <v>May-2024</v>
      </c>
      <c r="C549" s="57">
        <v>45440</v>
      </c>
      <c r="D549" s="43">
        <f t="shared" si="25"/>
        <v>672</v>
      </c>
      <c r="E549" s="76">
        <v>76</v>
      </c>
      <c r="F549" s="50"/>
      <c r="G549" s="49"/>
      <c r="H549" s="73"/>
      <c r="I549" s="77"/>
      <c r="J549" s="73"/>
      <c r="K549" s="52"/>
      <c r="L549" s="51"/>
      <c r="M549" s="77"/>
      <c r="N549" s="76"/>
      <c r="O549" s="75"/>
      <c r="P549" s="74"/>
      <c r="Q549" s="74"/>
      <c r="R549" s="53">
        <f t="shared" si="26"/>
        <v>0</v>
      </c>
      <c r="S549" s="73"/>
    </row>
    <row r="550" spans="1:19" x14ac:dyDescent="0.25">
      <c r="A550" s="28"/>
      <c r="B550" s="45" t="str">
        <f t="shared" si="24"/>
        <v>May-2024</v>
      </c>
      <c r="C550" s="57">
        <v>45441</v>
      </c>
      <c r="D550" s="43">
        <f t="shared" si="25"/>
        <v>671</v>
      </c>
      <c r="E550" s="76">
        <v>87</v>
      </c>
      <c r="F550" s="50"/>
      <c r="G550" s="49"/>
      <c r="H550" s="73"/>
      <c r="I550" s="77"/>
      <c r="J550" s="73"/>
      <c r="K550" s="52"/>
      <c r="L550" s="51"/>
      <c r="M550" s="77"/>
      <c r="N550" s="76"/>
      <c r="O550" s="75"/>
      <c r="P550" s="74"/>
      <c r="Q550" s="74"/>
      <c r="R550" s="53">
        <f t="shared" si="26"/>
        <v>0</v>
      </c>
      <c r="S550" s="73"/>
    </row>
    <row r="551" spans="1:19" x14ac:dyDescent="0.25">
      <c r="A551" s="28"/>
      <c r="B551" s="45" t="str">
        <f t="shared" si="24"/>
        <v>May-2024</v>
      </c>
      <c r="C551" s="57">
        <v>45442</v>
      </c>
      <c r="D551" s="43">
        <f t="shared" si="25"/>
        <v>670</v>
      </c>
      <c r="E551" s="76">
        <v>79</v>
      </c>
      <c r="F551" s="50"/>
      <c r="G551" s="49"/>
      <c r="H551" s="73"/>
      <c r="I551" s="77"/>
      <c r="J551" s="73"/>
      <c r="K551" s="52"/>
      <c r="L551" s="51"/>
      <c r="M551" s="77"/>
      <c r="N551" s="76"/>
      <c r="O551" s="75"/>
      <c r="P551" s="74"/>
      <c r="Q551" s="74"/>
      <c r="R551" s="53">
        <f t="shared" si="26"/>
        <v>0</v>
      </c>
      <c r="S551" s="73"/>
    </row>
    <row r="552" spans="1:19" x14ac:dyDescent="0.25">
      <c r="A552" s="28"/>
      <c r="B552" s="45" t="str">
        <f t="shared" si="24"/>
        <v>May-2024</v>
      </c>
      <c r="C552" s="57">
        <v>45443</v>
      </c>
      <c r="D552" s="43">
        <f t="shared" si="25"/>
        <v>669</v>
      </c>
      <c r="E552" s="76">
        <v>133</v>
      </c>
      <c r="F552" s="50"/>
      <c r="G552" s="49"/>
      <c r="H552" s="73"/>
      <c r="I552" s="77"/>
      <c r="J552" s="73"/>
      <c r="K552" s="52"/>
      <c r="L552" s="51"/>
      <c r="M552" s="77"/>
      <c r="N552" s="76"/>
      <c r="O552" s="75"/>
      <c r="P552" s="74"/>
      <c r="Q552" s="74"/>
      <c r="R552" s="53">
        <f t="shared" si="26"/>
        <v>0</v>
      </c>
      <c r="S552" s="73"/>
    </row>
    <row r="553" spans="1:19" x14ac:dyDescent="0.25">
      <c r="A553" s="28"/>
      <c r="B553" s="45" t="str">
        <f t="shared" si="24"/>
        <v>Jun-2024</v>
      </c>
      <c r="C553" s="57">
        <v>45444</v>
      </c>
      <c r="D553" s="43">
        <f t="shared" si="25"/>
        <v>668</v>
      </c>
      <c r="E553" s="76">
        <v>88</v>
      </c>
      <c r="F553" s="50"/>
      <c r="G553" s="49"/>
      <c r="H553" s="73"/>
      <c r="I553" s="77"/>
      <c r="J553" s="73"/>
      <c r="K553" s="52"/>
      <c r="L553" s="51"/>
      <c r="M553" s="77"/>
      <c r="N553" s="76"/>
      <c r="O553" s="75"/>
      <c r="P553" s="74"/>
      <c r="Q553" s="74"/>
      <c r="R553" s="53">
        <f t="shared" si="26"/>
        <v>0</v>
      </c>
      <c r="S553" s="73"/>
    </row>
    <row r="554" spans="1:19" x14ac:dyDescent="0.25">
      <c r="A554" s="28"/>
      <c r="B554" s="45" t="str">
        <f t="shared" si="24"/>
        <v>Jun-2024</v>
      </c>
      <c r="C554" s="57">
        <v>45445</v>
      </c>
      <c r="D554" s="43">
        <f t="shared" si="25"/>
        <v>667</v>
      </c>
      <c r="E554" s="76">
        <v>99</v>
      </c>
      <c r="F554" s="50"/>
      <c r="G554" s="49"/>
      <c r="H554" s="73"/>
      <c r="I554" s="77"/>
      <c r="J554" s="73"/>
      <c r="K554" s="52"/>
      <c r="L554" s="51"/>
      <c r="M554" s="77"/>
      <c r="N554" s="76"/>
      <c r="O554" s="75"/>
      <c r="P554" s="74"/>
      <c r="Q554" s="74"/>
      <c r="R554" s="53">
        <f t="shared" si="26"/>
        <v>0</v>
      </c>
      <c r="S554" s="73"/>
    </row>
    <row r="555" spans="1:19" x14ac:dyDescent="0.25">
      <c r="A555" s="28"/>
      <c r="B555" s="45" t="str">
        <f t="shared" si="24"/>
        <v>Jun-2024</v>
      </c>
      <c r="C555" s="57">
        <v>45446</v>
      </c>
      <c r="D555" s="43">
        <f t="shared" si="25"/>
        <v>666</v>
      </c>
      <c r="E555" s="76">
        <v>99</v>
      </c>
      <c r="F555" s="50"/>
      <c r="G555" s="49"/>
      <c r="H555" s="73"/>
      <c r="I555" s="77"/>
      <c r="J555" s="73"/>
      <c r="K555" s="52"/>
      <c r="L555" s="51"/>
      <c r="M555" s="77"/>
      <c r="N555" s="76"/>
      <c r="O555" s="75"/>
      <c r="P555" s="74"/>
      <c r="Q555" s="74"/>
      <c r="R555" s="53">
        <f t="shared" si="26"/>
        <v>0</v>
      </c>
      <c r="S555" s="73"/>
    </row>
    <row r="556" spans="1:19" x14ac:dyDescent="0.25">
      <c r="A556" s="28"/>
      <c r="B556" s="45" t="str">
        <f t="shared" si="24"/>
        <v>Jun-2024</v>
      </c>
      <c r="C556" s="57">
        <v>45447</v>
      </c>
      <c r="D556" s="43">
        <f t="shared" si="25"/>
        <v>665</v>
      </c>
      <c r="E556" s="76">
        <v>96</v>
      </c>
      <c r="F556" s="50"/>
      <c r="G556" s="49"/>
      <c r="H556" s="73"/>
      <c r="I556" s="77"/>
      <c r="J556" s="73"/>
      <c r="K556" s="52"/>
      <c r="L556" s="51"/>
      <c r="M556" s="77"/>
      <c r="N556" s="76"/>
      <c r="O556" s="75"/>
      <c r="P556" s="74"/>
      <c r="Q556" s="74"/>
      <c r="R556" s="53">
        <f t="shared" si="26"/>
        <v>0</v>
      </c>
      <c r="S556" s="73"/>
    </row>
    <row r="557" spans="1:19" x14ac:dyDescent="0.25">
      <c r="A557" s="28"/>
      <c r="B557" s="45" t="str">
        <f t="shared" si="24"/>
        <v>Jun-2024</v>
      </c>
      <c r="C557" s="57">
        <v>45448</v>
      </c>
      <c r="D557" s="43">
        <f t="shared" si="25"/>
        <v>664</v>
      </c>
      <c r="E557" s="76">
        <v>135</v>
      </c>
      <c r="F557" s="50"/>
      <c r="G557" s="49"/>
      <c r="H557" s="73"/>
      <c r="I557" s="77"/>
      <c r="J557" s="73"/>
      <c r="K557" s="52"/>
      <c r="L557" s="51"/>
      <c r="M557" s="77"/>
      <c r="N557" s="76"/>
      <c r="O557" s="75"/>
      <c r="P557" s="74"/>
      <c r="Q557" s="74"/>
      <c r="R557" s="53">
        <f t="shared" si="26"/>
        <v>0</v>
      </c>
      <c r="S557" s="73"/>
    </row>
    <row r="558" spans="1:19" x14ac:dyDescent="0.25">
      <c r="A558" s="28"/>
      <c r="B558" s="45" t="str">
        <f t="shared" si="24"/>
        <v>Jun-2024</v>
      </c>
      <c r="C558" s="57">
        <v>45449</v>
      </c>
      <c r="D558" s="43">
        <f t="shared" si="25"/>
        <v>663</v>
      </c>
      <c r="E558" s="76">
        <v>100</v>
      </c>
      <c r="F558" s="50"/>
      <c r="G558" s="49"/>
      <c r="H558" s="73"/>
      <c r="I558" s="77"/>
      <c r="J558" s="73"/>
      <c r="K558" s="52"/>
      <c r="L558" s="51"/>
      <c r="M558" s="77"/>
      <c r="N558" s="76"/>
      <c r="O558" s="75"/>
      <c r="P558" s="74"/>
      <c r="Q558" s="74"/>
      <c r="R558" s="53">
        <f t="shared" si="26"/>
        <v>0</v>
      </c>
      <c r="S558" s="73"/>
    </row>
    <row r="559" spans="1:19" x14ac:dyDescent="0.25">
      <c r="A559" s="28"/>
      <c r="B559" s="45" t="str">
        <f t="shared" si="24"/>
        <v>Jun-2024</v>
      </c>
      <c r="C559" s="57">
        <v>45450</v>
      </c>
      <c r="D559" s="43">
        <f t="shared" si="25"/>
        <v>662</v>
      </c>
      <c r="E559" s="76">
        <v>81</v>
      </c>
      <c r="F559" s="50"/>
      <c r="G559" s="49"/>
      <c r="H559" s="73"/>
      <c r="I559" s="77"/>
      <c r="J559" s="73"/>
      <c r="K559" s="52"/>
      <c r="L559" s="51"/>
      <c r="M559" s="77"/>
      <c r="N559" s="76"/>
      <c r="O559" s="75"/>
      <c r="P559" s="74"/>
      <c r="Q559" s="74"/>
      <c r="R559" s="53">
        <f t="shared" si="26"/>
        <v>0</v>
      </c>
      <c r="S559" s="73"/>
    </row>
    <row r="560" spans="1:19" x14ac:dyDescent="0.25">
      <c r="A560" s="28"/>
      <c r="B560" s="45" t="str">
        <f t="shared" si="24"/>
        <v>Jun-2024</v>
      </c>
      <c r="C560" s="57">
        <v>45451</v>
      </c>
      <c r="D560" s="43">
        <f t="shared" si="25"/>
        <v>661</v>
      </c>
      <c r="E560" s="76">
        <v>98</v>
      </c>
      <c r="F560" s="50"/>
      <c r="G560" s="49"/>
      <c r="H560" s="73"/>
      <c r="I560" s="77"/>
      <c r="J560" s="73"/>
      <c r="K560" s="52"/>
      <c r="L560" s="51"/>
      <c r="M560" s="77"/>
      <c r="N560" s="76"/>
      <c r="O560" s="75"/>
      <c r="P560" s="74"/>
      <c r="Q560" s="74"/>
      <c r="R560" s="53">
        <f t="shared" si="26"/>
        <v>0</v>
      </c>
      <c r="S560" s="73"/>
    </row>
    <row r="561" spans="1:19" x14ac:dyDescent="0.25">
      <c r="A561" s="28"/>
      <c r="B561" s="45" t="str">
        <f t="shared" si="24"/>
        <v>Jun-2024</v>
      </c>
      <c r="C561" s="57">
        <v>45452</v>
      </c>
      <c r="D561" s="43">
        <f t="shared" si="25"/>
        <v>660</v>
      </c>
      <c r="E561" s="76">
        <v>94</v>
      </c>
      <c r="F561" s="50"/>
      <c r="G561" s="49"/>
      <c r="H561" s="73"/>
      <c r="I561" s="77"/>
      <c r="J561" s="73"/>
      <c r="K561" s="52"/>
      <c r="L561" s="51"/>
      <c r="M561" s="77"/>
      <c r="N561" s="76"/>
      <c r="O561" s="75"/>
      <c r="P561" s="74"/>
      <c r="Q561" s="74"/>
      <c r="R561" s="53">
        <f t="shared" si="26"/>
        <v>0</v>
      </c>
      <c r="S561" s="73"/>
    </row>
    <row r="562" spans="1:19" x14ac:dyDescent="0.25">
      <c r="A562" s="28"/>
      <c r="B562" s="45" t="str">
        <f t="shared" si="24"/>
        <v>Jun-2024</v>
      </c>
      <c r="C562" s="57">
        <v>45453</v>
      </c>
      <c r="D562" s="43">
        <f t="shared" si="25"/>
        <v>659</v>
      </c>
      <c r="E562" s="76">
        <v>101</v>
      </c>
      <c r="F562" s="50"/>
      <c r="G562" s="49"/>
      <c r="H562" s="73"/>
      <c r="I562" s="77"/>
      <c r="J562" s="73"/>
      <c r="K562" s="52"/>
      <c r="L562" s="51"/>
      <c r="M562" s="77"/>
      <c r="N562" s="76"/>
      <c r="O562" s="75"/>
      <c r="P562" s="74"/>
      <c r="Q562" s="74"/>
      <c r="R562" s="53">
        <f t="shared" si="26"/>
        <v>0</v>
      </c>
      <c r="S562" s="73"/>
    </row>
    <row r="563" spans="1:19" x14ac:dyDescent="0.25">
      <c r="A563" s="28"/>
      <c r="B563" s="45" t="str">
        <f t="shared" si="24"/>
        <v>Jun-2024</v>
      </c>
      <c r="C563" s="57">
        <v>45454</v>
      </c>
      <c r="D563" s="43">
        <f t="shared" si="25"/>
        <v>658</v>
      </c>
      <c r="E563" s="76">
        <v>112</v>
      </c>
      <c r="F563" s="50"/>
      <c r="G563" s="49"/>
      <c r="H563" s="73"/>
      <c r="I563" s="77"/>
      <c r="J563" s="73"/>
      <c r="K563" s="52"/>
      <c r="L563" s="51"/>
      <c r="M563" s="77"/>
      <c r="N563" s="76"/>
      <c r="O563" s="75"/>
      <c r="P563" s="74"/>
      <c r="Q563" s="74"/>
      <c r="R563" s="53">
        <f t="shared" si="26"/>
        <v>0</v>
      </c>
      <c r="S563" s="73"/>
    </row>
    <row r="564" spans="1:19" x14ac:dyDescent="0.25">
      <c r="A564" s="28"/>
      <c r="B564" s="45" t="str">
        <f t="shared" si="24"/>
        <v>Jun-2024</v>
      </c>
      <c r="C564" s="57">
        <v>45455</v>
      </c>
      <c r="D564" s="43">
        <f t="shared" si="25"/>
        <v>657</v>
      </c>
      <c r="E564" s="76">
        <v>82</v>
      </c>
      <c r="F564" s="50"/>
      <c r="G564" s="49"/>
      <c r="H564" s="73"/>
      <c r="I564" s="77"/>
      <c r="J564" s="73"/>
      <c r="K564" s="52"/>
      <c r="L564" s="51"/>
      <c r="M564" s="77"/>
      <c r="N564" s="76"/>
      <c r="O564" s="75"/>
      <c r="P564" s="74"/>
      <c r="Q564" s="74"/>
      <c r="R564" s="53">
        <f t="shared" si="26"/>
        <v>0</v>
      </c>
      <c r="S564" s="73"/>
    </row>
    <row r="565" spans="1:19" x14ac:dyDescent="0.25">
      <c r="A565" s="28"/>
      <c r="B565" s="45" t="str">
        <f t="shared" si="24"/>
        <v>Jun-2024</v>
      </c>
      <c r="C565" s="57">
        <v>45456</v>
      </c>
      <c r="D565" s="43">
        <f t="shared" si="25"/>
        <v>656</v>
      </c>
      <c r="E565" s="76">
        <v>110</v>
      </c>
      <c r="F565" s="50"/>
      <c r="G565" s="49"/>
      <c r="H565" s="73"/>
      <c r="I565" s="77"/>
      <c r="J565" s="73"/>
      <c r="K565" s="52"/>
      <c r="L565" s="51"/>
      <c r="M565" s="77"/>
      <c r="N565" s="76"/>
      <c r="O565" s="75"/>
      <c r="P565" s="74"/>
      <c r="Q565" s="74"/>
      <c r="R565" s="53">
        <f t="shared" si="26"/>
        <v>0</v>
      </c>
      <c r="S565" s="73"/>
    </row>
    <row r="566" spans="1:19" x14ac:dyDescent="0.25">
      <c r="A566" s="28"/>
      <c r="B566" s="45" t="str">
        <f t="shared" si="24"/>
        <v>Jun-2024</v>
      </c>
      <c r="C566" s="57">
        <v>45457</v>
      </c>
      <c r="D566" s="43">
        <f t="shared" si="25"/>
        <v>655</v>
      </c>
      <c r="E566" s="76">
        <v>80</v>
      </c>
      <c r="F566" s="50"/>
      <c r="G566" s="49"/>
      <c r="H566" s="73"/>
      <c r="I566" s="77"/>
      <c r="J566" s="73"/>
      <c r="K566" s="52"/>
      <c r="L566" s="51"/>
      <c r="M566" s="77"/>
      <c r="N566" s="76"/>
      <c r="O566" s="75"/>
      <c r="P566" s="74"/>
      <c r="Q566" s="74"/>
      <c r="R566" s="53">
        <f t="shared" si="26"/>
        <v>0</v>
      </c>
      <c r="S566" s="73"/>
    </row>
    <row r="567" spans="1:19" x14ac:dyDescent="0.25">
      <c r="A567" s="28"/>
      <c r="B567" s="45" t="str">
        <f t="shared" si="24"/>
        <v>Jun-2024</v>
      </c>
      <c r="C567" s="57">
        <v>45458</v>
      </c>
      <c r="D567" s="43">
        <f t="shared" si="25"/>
        <v>654</v>
      </c>
      <c r="E567" s="76">
        <v>95</v>
      </c>
      <c r="F567" s="50"/>
      <c r="G567" s="49"/>
      <c r="H567" s="73"/>
      <c r="I567" s="77"/>
      <c r="J567" s="73"/>
      <c r="K567" s="52"/>
      <c r="L567" s="51"/>
      <c r="M567" s="77"/>
      <c r="N567" s="76"/>
      <c r="O567" s="75"/>
      <c r="P567" s="74"/>
      <c r="Q567" s="74"/>
      <c r="R567" s="53">
        <f t="shared" si="26"/>
        <v>0</v>
      </c>
      <c r="S567" s="73"/>
    </row>
    <row r="568" spans="1:19" x14ac:dyDescent="0.25">
      <c r="A568" s="28"/>
      <c r="B568" s="45" t="str">
        <f t="shared" si="24"/>
        <v>Jun-2024</v>
      </c>
      <c r="C568" s="57">
        <v>45459</v>
      </c>
      <c r="D568" s="43">
        <f t="shared" si="25"/>
        <v>653</v>
      </c>
      <c r="E568" s="76">
        <v>85</v>
      </c>
      <c r="F568" s="50"/>
      <c r="G568" s="49"/>
      <c r="H568" s="73"/>
      <c r="I568" s="77"/>
      <c r="J568" s="73"/>
      <c r="K568" s="52"/>
      <c r="L568" s="51"/>
      <c r="M568" s="77"/>
      <c r="N568" s="76"/>
      <c r="O568" s="75"/>
      <c r="P568" s="74"/>
      <c r="Q568" s="74"/>
      <c r="R568" s="53">
        <f t="shared" si="26"/>
        <v>0</v>
      </c>
      <c r="S568" s="73"/>
    </row>
    <row r="569" spans="1:19" x14ac:dyDescent="0.25">
      <c r="A569" s="28"/>
      <c r="B569" s="45" t="str">
        <f t="shared" si="24"/>
        <v>Jun-2024</v>
      </c>
      <c r="C569" s="57">
        <v>45460</v>
      </c>
      <c r="D569" s="43">
        <f t="shared" si="25"/>
        <v>652</v>
      </c>
      <c r="E569" s="76">
        <v>80</v>
      </c>
      <c r="F569" s="50"/>
      <c r="G569" s="49"/>
      <c r="H569" s="73"/>
      <c r="I569" s="77"/>
      <c r="J569" s="73"/>
      <c r="K569" s="52"/>
      <c r="L569" s="51"/>
      <c r="M569" s="77"/>
      <c r="N569" s="76"/>
      <c r="O569" s="75"/>
      <c r="P569" s="74"/>
      <c r="Q569" s="74"/>
      <c r="R569" s="53">
        <f t="shared" si="26"/>
        <v>0</v>
      </c>
      <c r="S569" s="73"/>
    </row>
    <row r="570" spans="1:19" x14ac:dyDescent="0.25">
      <c r="A570" s="28"/>
      <c r="B570" s="45" t="str">
        <f t="shared" si="24"/>
        <v>Jun-2024</v>
      </c>
      <c r="C570" s="57">
        <v>45461</v>
      </c>
      <c r="D570" s="43">
        <f t="shared" si="25"/>
        <v>651</v>
      </c>
      <c r="E570" s="76">
        <v>126</v>
      </c>
      <c r="F570" s="50"/>
      <c r="G570" s="49"/>
      <c r="H570" s="73"/>
      <c r="I570" s="77"/>
      <c r="J570" s="73"/>
      <c r="K570" s="52"/>
      <c r="L570" s="51"/>
      <c r="M570" s="77"/>
      <c r="N570" s="76"/>
      <c r="O570" s="75"/>
      <c r="P570" s="74"/>
      <c r="Q570" s="74"/>
      <c r="R570" s="53">
        <f t="shared" si="26"/>
        <v>0</v>
      </c>
      <c r="S570" s="73"/>
    </row>
    <row r="571" spans="1:19" x14ac:dyDescent="0.25">
      <c r="A571" s="28"/>
      <c r="B571" s="45" t="str">
        <f t="shared" si="24"/>
        <v>Jun-2024</v>
      </c>
      <c r="C571" s="57">
        <v>45462</v>
      </c>
      <c r="D571" s="43">
        <f t="shared" si="25"/>
        <v>650</v>
      </c>
      <c r="E571" s="76">
        <v>86</v>
      </c>
      <c r="F571" s="50"/>
      <c r="G571" s="49"/>
      <c r="H571" s="73"/>
      <c r="I571" s="77"/>
      <c r="J571" s="73"/>
      <c r="K571" s="52"/>
      <c r="L571" s="51"/>
      <c r="M571" s="77"/>
      <c r="N571" s="76"/>
      <c r="O571" s="75"/>
      <c r="P571" s="74"/>
      <c r="Q571" s="74"/>
      <c r="R571" s="53">
        <f t="shared" si="26"/>
        <v>0</v>
      </c>
      <c r="S571" s="73"/>
    </row>
    <row r="572" spans="1:19" x14ac:dyDescent="0.25">
      <c r="A572" s="28"/>
      <c r="B572" s="45" t="str">
        <f t="shared" si="24"/>
        <v>Jun-2024</v>
      </c>
      <c r="C572" s="57">
        <v>45463</v>
      </c>
      <c r="D572" s="43">
        <f t="shared" si="25"/>
        <v>649</v>
      </c>
      <c r="E572" s="76">
        <v>109</v>
      </c>
      <c r="F572" s="50"/>
      <c r="G572" s="49"/>
      <c r="H572" s="73"/>
      <c r="I572" s="77"/>
      <c r="J572" s="73"/>
      <c r="K572" s="52"/>
      <c r="L572" s="51"/>
      <c r="M572" s="77"/>
      <c r="N572" s="76"/>
      <c r="O572" s="75"/>
      <c r="P572" s="74"/>
      <c r="Q572" s="74"/>
      <c r="R572" s="53">
        <f t="shared" si="26"/>
        <v>0</v>
      </c>
      <c r="S572" s="73"/>
    </row>
    <row r="573" spans="1:19" x14ac:dyDescent="0.25">
      <c r="A573" s="28"/>
      <c r="B573" s="45" t="str">
        <f t="shared" si="24"/>
        <v>Jun-2024</v>
      </c>
      <c r="C573" s="57">
        <v>45464</v>
      </c>
      <c r="D573" s="43">
        <f t="shared" si="25"/>
        <v>648</v>
      </c>
      <c r="E573" s="76">
        <v>97</v>
      </c>
      <c r="F573" s="50"/>
      <c r="G573" s="49"/>
      <c r="H573" s="73"/>
      <c r="I573" s="77"/>
      <c r="J573" s="73"/>
      <c r="K573" s="52"/>
      <c r="L573" s="51"/>
      <c r="M573" s="77"/>
      <c r="N573" s="76"/>
      <c r="O573" s="75"/>
      <c r="P573" s="74"/>
      <c r="Q573" s="74"/>
      <c r="R573" s="53">
        <f t="shared" si="26"/>
        <v>0</v>
      </c>
      <c r="S573" s="73"/>
    </row>
    <row r="574" spans="1:19" x14ac:dyDescent="0.25">
      <c r="A574" s="28"/>
      <c r="B574" s="45" t="str">
        <f t="shared" si="24"/>
        <v>Jun-2024</v>
      </c>
      <c r="C574" s="57">
        <v>45465</v>
      </c>
      <c r="D574" s="43">
        <f t="shared" si="25"/>
        <v>647</v>
      </c>
      <c r="E574" s="76">
        <v>87</v>
      </c>
      <c r="F574" s="50"/>
      <c r="G574" s="49"/>
      <c r="H574" s="73"/>
      <c r="I574" s="77"/>
      <c r="J574" s="73"/>
      <c r="K574" s="52"/>
      <c r="L574" s="51"/>
      <c r="M574" s="77"/>
      <c r="N574" s="76"/>
      <c r="O574" s="75"/>
      <c r="P574" s="74"/>
      <c r="Q574" s="74"/>
      <c r="R574" s="53">
        <f t="shared" si="26"/>
        <v>0</v>
      </c>
      <c r="S574" s="73"/>
    </row>
    <row r="575" spans="1:19" x14ac:dyDescent="0.25">
      <c r="A575" s="28"/>
      <c r="B575" s="45" t="str">
        <f t="shared" si="24"/>
        <v>Jun-2024</v>
      </c>
      <c r="C575" s="57">
        <v>45466</v>
      </c>
      <c r="D575" s="43">
        <f t="shared" si="25"/>
        <v>646</v>
      </c>
      <c r="E575" s="76">
        <v>84</v>
      </c>
      <c r="F575" s="50"/>
      <c r="G575" s="49"/>
      <c r="H575" s="73"/>
      <c r="I575" s="77"/>
      <c r="J575" s="73"/>
      <c r="K575" s="52"/>
      <c r="L575" s="51"/>
      <c r="M575" s="77"/>
      <c r="N575" s="76"/>
      <c r="O575" s="75"/>
      <c r="P575" s="74"/>
      <c r="Q575" s="74"/>
      <c r="R575" s="53">
        <f t="shared" si="26"/>
        <v>0</v>
      </c>
      <c r="S575" s="73"/>
    </row>
    <row r="576" spans="1:19" x14ac:dyDescent="0.25">
      <c r="A576" s="28"/>
      <c r="B576" s="45" t="str">
        <f t="shared" si="24"/>
        <v>Jun-2024</v>
      </c>
      <c r="C576" s="57">
        <v>45467</v>
      </c>
      <c r="D576" s="43">
        <f t="shared" si="25"/>
        <v>645</v>
      </c>
      <c r="E576" s="76">
        <v>81</v>
      </c>
      <c r="F576" s="50"/>
      <c r="G576" s="49"/>
      <c r="H576" s="73"/>
      <c r="I576" s="77"/>
      <c r="J576" s="73"/>
      <c r="K576" s="52"/>
      <c r="L576" s="51"/>
      <c r="M576" s="77"/>
      <c r="N576" s="76"/>
      <c r="O576" s="75"/>
      <c r="P576" s="74"/>
      <c r="Q576" s="74"/>
      <c r="R576" s="53">
        <f t="shared" si="26"/>
        <v>0</v>
      </c>
      <c r="S576" s="73"/>
    </row>
    <row r="577" spans="1:19" x14ac:dyDescent="0.25">
      <c r="A577" s="28"/>
      <c r="B577" s="45" t="str">
        <f t="shared" si="24"/>
        <v>Jun-2024</v>
      </c>
      <c r="C577" s="57">
        <v>45468</v>
      </c>
      <c r="D577" s="43">
        <f t="shared" si="25"/>
        <v>644</v>
      </c>
      <c r="E577" s="76">
        <v>79</v>
      </c>
      <c r="F577" s="50"/>
      <c r="G577" s="49"/>
      <c r="H577" s="73"/>
      <c r="I577" s="77"/>
      <c r="J577" s="73"/>
      <c r="K577" s="52"/>
      <c r="L577" s="51"/>
      <c r="M577" s="77"/>
      <c r="N577" s="76"/>
      <c r="O577" s="75"/>
      <c r="P577" s="74"/>
      <c r="Q577" s="74"/>
      <c r="R577" s="53">
        <f t="shared" si="26"/>
        <v>0</v>
      </c>
      <c r="S577" s="73"/>
    </row>
    <row r="578" spans="1:19" x14ac:dyDescent="0.25">
      <c r="A578" s="28"/>
      <c r="B578" s="45" t="str">
        <f t="shared" si="24"/>
        <v>Jun-2024</v>
      </c>
      <c r="C578" s="57">
        <v>45469</v>
      </c>
      <c r="D578" s="43">
        <f t="shared" si="25"/>
        <v>643</v>
      </c>
      <c r="E578" s="76">
        <v>102</v>
      </c>
      <c r="F578" s="50"/>
      <c r="G578" s="49"/>
      <c r="H578" s="73"/>
      <c r="I578" s="77"/>
      <c r="J578" s="73"/>
      <c r="K578" s="52"/>
      <c r="L578" s="51"/>
      <c r="M578" s="77"/>
      <c r="N578" s="76"/>
      <c r="O578" s="75"/>
      <c r="P578" s="74"/>
      <c r="Q578" s="74"/>
      <c r="R578" s="53">
        <f t="shared" si="26"/>
        <v>0</v>
      </c>
      <c r="S578" s="73"/>
    </row>
    <row r="579" spans="1:19" x14ac:dyDescent="0.25">
      <c r="A579" s="28"/>
      <c r="B579" s="45" t="str">
        <f t="shared" si="24"/>
        <v>Jun-2024</v>
      </c>
      <c r="C579" s="57">
        <v>45470</v>
      </c>
      <c r="D579" s="43">
        <f t="shared" si="25"/>
        <v>642</v>
      </c>
      <c r="E579" s="76">
        <v>88</v>
      </c>
      <c r="F579" s="50"/>
      <c r="G579" s="49"/>
      <c r="H579" s="73"/>
      <c r="I579" s="77"/>
      <c r="J579" s="73"/>
      <c r="K579" s="52"/>
      <c r="L579" s="51"/>
      <c r="M579" s="77"/>
      <c r="N579" s="76"/>
      <c r="O579" s="75"/>
      <c r="P579" s="74"/>
      <c r="Q579" s="74"/>
      <c r="R579" s="53">
        <f t="shared" si="26"/>
        <v>0</v>
      </c>
      <c r="S579" s="73"/>
    </row>
    <row r="580" spans="1:19" x14ac:dyDescent="0.25">
      <c r="A580" s="28"/>
      <c r="B580" s="45" t="str">
        <f t="shared" si="24"/>
        <v>Jun-2024</v>
      </c>
      <c r="C580" s="57">
        <v>45471</v>
      </c>
      <c r="D580" s="43">
        <f t="shared" si="25"/>
        <v>641</v>
      </c>
      <c r="E580" s="76">
        <v>76</v>
      </c>
      <c r="F580" s="50"/>
      <c r="G580" s="49"/>
      <c r="H580" s="73"/>
      <c r="I580" s="77"/>
      <c r="J580" s="73"/>
      <c r="K580" s="52"/>
      <c r="L580" s="51"/>
      <c r="M580" s="77"/>
      <c r="N580" s="76"/>
      <c r="O580" s="75"/>
      <c r="P580" s="74"/>
      <c r="Q580" s="74"/>
      <c r="R580" s="53">
        <f t="shared" si="26"/>
        <v>0</v>
      </c>
      <c r="S580" s="73"/>
    </row>
    <row r="581" spans="1:19" x14ac:dyDescent="0.25">
      <c r="A581" s="28"/>
      <c r="B581" s="45" t="str">
        <f t="shared" si="24"/>
        <v>Jun-2024</v>
      </c>
      <c r="C581" s="57">
        <v>45472</v>
      </c>
      <c r="D581" s="43">
        <f t="shared" si="25"/>
        <v>640</v>
      </c>
      <c r="E581" s="76">
        <v>87</v>
      </c>
      <c r="F581" s="50"/>
      <c r="G581" s="49"/>
      <c r="H581" s="73"/>
      <c r="I581" s="77"/>
      <c r="J581" s="73"/>
      <c r="K581" s="52"/>
      <c r="L581" s="51"/>
      <c r="M581" s="77"/>
      <c r="N581" s="76"/>
      <c r="O581" s="75"/>
      <c r="P581" s="74"/>
      <c r="Q581" s="74"/>
      <c r="R581" s="53">
        <f t="shared" si="26"/>
        <v>0</v>
      </c>
      <c r="S581" s="73"/>
    </row>
    <row r="582" spans="1:19" x14ac:dyDescent="0.25">
      <c r="A582" s="28"/>
      <c r="B582" s="45" t="str">
        <f t="shared" ref="B582:B646" si="27">TEXT(C582,"MMM-YYYY")</f>
        <v>Jun-2024</v>
      </c>
      <c r="C582" s="57">
        <v>45473</v>
      </c>
      <c r="D582" s="43">
        <f t="shared" ref="D582:D646" si="28">$A$1-C582</f>
        <v>639</v>
      </c>
      <c r="E582" s="76">
        <v>74</v>
      </c>
      <c r="F582" s="50"/>
      <c r="G582" s="49"/>
      <c r="H582" s="73"/>
      <c r="I582" s="77"/>
      <c r="J582" s="73"/>
      <c r="K582" s="52"/>
      <c r="L582" s="51"/>
      <c r="M582" s="77"/>
      <c r="N582" s="76"/>
      <c r="O582" s="75"/>
      <c r="P582" s="74"/>
      <c r="Q582" s="74"/>
      <c r="R582" s="53">
        <f t="shared" ref="R582:R646" si="29">G582*5%</f>
        <v>0</v>
      </c>
      <c r="S582" s="73"/>
    </row>
    <row r="583" spans="1:19" x14ac:dyDescent="0.25">
      <c r="A583" s="28"/>
      <c r="B583" s="45" t="str">
        <f t="shared" si="27"/>
        <v>Jul-2024</v>
      </c>
      <c r="C583" s="57">
        <v>45474</v>
      </c>
      <c r="D583" s="43">
        <f t="shared" si="28"/>
        <v>638</v>
      </c>
      <c r="E583" s="76">
        <v>58</v>
      </c>
      <c r="F583" s="50"/>
      <c r="G583" s="49"/>
      <c r="H583" s="73"/>
      <c r="I583" s="77"/>
      <c r="J583" s="73"/>
      <c r="K583" s="52"/>
      <c r="L583" s="51"/>
      <c r="M583" s="77"/>
      <c r="N583" s="76"/>
      <c r="O583" s="75"/>
      <c r="P583" s="74"/>
      <c r="Q583" s="74"/>
      <c r="R583" s="53">
        <f t="shared" si="29"/>
        <v>0</v>
      </c>
      <c r="S583" s="73"/>
    </row>
    <row r="584" spans="1:19" x14ac:dyDescent="0.25">
      <c r="A584" s="28"/>
      <c r="B584" s="45" t="str">
        <f t="shared" si="27"/>
        <v>Jul-2024</v>
      </c>
      <c r="C584" s="57">
        <v>45475</v>
      </c>
      <c r="D584" s="43">
        <f t="shared" si="28"/>
        <v>637</v>
      </c>
      <c r="E584" s="76">
        <v>107</v>
      </c>
      <c r="F584" s="50"/>
      <c r="G584" s="49"/>
      <c r="H584" s="73"/>
      <c r="I584" s="77"/>
      <c r="J584" s="73"/>
      <c r="K584" s="52"/>
      <c r="L584" s="51"/>
      <c r="M584" s="77"/>
      <c r="N584" s="76"/>
      <c r="O584" s="75"/>
      <c r="P584" s="74"/>
      <c r="Q584" s="74"/>
      <c r="R584" s="53">
        <f t="shared" si="29"/>
        <v>0</v>
      </c>
      <c r="S584" s="73"/>
    </row>
    <row r="585" spans="1:19" x14ac:dyDescent="0.25">
      <c r="A585" s="28"/>
      <c r="B585" s="45" t="str">
        <f t="shared" si="27"/>
        <v>Jul-2024</v>
      </c>
      <c r="C585" s="57">
        <v>45476</v>
      </c>
      <c r="D585" s="43">
        <f t="shared" si="28"/>
        <v>636</v>
      </c>
      <c r="E585" s="76">
        <v>82</v>
      </c>
      <c r="F585" s="50"/>
      <c r="G585" s="49"/>
      <c r="H585" s="73"/>
      <c r="I585" s="77"/>
      <c r="J585" s="73"/>
      <c r="K585" s="52"/>
      <c r="L585" s="51"/>
      <c r="M585" s="77"/>
      <c r="N585" s="76"/>
      <c r="O585" s="75"/>
      <c r="P585" s="74"/>
      <c r="Q585" s="74"/>
      <c r="R585" s="53">
        <f t="shared" si="29"/>
        <v>0</v>
      </c>
      <c r="S585" s="73"/>
    </row>
    <row r="586" spans="1:19" x14ac:dyDescent="0.25">
      <c r="A586" s="28"/>
      <c r="B586" s="45" t="str">
        <f t="shared" si="27"/>
        <v>Jul-2024</v>
      </c>
      <c r="C586" s="57">
        <v>45477</v>
      </c>
      <c r="D586" s="43">
        <f t="shared" si="28"/>
        <v>635</v>
      </c>
      <c r="E586" s="76">
        <v>63</v>
      </c>
      <c r="F586" s="50"/>
      <c r="G586" s="49"/>
      <c r="H586" s="73"/>
      <c r="I586" s="77"/>
      <c r="J586" s="73"/>
      <c r="K586" s="52"/>
      <c r="L586" s="51"/>
      <c r="M586" s="77"/>
      <c r="N586" s="76"/>
      <c r="O586" s="75"/>
      <c r="P586" s="74"/>
      <c r="Q586" s="74"/>
      <c r="R586" s="53">
        <f t="shared" si="29"/>
        <v>0</v>
      </c>
      <c r="S586" s="73"/>
    </row>
    <row r="587" spans="1:19" x14ac:dyDescent="0.25">
      <c r="A587" s="28"/>
      <c r="B587" s="45" t="str">
        <f t="shared" si="27"/>
        <v>Jul-2024</v>
      </c>
      <c r="C587" s="57">
        <v>45478</v>
      </c>
      <c r="D587" s="43">
        <f t="shared" si="28"/>
        <v>634</v>
      </c>
      <c r="E587" s="76">
        <v>77</v>
      </c>
      <c r="F587" s="50"/>
      <c r="G587" s="49"/>
      <c r="H587" s="73"/>
      <c r="I587" s="77"/>
      <c r="J587" s="73"/>
      <c r="K587" s="52"/>
      <c r="L587" s="51"/>
      <c r="M587" s="77"/>
      <c r="N587" s="76"/>
      <c r="O587" s="75"/>
      <c r="P587" s="74"/>
      <c r="Q587" s="74"/>
      <c r="R587" s="53">
        <f t="shared" si="29"/>
        <v>0</v>
      </c>
      <c r="S587" s="73"/>
    </row>
    <row r="588" spans="1:19" x14ac:dyDescent="0.25">
      <c r="A588" s="28"/>
      <c r="B588" s="45" t="str">
        <f t="shared" si="27"/>
        <v>Jul-2024</v>
      </c>
      <c r="C588" s="57">
        <v>45479</v>
      </c>
      <c r="D588" s="43">
        <f t="shared" si="28"/>
        <v>633</v>
      </c>
      <c r="E588" s="76">
        <v>76</v>
      </c>
      <c r="F588" s="50"/>
      <c r="G588" s="49"/>
      <c r="H588" s="73"/>
      <c r="I588" s="77"/>
      <c r="J588" s="73"/>
      <c r="K588" s="52"/>
      <c r="L588" s="51"/>
      <c r="M588" s="77"/>
      <c r="N588" s="76"/>
      <c r="O588" s="75"/>
      <c r="P588" s="74"/>
      <c r="Q588" s="74"/>
      <c r="R588" s="53">
        <f t="shared" si="29"/>
        <v>0</v>
      </c>
      <c r="S588" s="73"/>
    </row>
    <row r="589" spans="1:19" x14ac:dyDescent="0.25">
      <c r="A589" s="28"/>
      <c r="B589" s="45" t="str">
        <f t="shared" si="27"/>
        <v>Jul-2024</v>
      </c>
      <c r="C589" s="57">
        <v>45480</v>
      </c>
      <c r="D589" s="43">
        <f t="shared" si="28"/>
        <v>632</v>
      </c>
      <c r="E589" s="76">
        <v>65</v>
      </c>
      <c r="F589" s="50"/>
      <c r="G589" s="49"/>
      <c r="H589" s="73"/>
      <c r="I589" s="77"/>
      <c r="J589" s="73"/>
      <c r="K589" s="52"/>
      <c r="L589" s="51"/>
      <c r="M589" s="77"/>
      <c r="N589" s="76"/>
      <c r="O589" s="75"/>
      <c r="P589" s="74"/>
      <c r="Q589" s="74"/>
      <c r="R589" s="53">
        <f t="shared" si="29"/>
        <v>0</v>
      </c>
      <c r="S589" s="73"/>
    </row>
    <row r="590" spans="1:19" x14ac:dyDescent="0.25">
      <c r="A590" s="28"/>
      <c r="B590" s="45" t="str">
        <f t="shared" si="27"/>
        <v>Jul-2024</v>
      </c>
      <c r="C590" s="57">
        <v>45481</v>
      </c>
      <c r="D590" s="43">
        <f t="shared" si="28"/>
        <v>631</v>
      </c>
      <c r="E590" s="76">
        <v>125</v>
      </c>
      <c r="F590" s="50"/>
      <c r="G590" s="49"/>
      <c r="H590" s="73"/>
      <c r="I590" s="77"/>
      <c r="J590" s="73"/>
      <c r="K590" s="52"/>
      <c r="L590" s="51"/>
      <c r="M590" s="77"/>
      <c r="N590" s="76"/>
      <c r="O590" s="75"/>
      <c r="P590" s="74"/>
      <c r="Q590" s="74"/>
      <c r="R590" s="53">
        <f t="shared" si="29"/>
        <v>0</v>
      </c>
      <c r="S590" s="73"/>
    </row>
    <row r="591" spans="1:19" x14ac:dyDescent="0.25">
      <c r="A591" s="28"/>
      <c r="B591" s="45" t="str">
        <f t="shared" si="27"/>
        <v>Jul-2024</v>
      </c>
      <c r="C591" s="57">
        <v>45482</v>
      </c>
      <c r="D591" s="43">
        <f t="shared" si="28"/>
        <v>630</v>
      </c>
      <c r="E591" s="76">
        <v>85</v>
      </c>
      <c r="F591" s="50"/>
      <c r="G591" s="49"/>
      <c r="H591" s="73"/>
      <c r="I591" s="77"/>
      <c r="J591" s="73"/>
      <c r="K591" s="52"/>
      <c r="L591" s="51"/>
      <c r="M591" s="77"/>
      <c r="N591" s="76"/>
      <c r="O591" s="75"/>
      <c r="P591" s="74"/>
      <c r="Q591" s="74"/>
      <c r="R591" s="53">
        <f t="shared" si="29"/>
        <v>0</v>
      </c>
      <c r="S591" s="73"/>
    </row>
    <row r="592" spans="1:19" x14ac:dyDescent="0.25">
      <c r="A592" s="28"/>
      <c r="B592" s="45" t="str">
        <f t="shared" si="27"/>
        <v>Jul-2024</v>
      </c>
      <c r="C592" s="57">
        <v>45483</v>
      </c>
      <c r="D592" s="43">
        <f t="shared" si="28"/>
        <v>629</v>
      </c>
      <c r="E592" s="76">
        <v>86</v>
      </c>
      <c r="F592" s="50"/>
      <c r="G592" s="49"/>
      <c r="H592" s="73"/>
      <c r="I592" s="77"/>
      <c r="J592" s="73"/>
      <c r="K592" s="52"/>
      <c r="L592" s="51"/>
      <c r="M592" s="77"/>
      <c r="N592" s="76"/>
      <c r="O592" s="75"/>
      <c r="P592" s="74"/>
      <c r="Q592" s="74"/>
      <c r="R592" s="53">
        <f t="shared" si="29"/>
        <v>0</v>
      </c>
      <c r="S592" s="73"/>
    </row>
    <row r="593" spans="1:19" x14ac:dyDescent="0.25">
      <c r="A593" s="28"/>
      <c r="B593" s="45" t="str">
        <f t="shared" si="27"/>
        <v>Jul-2024</v>
      </c>
      <c r="C593" s="57">
        <v>45484</v>
      </c>
      <c r="D593" s="43">
        <f t="shared" si="28"/>
        <v>628</v>
      </c>
      <c r="E593" s="76">
        <v>72</v>
      </c>
      <c r="F593" s="50"/>
      <c r="G593" s="49"/>
      <c r="H593" s="73"/>
      <c r="I593" s="77"/>
      <c r="J593" s="73"/>
      <c r="K593" s="52"/>
      <c r="L593" s="51"/>
      <c r="M593" s="77"/>
      <c r="N593" s="76"/>
      <c r="O593" s="75"/>
      <c r="P593" s="74"/>
      <c r="Q593" s="74"/>
      <c r="R593" s="53">
        <f t="shared" si="29"/>
        <v>0</v>
      </c>
      <c r="S593" s="73"/>
    </row>
    <row r="594" spans="1:19" x14ac:dyDescent="0.25">
      <c r="A594" s="28"/>
      <c r="B594" s="45" t="str">
        <f t="shared" si="27"/>
        <v>Jul-2024</v>
      </c>
      <c r="C594" s="57">
        <v>45485</v>
      </c>
      <c r="D594" s="43">
        <f t="shared" si="28"/>
        <v>627</v>
      </c>
      <c r="E594" s="76">
        <v>87</v>
      </c>
      <c r="F594" s="50"/>
      <c r="G594" s="49"/>
      <c r="H594" s="73"/>
      <c r="I594" s="77"/>
      <c r="J594" s="73"/>
      <c r="K594" s="52"/>
      <c r="L594" s="51"/>
      <c r="M594" s="77"/>
      <c r="N594" s="76"/>
      <c r="O594" s="75"/>
      <c r="P594" s="74"/>
      <c r="Q594" s="74"/>
      <c r="R594" s="53">
        <f t="shared" si="29"/>
        <v>0</v>
      </c>
      <c r="S594" s="73"/>
    </row>
    <row r="595" spans="1:19" x14ac:dyDescent="0.25">
      <c r="A595" s="28"/>
      <c r="B595" s="45" t="str">
        <f t="shared" si="27"/>
        <v>Jul-2024</v>
      </c>
      <c r="C595" s="57">
        <v>45486</v>
      </c>
      <c r="D595" s="43">
        <f t="shared" si="28"/>
        <v>626</v>
      </c>
      <c r="E595" s="76">
        <v>75</v>
      </c>
      <c r="F595" s="50"/>
      <c r="G595" s="49"/>
      <c r="H595" s="73"/>
      <c r="I595" s="77"/>
      <c r="J595" s="73"/>
      <c r="K595" s="52"/>
      <c r="L595" s="51"/>
      <c r="M595" s="77"/>
      <c r="N595" s="76"/>
      <c r="O595" s="75"/>
      <c r="P595" s="74"/>
      <c r="Q595" s="74"/>
      <c r="R595" s="53">
        <f t="shared" si="29"/>
        <v>0</v>
      </c>
      <c r="S595" s="73"/>
    </row>
    <row r="596" spans="1:19" x14ac:dyDescent="0.25">
      <c r="A596" s="28"/>
      <c r="B596" s="45" t="str">
        <f t="shared" si="27"/>
        <v>Jul-2024</v>
      </c>
      <c r="C596" s="57">
        <v>45487</v>
      </c>
      <c r="D596" s="43">
        <f t="shared" si="28"/>
        <v>625</v>
      </c>
      <c r="E596" s="76">
        <v>64</v>
      </c>
      <c r="F596" s="50"/>
      <c r="G596" s="49"/>
      <c r="H596" s="73"/>
      <c r="I596" s="77"/>
      <c r="J596" s="73"/>
      <c r="K596" s="52"/>
      <c r="L596" s="51"/>
      <c r="M596" s="77"/>
      <c r="N596" s="76"/>
      <c r="O596" s="75"/>
      <c r="P596" s="74"/>
      <c r="Q596" s="74"/>
      <c r="R596" s="53">
        <f t="shared" si="29"/>
        <v>0</v>
      </c>
      <c r="S596" s="73"/>
    </row>
    <row r="597" spans="1:19" x14ac:dyDescent="0.25">
      <c r="A597" s="28"/>
      <c r="B597" s="45" t="str">
        <f t="shared" si="27"/>
        <v>Jul-2024</v>
      </c>
      <c r="C597" s="57">
        <v>45488</v>
      </c>
      <c r="D597" s="43">
        <f t="shared" si="28"/>
        <v>624</v>
      </c>
      <c r="E597" s="76">
        <v>41</v>
      </c>
      <c r="F597" s="50"/>
      <c r="G597" s="49"/>
      <c r="H597" s="73"/>
      <c r="I597" s="77"/>
      <c r="J597" s="73"/>
      <c r="K597" s="52"/>
      <c r="L597" s="51"/>
      <c r="M597" s="77"/>
      <c r="N597" s="76"/>
      <c r="O597" s="75"/>
      <c r="P597" s="74"/>
      <c r="Q597" s="74"/>
      <c r="R597" s="53">
        <f t="shared" si="29"/>
        <v>0</v>
      </c>
      <c r="S597" s="73"/>
    </row>
    <row r="598" spans="1:19" x14ac:dyDescent="0.25">
      <c r="A598" s="28"/>
      <c r="B598" s="45" t="str">
        <f t="shared" si="27"/>
        <v>Jul-2024</v>
      </c>
      <c r="C598" s="57">
        <v>45489</v>
      </c>
      <c r="D598" s="43">
        <f t="shared" si="28"/>
        <v>623</v>
      </c>
      <c r="E598" s="76">
        <v>66</v>
      </c>
      <c r="F598" s="50"/>
      <c r="G598" s="49"/>
      <c r="H598" s="73"/>
      <c r="I598" s="77"/>
      <c r="J598" s="73"/>
      <c r="K598" s="52"/>
      <c r="L598" s="51"/>
      <c r="M598" s="77"/>
      <c r="N598" s="76"/>
      <c r="O598" s="75"/>
      <c r="P598" s="74"/>
      <c r="Q598" s="74"/>
      <c r="R598" s="53">
        <f t="shared" si="29"/>
        <v>0</v>
      </c>
      <c r="S598" s="73"/>
    </row>
    <row r="599" spans="1:19" x14ac:dyDescent="0.25">
      <c r="A599" s="28"/>
      <c r="B599" s="45" t="str">
        <f t="shared" si="27"/>
        <v>Jul-2024</v>
      </c>
      <c r="C599" s="57">
        <v>45490</v>
      </c>
      <c r="D599" s="43">
        <f t="shared" si="28"/>
        <v>622</v>
      </c>
      <c r="E599" s="76">
        <v>81</v>
      </c>
      <c r="F599" s="50"/>
      <c r="G599" s="49"/>
      <c r="H599" s="73"/>
      <c r="I599" s="77"/>
      <c r="J599" s="73"/>
      <c r="K599" s="52"/>
      <c r="L599" s="51"/>
      <c r="M599" s="77"/>
      <c r="N599" s="76"/>
      <c r="O599" s="75"/>
      <c r="P599" s="74"/>
      <c r="Q599" s="74"/>
      <c r="R599" s="53">
        <f t="shared" si="29"/>
        <v>0</v>
      </c>
      <c r="S599" s="73"/>
    </row>
    <row r="600" spans="1:19" x14ac:dyDescent="0.25">
      <c r="A600" s="28"/>
      <c r="B600" s="45" t="str">
        <f t="shared" si="27"/>
        <v>Jul-2024</v>
      </c>
      <c r="C600" s="57">
        <v>45491</v>
      </c>
      <c r="D600" s="43">
        <f t="shared" si="28"/>
        <v>621</v>
      </c>
      <c r="E600" s="76">
        <v>83</v>
      </c>
      <c r="F600" s="50"/>
      <c r="G600" s="49"/>
      <c r="H600" s="73"/>
      <c r="I600" s="77"/>
      <c r="J600" s="73"/>
      <c r="K600" s="52"/>
      <c r="L600" s="51"/>
      <c r="M600" s="77"/>
      <c r="N600" s="76"/>
      <c r="O600" s="75"/>
      <c r="P600" s="74"/>
      <c r="Q600" s="74"/>
      <c r="R600" s="53">
        <f t="shared" si="29"/>
        <v>0</v>
      </c>
      <c r="S600" s="73"/>
    </row>
    <row r="601" spans="1:19" x14ac:dyDescent="0.25">
      <c r="A601" s="28"/>
      <c r="B601" s="45" t="str">
        <f t="shared" si="27"/>
        <v>Jul-2024</v>
      </c>
      <c r="C601" s="57">
        <v>45492</v>
      </c>
      <c r="D601" s="43">
        <f t="shared" si="28"/>
        <v>620</v>
      </c>
      <c r="E601" s="76">
        <v>59</v>
      </c>
      <c r="F601" s="50"/>
      <c r="G601" s="49"/>
      <c r="H601" s="73"/>
      <c r="I601" s="77"/>
      <c r="J601" s="73"/>
      <c r="K601" s="52"/>
      <c r="L601" s="51"/>
      <c r="M601" s="77"/>
      <c r="N601" s="76"/>
      <c r="O601" s="75"/>
      <c r="P601" s="74"/>
      <c r="Q601" s="74"/>
      <c r="R601" s="53">
        <f t="shared" si="29"/>
        <v>0</v>
      </c>
      <c r="S601" s="73"/>
    </row>
    <row r="602" spans="1:19" x14ac:dyDescent="0.25">
      <c r="A602" s="28"/>
      <c r="B602" s="45" t="str">
        <f t="shared" si="27"/>
        <v>Jul-2024</v>
      </c>
      <c r="C602" s="57">
        <v>45493</v>
      </c>
      <c r="D602" s="43">
        <f t="shared" si="28"/>
        <v>619</v>
      </c>
      <c r="E602" s="76">
        <v>64</v>
      </c>
      <c r="F602" s="50"/>
      <c r="G602" s="49"/>
      <c r="H602" s="73"/>
      <c r="I602" s="77"/>
      <c r="J602" s="73"/>
      <c r="K602" s="52"/>
      <c r="L602" s="51"/>
      <c r="M602" s="77"/>
      <c r="N602" s="76"/>
      <c r="O602" s="75"/>
      <c r="P602" s="74"/>
      <c r="Q602" s="74"/>
      <c r="R602" s="53">
        <f t="shared" si="29"/>
        <v>0</v>
      </c>
      <c r="S602" s="73"/>
    </row>
    <row r="603" spans="1:19" x14ac:dyDescent="0.25">
      <c r="A603" s="28"/>
      <c r="B603" s="45" t="str">
        <f t="shared" si="27"/>
        <v>Jul-2024</v>
      </c>
      <c r="C603" s="57">
        <v>45494</v>
      </c>
      <c r="D603" s="43">
        <f t="shared" si="28"/>
        <v>618</v>
      </c>
      <c r="E603" s="76">
        <v>73</v>
      </c>
      <c r="F603" s="50"/>
      <c r="G603" s="49"/>
      <c r="H603" s="73"/>
      <c r="I603" s="77"/>
      <c r="J603" s="73"/>
      <c r="K603" s="52"/>
      <c r="L603" s="51"/>
      <c r="M603" s="77"/>
      <c r="N603" s="76"/>
      <c r="O603" s="75"/>
      <c r="P603" s="74"/>
      <c r="Q603" s="74"/>
      <c r="R603" s="53">
        <f t="shared" si="29"/>
        <v>0</v>
      </c>
      <c r="S603" s="73"/>
    </row>
    <row r="604" spans="1:19" x14ac:dyDescent="0.25">
      <c r="A604" s="28"/>
      <c r="B604" s="45" t="str">
        <f t="shared" si="27"/>
        <v>Jul-2024</v>
      </c>
      <c r="C604" s="57">
        <v>45495</v>
      </c>
      <c r="D604" s="43">
        <f t="shared" si="28"/>
        <v>617</v>
      </c>
      <c r="E604" s="76">
        <v>65</v>
      </c>
      <c r="F604" s="50"/>
      <c r="G604" s="49"/>
      <c r="H604" s="73"/>
      <c r="I604" s="77"/>
      <c r="J604" s="73"/>
      <c r="K604" s="52"/>
      <c r="L604" s="51"/>
      <c r="M604" s="77"/>
      <c r="N604" s="76"/>
      <c r="O604" s="75"/>
      <c r="P604" s="74"/>
      <c r="Q604" s="74"/>
      <c r="R604" s="53">
        <f t="shared" si="29"/>
        <v>0</v>
      </c>
      <c r="S604" s="73"/>
    </row>
    <row r="605" spans="1:19" x14ac:dyDescent="0.25">
      <c r="A605" s="28"/>
      <c r="B605" s="45" t="str">
        <f t="shared" si="27"/>
        <v>Jul-2024</v>
      </c>
      <c r="C605" s="57">
        <v>45496</v>
      </c>
      <c r="D605" s="43">
        <f t="shared" si="28"/>
        <v>616</v>
      </c>
      <c r="E605" s="76">
        <v>87</v>
      </c>
      <c r="F605" s="50"/>
      <c r="G605" s="49"/>
      <c r="H605" s="73"/>
      <c r="I605" s="77"/>
      <c r="J605" s="73"/>
      <c r="K605" s="52"/>
      <c r="L605" s="51"/>
      <c r="M605" s="77"/>
      <c r="N605" s="76"/>
      <c r="O605" s="75"/>
      <c r="P605" s="74"/>
      <c r="Q605" s="74"/>
      <c r="R605" s="53">
        <f t="shared" si="29"/>
        <v>0</v>
      </c>
      <c r="S605" s="73"/>
    </row>
    <row r="606" spans="1:19" x14ac:dyDescent="0.25">
      <c r="A606" s="28"/>
      <c r="B606" s="45" t="str">
        <f t="shared" si="27"/>
        <v>Jul-2024</v>
      </c>
      <c r="C606" s="57">
        <v>45497</v>
      </c>
      <c r="D606" s="43">
        <f t="shared" si="28"/>
        <v>615</v>
      </c>
      <c r="E606" s="76">
        <v>77</v>
      </c>
      <c r="F606" s="50"/>
      <c r="G606" s="49"/>
      <c r="H606" s="73"/>
      <c r="I606" s="77"/>
      <c r="J606" s="73"/>
      <c r="K606" s="52"/>
      <c r="L606" s="51"/>
      <c r="M606" s="77"/>
      <c r="N606" s="76"/>
      <c r="O606" s="75"/>
      <c r="P606" s="74"/>
      <c r="Q606" s="74"/>
      <c r="R606" s="53">
        <f t="shared" si="29"/>
        <v>0</v>
      </c>
      <c r="S606" s="73"/>
    </row>
    <row r="607" spans="1:19" x14ac:dyDescent="0.25">
      <c r="A607" s="28"/>
      <c r="B607" s="45" t="str">
        <f t="shared" si="27"/>
        <v>Jul-2024</v>
      </c>
      <c r="C607" s="57">
        <v>45498</v>
      </c>
      <c r="D607" s="43">
        <f t="shared" si="28"/>
        <v>614</v>
      </c>
      <c r="E607" s="76">
        <v>73</v>
      </c>
      <c r="F607" s="50"/>
      <c r="G607" s="49"/>
      <c r="H607" s="73"/>
      <c r="I607" s="77"/>
      <c r="J607" s="73"/>
      <c r="K607" s="52"/>
      <c r="L607" s="51"/>
      <c r="M607" s="77"/>
      <c r="N607" s="76"/>
      <c r="O607" s="75"/>
      <c r="P607" s="74"/>
      <c r="Q607" s="74"/>
      <c r="R607" s="53">
        <f t="shared" si="29"/>
        <v>0</v>
      </c>
      <c r="S607" s="73"/>
    </row>
    <row r="608" spans="1:19" x14ac:dyDescent="0.25">
      <c r="A608" s="28"/>
      <c r="B608" s="45" t="str">
        <f t="shared" si="27"/>
        <v>Jul-2024</v>
      </c>
      <c r="C608" s="57">
        <v>45499</v>
      </c>
      <c r="D608" s="43">
        <f t="shared" si="28"/>
        <v>613</v>
      </c>
      <c r="E608" s="76">
        <v>91</v>
      </c>
      <c r="F608" s="50"/>
      <c r="G608" s="49"/>
      <c r="H608" s="73"/>
      <c r="I608" s="77"/>
      <c r="J608" s="73"/>
      <c r="K608" s="52"/>
      <c r="L608" s="51"/>
      <c r="M608" s="77"/>
      <c r="N608" s="76"/>
      <c r="O608" s="75"/>
      <c r="P608" s="74"/>
      <c r="Q608" s="74"/>
      <c r="R608" s="53">
        <f t="shared" si="29"/>
        <v>0</v>
      </c>
      <c r="S608" s="73"/>
    </row>
    <row r="609" spans="1:19" x14ac:dyDescent="0.25">
      <c r="A609" s="28"/>
      <c r="B609" s="45" t="str">
        <f t="shared" si="27"/>
        <v>Jul-2024</v>
      </c>
      <c r="C609" s="57">
        <v>45500</v>
      </c>
      <c r="D609" s="43">
        <f t="shared" si="28"/>
        <v>612</v>
      </c>
      <c r="E609" s="76">
        <v>79</v>
      </c>
      <c r="F609" s="50">
        <v>360</v>
      </c>
      <c r="G609" s="49">
        <v>195125</v>
      </c>
      <c r="H609" s="73">
        <v>360</v>
      </c>
      <c r="I609" s="77">
        <v>360</v>
      </c>
      <c r="J609" s="73">
        <v>93865.900000000038</v>
      </c>
      <c r="K609" s="52"/>
      <c r="L609" s="51"/>
      <c r="M609" s="77">
        <v>281</v>
      </c>
      <c r="N609" s="76">
        <v>115344.06</v>
      </c>
      <c r="O609" s="75">
        <v>251</v>
      </c>
      <c r="P609" s="74">
        <v>14084.959999999997</v>
      </c>
      <c r="Q609" s="74">
        <v>968.46000000000015</v>
      </c>
      <c r="R609" s="53">
        <f t="shared" si="29"/>
        <v>9756.25</v>
      </c>
      <c r="S609" s="73">
        <v>93865.900000000052</v>
      </c>
    </row>
    <row r="610" spans="1:19" x14ac:dyDescent="0.25">
      <c r="A610" s="28"/>
      <c r="B610" s="45" t="str">
        <f t="shared" si="27"/>
        <v>Jul-2024</v>
      </c>
      <c r="C610" s="57">
        <v>45501</v>
      </c>
      <c r="D610" s="43">
        <f t="shared" si="28"/>
        <v>611</v>
      </c>
      <c r="E610" s="76">
        <v>114</v>
      </c>
      <c r="F610" s="50">
        <v>670</v>
      </c>
      <c r="G610" s="49">
        <v>344138</v>
      </c>
      <c r="H610" s="73">
        <v>665</v>
      </c>
      <c r="I610" s="77">
        <v>670</v>
      </c>
      <c r="J610" s="73">
        <v>192674.70999999996</v>
      </c>
      <c r="K610" s="52">
        <v>16</v>
      </c>
      <c r="L610" s="51">
        <v>2185.4299999999998</v>
      </c>
      <c r="M610" s="77">
        <v>511</v>
      </c>
      <c r="N610" s="76">
        <v>180691.76</v>
      </c>
      <c r="O610" s="75">
        <v>454</v>
      </c>
      <c r="P610" s="74">
        <v>29228.469999999965</v>
      </c>
      <c r="Q610" s="74">
        <v>2379.1300000000006</v>
      </c>
      <c r="R610" s="53">
        <f t="shared" si="29"/>
        <v>17206.900000000001</v>
      </c>
      <c r="S610" s="73">
        <v>192674.70999999996</v>
      </c>
    </row>
    <row r="611" spans="1:19" x14ac:dyDescent="0.25">
      <c r="A611" s="28"/>
      <c r="B611" s="45" t="str">
        <f t="shared" si="27"/>
        <v>Jul-2024</v>
      </c>
      <c r="C611" s="57">
        <v>45502</v>
      </c>
      <c r="D611" s="43">
        <f t="shared" si="28"/>
        <v>610</v>
      </c>
      <c r="E611" s="76">
        <v>108</v>
      </c>
      <c r="F611" s="50">
        <v>616</v>
      </c>
      <c r="G611" s="49">
        <v>294919</v>
      </c>
      <c r="H611" s="73">
        <v>612</v>
      </c>
      <c r="I611" s="77">
        <v>616</v>
      </c>
      <c r="J611" s="73">
        <v>179405.68999999997</v>
      </c>
      <c r="K611" s="52">
        <v>14</v>
      </c>
      <c r="L611" s="51">
        <v>2024.3999999999999</v>
      </c>
      <c r="M611" s="77">
        <v>374</v>
      </c>
      <c r="N611" s="76">
        <v>142279.62</v>
      </c>
      <c r="O611" s="75">
        <v>331</v>
      </c>
      <c r="P611" s="74">
        <v>26766.309999999994</v>
      </c>
      <c r="Q611" s="74">
        <v>1674.3100000000004</v>
      </c>
      <c r="R611" s="53">
        <f t="shared" si="29"/>
        <v>14745.95</v>
      </c>
      <c r="S611" s="73">
        <v>179405.69</v>
      </c>
    </row>
    <row r="612" spans="1:19" x14ac:dyDescent="0.25">
      <c r="A612" s="28"/>
      <c r="B612" s="45" t="str">
        <f t="shared" si="27"/>
        <v>Jul-2024</v>
      </c>
      <c r="C612" s="57">
        <v>45503</v>
      </c>
      <c r="D612" s="43">
        <f t="shared" si="28"/>
        <v>609</v>
      </c>
      <c r="E612" s="76">
        <v>220</v>
      </c>
      <c r="F612" s="50">
        <v>1441</v>
      </c>
      <c r="G612" s="49">
        <v>894096</v>
      </c>
      <c r="H612" s="73">
        <v>1434</v>
      </c>
      <c r="I612" s="77">
        <v>1441</v>
      </c>
      <c r="J612" s="73">
        <v>410592.49000000011</v>
      </c>
      <c r="K612" s="52">
        <v>23</v>
      </c>
      <c r="L612" s="51">
        <v>6053.08</v>
      </c>
      <c r="M612" s="77">
        <v>1187</v>
      </c>
      <c r="N612" s="76">
        <v>545202.84</v>
      </c>
      <c r="O612" s="75">
        <v>1082</v>
      </c>
      <c r="P612" s="74">
        <v>61699.330000000009</v>
      </c>
      <c r="Q612" s="74">
        <v>4859.8499999999958</v>
      </c>
      <c r="R612" s="53">
        <f t="shared" si="29"/>
        <v>44704.800000000003</v>
      </c>
      <c r="S612" s="73">
        <v>410592.49000000017</v>
      </c>
    </row>
    <row r="613" spans="1:19" x14ac:dyDescent="0.25">
      <c r="A613" s="28"/>
      <c r="B613" s="45" t="str">
        <f t="shared" si="27"/>
        <v>Jul-2024</v>
      </c>
      <c r="C613" s="57">
        <v>45504</v>
      </c>
      <c r="D613" s="43">
        <f t="shared" si="28"/>
        <v>608</v>
      </c>
      <c r="E613" s="76">
        <v>173</v>
      </c>
      <c r="F613" s="50">
        <v>541</v>
      </c>
      <c r="G613" s="49">
        <v>230434</v>
      </c>
      <c r="H613" s="73">
        <v>538</v>
      </c>
      <c r="I613" s="77">
        <v>541</v>
      </c>
      <c r="J613" s="73">
        <v>139573.79000000004</v>
      </c>
      <c r="K613" s="52">
        <v>16</v>
      </c>
      <c r="L613" s="51">
        <v>4530.75</v>
      </c>
      <c r="M613" s="77">
        <v>334</v>
      </c>
      <c r="N613" s="76">
        <v>111555.49</v>
      </c>
      <c r="O613" s="75">
        <v>310</v>
      </c>
      <c r="P613" s="74">
        <v>20695.279999999977</v>
      </c>
      <c r="Q613" s="74">
        <v>1167.5200000000002</v>
      </c>
      <c r="R613" s="53">
        <f t="shared" si="29"/>
        <v>11521.7</v>
      </c>
      <c r="S613" s="73">
        <v>139573.78999999998</v>
      </c>
    </row>
    <row r="614" spans="1:19" x14ac:dyDescent="0.25">
      <c r="A614" s="28"/>
      <c r="B614" s="45" t="str">
        <f t="shared" si="27"/>
        <v>Aug-2024</v>
      </c>
      <c r="C614" s="57">
        <v>45505</v>
      </c>
      <c r="D614" s="43">
        <f t="shared" si="28"/>
        <v>607</v>
      </c>
      <c r="E614" s="76">
        <v>187</v>
      </c>
      <c r="F614" s="50">
        <v>846</v>
      </c>
      <c r="G614" s="49">
        <v>446164</v>
      </c>
      <c r="H614" s="73">
        <v>844</v>
      </c>
      <c r="I614" s="77">
        <v>846</v>
      </c>
      <c r="J614" s="73">
        <v>226150.07999999993</v>
      </c>
      <c r="K614" s="52">
        <v>16</v>
      </c>
      <c r="L614" s="51">
        <v>5906.73</v>
      </c>
      <c r="M614" s="77">
        <v>640</v>
      </c>
      <c r="N614" s="76">
        <v>254111.07</v>
      </c>
      <c r="O614" s="75">
        <v>586</v>
      </c>
      <c r="P614" s="74">
        <v>34097.150000000103</v>
      </c>
      <c r="Q614" s="74">
        <v>2724.8599999999997</v>
      </c>
      <c r="R614" s="53">
        <f t="shared" si="29"/>
        <v>22308.2</v>
      </c>
      <c r="S614" s="73">
        <v>226150.0799999999</v>
      </c>
    </row>
    <row r="615" spans="1:19" x14ac:dyDescent="0.25">
      <c r="A615" s="28"/>
      <c r="B615" s="45" t="str">
        <f t="shared" si="27"/>
        <v>Aug-2024</v>
      </c>
      <c r="C615" s="57">
        <v>45506</v>
      </c>
      <c r="D615" s="43">
        <f t="shared" si="28"/>
        <v>606</v>
      </c>
      <c r="E615" s="76">
        <v>109</v>
      </c>
      <c r="F615" s="50">
        <v>432</v>
      </c>
      <c r="G615" s="49">
        <v>202492</v>
      </c>
      <c r="H615" s="73">
        <v>431</v>
      </c>
      <c r="I615" s="77">
        <v>432</v>
      </c>
      <c r="J615" s="73">
        <v>128021.40000000002</v>
      </c>
      <c r="K615" s="52">
        <v>11</v>
      </c>
      <c r="L615" s="51">
        <v>2516.41</v>
      </c>
      <c r="M615" s="77">
        <v>255</v>
      </c>
      <c r="N615" s="76">
        <v>93571.35</v>
      </c>
      <c r="O615" s="75">
        <v>229</v>
      </c>
      <c r="P615" s="74">
        <v>19100.750000000022</v>
      </c>
      <c r="Q615" s="74">
        <v>1399.1899999999998</v>
      </c>
      <c r="R615" s="53">
        <f t="shared" si="29"/>
        <v>10124.6</v>
      </c>
      <c r="S615" s="73">
        <v>128021.40000000002</v>
      </c>
    </row>
    <row r="616" spans="1:19" x14ac:dyDescent="0.25">
      <c r="A616" s="28"/>
      <c r="B616" s="45" t="str">
        <f t="shared" si="27"/>
        <v>Aug-2024</v>
      </c>
      <c r="C616" s="57">
        <v>45507</v>
      </c>
      <c r="D616" s="43">
        <f t="shared" si="28"/>
        <v>605</v>
      </c>
      <c r="E616" s="76">
        <v>100</v>
      </c>
      <c r="F616" s="50">
        <v>403</v>
      </c>
      <c r="G616" s="49">
        <v>161410</v>
      </c>
      <c r="H616" s="73">
        <v>395</v>
      </c>
      <c r="I616" s="77">
        <v>403</v>
      </c>
      <c r="J616" s="73">
        <v>101413.53</v>
      </c>
      <c r="K616" s="52">
        <v>21</v>
      </c>
      <c r="L616" s="51">
        <v>4845.1799999999994</v>
      </c>
      <c r="M616" s="77">
        <v>250</v>
      </c>
      <c r="N616" s="76">
        <v>74988.11</v>
      </c>
      <c r="O616" s="75">
        <v>231</v>
      </c>
      <c r="P616" s="74">
        <v>14991.640000000021</v>
      </c>
      <c r="Q616" s="74">
        <v>844.98999999999978</v>
      </c>
      <c r="R616" s="53">
        <f t="shared" si="29"/>
        <v>8070.5</v>
      </c>
      <c r="S616" s="73">
        <v>101413.53</v>
      </c>
    </row>
    <row r="617" spans="1:19" x14ac:dyDescent="0.25">
      <c r="A617" s="28"/>
      <c r="B617" s="45" t="str">
        <f t="shared" si="27"/>
        <v>Aug-2024</v>
      </c>
      <c r="C617" s="57">
        <v>45508</v>
      </c>
      <c r="D617" s="43">
        <f t="shared" si="28"/>
        <v>604</v>
      </c>
      <c r="E617" s="76">
        <v>90</v>
      </c>
      <c r="F617" s="50">
        <v>394</v>
      </c>
      <c r="G617" s="49">
        <v>176559</v>
      </c>
      <c r="H617" s="73">
        <v>389</v>
      </c>
      <c r="I617" s="77">
        <v>394</v>
      </c>
      <c r="J617" s="73">
        <v>113487.71</v>
      </c>
      <c r="K617" s="52">
        <v>11</v>
      </c>
      <c r="L617" s="51">
        <v>2530.52</v>
      </c>
      <c r="M617" s="77">
        <v>251</v>
      </c>
      <c r="N617" s="76">
        <v>79494.16</v>
      </c>
      <c r="O617" s="75">
        <v>235</v>
      </c>
      <c r="P617" s="74">
        <v>16422.870000000006</v>
      </c>
      <c r="Q617" s="74">
        <v>857.35000000000014</v>
      </c>
      <c r="R617" s="53">
        <f t="shared" si="29"/>
        <v>8827.9500000000007</v>
      </c>
      <c r="S617" s="73">
        <v>113487.71</v>
      </c>
    </row>
    <row r="618" spans="1:19" x14ac:dyDescent="0.25">
      <c r="A618" s="28"/>
      <c r="B618" s="45" t="str">
        <f t="shared" si="27"/>
        <v>Aug-2024</v>
      </c>
      <c r="C618" s="57">
        <v>45509</v>
      </c>
      <c r="D618" s="43">
        <f t="shared" si="28"/>
        <v>603</v>
      </c>
      <c r="E618" s="76">
        <v>72</v>
      </c>
      <c r="F618" s="50">
        <v>279</v>
      </c>
      <c r="G618" s="49">
        <v>118236</v>
      </c>
      <c r="H618" s="73">
        <v>279</v>
      </c>
      <c r="I618" s="77">
        <v>279</v>
      </c>
      <c r="J618" s="73">
        <v>69861.10000000002</v>
      </c>
      <c r="K618" s="52">
        <v>4</v>
      </c>
      <c r="L618" s="51">
        <v>650.14</v>
      </c>
      <c r="M618" s="77">
        <v>194</v>
      </c>
      <c r="N618" s="76">
        <v>58566.85</v>
      </c>
      <c r="O618" s="75">
        <v>163</v>
      </c>
      <c r="P618" s="74">
        <v>10191.95000000003</v>
      </c>
      <c r="Q618" s="74">
        <v>573.23000000000025</v>
      </c>
      <c r="R618" s="53">
        <f t="shared" si="29"/>
        <v>5911.8</v>
      </c>
      <c r="S618" s="73">
        <v>69861.10000000002</v>
      </c>
    </row>
    <row r="619" spans="1:19" x14ac:dyDescent="0.25">
      <c r="A619" s="28"/>
      <c r="B619" s="45" t="str">
        <f t="shared" si="27"/>
        <v>Aug-2024</v>
      </c>
      <c r="C619" s="57">
        <v>45510</v>
      </c>
      <c r="D619" s="43">
        <f t="shared" si="28"/>
        <v>602</v>
      </c>
      <c r="E619" s="76">
        <v>80</v>
      </c>
      <c r="F619" s="50">
        <v>312</v>
      </c>
      <c r="G619" s="49">
        <v>126852</v>
      </c>
      <c r="H619" s="73">
        <v>312</v>
      </c>
      <c r="I619" s="77">
        <v>312</v>
      </c>
      <c r="J619" s="73">
        <v>89460.409999999989</v>
      </c>
      <c r="K619" s="52">
        <v>13</v>
      </c>
      <c r="L619" s="51">
        <v>1115.08</v>
      </c>
      <c r="M619" s="77">
        <v>191</v>
      </c>
      <c r="N619" s="76">
        <v>50221.7</v>
      </c>
      <c r="O619" s="75">
        <v>165</v>
      </c>
      <c r="P619" s="74">
        <v>12830.11</v>
      </c>
      <c r="Q619" s="74">
        <v>464.4199999999999</v>
      </c>
      <c r="R619" s="53">
        <f t="shared" si="29"/>
        <v>6342.6</v>
      </c>
      <c r="S619" s="73">
        <v>89460.409999999989</v>
      </c>
    </row>
    <row r="620" spans="1:19" x14ac:dyDescent="0.25">
      <c r="A620" s="28"/>
      <c r="B620" s="45" t="str">
        <f t="shared" si="27"/>
        <v>Aug-2024</v>
      </c>
      <c r="C620" s="57">
        <v>45511</v>
      </c>
      <c r="D620" s="43">
        <f t="shared" si="28"/>
        <v>601</v>
      </c>
      <c r="E620" s="76">
        <v>86</v>
      </c>
      <c r="F620" s="50">
        <v>318</v>
      </c>
      <c r="G620" s="49">
        <v>125892</v>
      </c>
      <c r="H620" s="73">
        <v>314</v>
      </c>
      <c r="I620" s="77">
        <v>318</v>
      </c>
      <c r="J620" s="73">
        <v>73850.2</v>
      </c>
      <c r="K620" s="52">
        <v>12</v>
      </c>
      <c r="L620" s="51">
        <v>2141.92</v>
      </c>
      <c r="M620" s="77">
        <v>177</v>
      </c>
      <c r="N620" s="76">
        <v>62825.599999999999</v>
      </c>
      <c r="O620" s="75">
        <v>159</v>
      </c>
      <c r="P620" s="74">
        <v>10783.799999999983</v>
      </c>
      <c r="Q620" s="74">
        <v>519.15999999999985</v>
      </c>
      <c r="R620" s="53">
        <f t="shared" si="29"/>
        <v>6294.6</v>
      </c>
      <c r="S620" s="73">
        <v>73850.199999999983</v>
      </c>
    </row>
    <row r="621" spans="1:19" x14ac:dyDescent="0.25">
      <c r="A621" s="28"/>
      <c r="B621" s="45" t="str">
        <f t="shared" si="27"/>
        <v>Aug-2024</v>
      </c>
      <c r="C621" s="57">
        <v>45512</v>
      </c>
      <c r="D621" s="43">
        <f t="shared" si="28"/>
        <v>600</v>
      </c>
      <c r="E621" s="76">
        <v>96</v>
      </c>
      <c r="F621" s="50">
        <v>252</v>
      </c>
      <c r="G621" s="49">
        <v>73259</v>
      </c>
      <c r="H621" s="73">
        <v>249</v>
      </c>
      <c r="I621" s="77">
        <v>252</v>
      </c>
      <c r="J621" s="73">
        <v>51771.289999999979</v>
      </c>
      <c r="K621" s="52">
        <v>17</v>
      </c>
      <c r="L621" s="51">
        <v>1170.0999999999999</v>
      </c>
      <c r="M621" s="77">
        <v>160</v>
      </c>
      <c r="N621" s="76">
        <v>29139.21</v>
      </c>
      <c r="O621" s="75">
        <v>137</v>
      </c>
      <c r="P621" s="74">
        <v>7651.5000000000136</v>
      </c>
      <c r="Q621" s="74">
        <v>454.94</v>
      </c>
      <c r="R621" s="53">
        <f t="shared" si="29"/>
        <v>3662.9500000000003</v>
      </c>
      <c r="S621" s="73">
        <v>51771.289999999986</v>
      </c>
    </row>
    <row r="622" spans="1:19" x14ac:dyDescent="0.25">
      <c r="A622" s="28"/>
      <c r="B622" s="45" t="str">
        <f t="shared" si="27"/>
        <v>Aug-2024</v>
      </c>
      <c r="C622" s="57">
        <v>45513</v>
      </c>
      <c r="D622" s="43">
        <f t="shared" si="28"/>
        <v>599</v>
      </c>
      <c r="E622" s="76">
        <v>224</v>
      </c>
      <c r="F622" s="50">
        <v>308</v>
      </c>
      <c r="G622" s="49">
        <v>88089</v>
      </c>
      <c r="H622" s="73">
        <v>306</v>
      </c>
      <c r="I622" s="77">
        <v>308</v>
      </c>
      <c r="J622" s="73">
        <v>68139.81</v>
      </c>
      <c r="K622" s="52">
        <v>6</v>
      </c>
      <c r="L622" s="51">
        <v>750.16</v>
      </c>
      <c r="M622" s="77">
        <v>153</v>
      </c>
      <c r="N622" s="76">
        <v>29711.75</v>
      </c>
      <c r="O622" s="75">
        <v>139</v>
      </c>
      <c r="P622" s="74">
        <v>9762.5600000000068</v>
      </c>
      <c r="Q622" s="74">
        <v>297.40000000000003</v>
      </c>
      <c r="R622" s="53">
        <f t="shared" si="29"/>
        <v>4404.45</v>
      </c>
      <c r="S622" s="73">
        <v>68139.81</v>
      </c>
    </row>
    <row r="623" spans="1:19" x14ac:dyDescent="0.25">
      <c r="A623" s="28"/>
      <c r="B623" s="45" t="str">
        <f t="shared" si="27"/>
        <v>Aug-2024</v>
      </c>
      <c r="C623" s="57">
        <v>45514</v>
      </c>
      <c r="D623" s="43">
        <f t="shared" si="28"/>
        <v>598</v>
      </c>
      <c r="E623" s="76">
        <v>161</v>
      </c>
      <c r="F623" s="50">
        <v>300</v>
      </c>
      <c r="G623" s="49">
        <v>73220</v>
      </c>
      <c r="H623" s="73">
        <v>297</v>
      </c>
      <c r="I623" s="77">
        <v>300</v>
      </c>
      <c r="J623" s="73">
        <v>55529.549999999996</v>
      </c>
      <c r="K623" s="52">
        <v>12</v>
      </c>
      <c r="L623" s="51">
        <v>1594.2800000000002</v>
      </c>
      <c r="M623" s="77">
        <v>129</v>
      </c>
      <c r="N623" s="76">
        <v>25725.77</v>
      </c>
      <c r="O623" s="75">
        <v>117</v>
      </c>
      <c r="P623" s="74">
        <v>8035.32</v>
      </c>
      <c r="Q623" s="74">
        <v>205.85999999999999</v>
      </c>
      <c r="R623" s="53">
        <f t="shared" si="29"/>
        <v>3661</v>
      </c>
      <c r="S623" s="73">
        <v>55529.55</v>
      </c>
    </row>
    <row r="624" spans="1:19" x14ac:dyDescent="0.25">
      <c r="A624" s="28"/>
      <c r="B624" s="45" t="str">
        <f t="shared" si="27"/>
        <v>Aug-2024</v>
      </c>
      <c r="C624" s="57">
        <v>45515</v>
      </c>
      <c r="D624" s="43">
        <f t="shared" si="28"/>
        <v>597</v>
      </c>
      <c r="E624" s="76">
        <v>136</v>
      </c>
      <c r="F624" s="50">
        <v>259</v>
      </c>
      <c r="G624" s="49">
        <v>71620</v>
      </c>
      <c r="H624" s="73">
        <v>259</v>
      </c>
      <c r="I624" s="77">
        <v>259</v>
      </c>
      <c r="J624" s="73">
        <v>48288.59000000004</v>
      </c>
      <c r="K624" s="52">
        <v>4</v>
      </c>
      <c r="L624" s="51">
        <v>120.02</v>
      </c>
      <c r="M624" s="77">
        <v>146</v>
      </c>
      <c r="N624" s="76">
        <v>30302.63</v>
      </c>
      <c r="O624" s="75">
        <v>132</v>
      </c>
      <c r="P624" s="74">
        <v>6971.2199999999939</v>
      </c>
      <c r="Q624" s="74">
        <v>217.17000000000002</v>
      </c>
      <c r="R624" s="53">
        <f t="shared" si="29"/>
        <v>3581</v>
      </c>
      <c r="S624" s="73">
        <v>48288.590000000026</v>
      </c>
    </row>
    <row r="625" spans="1:19" x14ac:dyDescent="0.25">
      <c r="A625" s="28"/>
      <c r="B625" s="45" t="str">
        <f t="shared" si="27"/>
        <v>Aug-2024</v>
      </c>
      <c r="C625" s="57">
        <v>45516</v>
      </c>
      <c r="D625" s="43">
        <f t="shared" si="28"/>
        <v>596</v>
      </c>
      <c r="E625" s="76">
        <v>290</v>
      </c>
      <c r="F625" s="50">
        <v>380</v>
      </c>
      <c r="G625" s="49">
        <v>122870</v>
      </c>
      <c r="H625" s="73">
        <v>380</v>
      </c>
      <c r="I625" s="77">
        <v>380</v>
      </c>
      <c r="J625" s="73">
        <v>80533.790000000008</v>
      </c>
      <c r="K625" s="52">
        <v>7</v>
      </c>
      <c r="L625" s="51">
        <v>780.15</v>
      </c>
      <c r="M625" s="77">
        <v>211</v>
      </c>
      <c r="N625" s="76">
        <v>53938.82</v>
      </c>
      <c r="O625" s="75">
        <v>189</v>
      </c>
      <c r="P625" s="74">
        <v>11622.610000000008</v>
      </c>
      <c r="Q625" s="74">
        <v>491.36</v>
      </c>
      <c r="R625" s="53">
        <f t="shared" si="29"/>
        <v>6143.5</v>
      </c>
      <c r="S625" s="73">
        <v>80533.790000000008</v>
      </c>
    </row>
    <row r="626" spans="1:19" x14ac:dyDescent="0.25">
      <c r="A626" s="28"/>
      <c r="B626" s="45" t="str">
        <f t="shared" si="27"/>
        <v>Aug-2024</v>
      </c>
      <c r="C626" s="57">
        <v>45517</v>
      </c>
      <c r="D626" s="43">
        <f t="shared" si="28"/>
        <v>595</v>
      </c>
      <c r="E626" s="76">
        <v>123</v>
      </c>
      <c r="F626" s="50">
        <v>336</v>
      </c>
      <c r="G626" s="49">
        <v>114367</v>
      </c>
      <c r="H626" s="73">
        <v>331</v>
      </c>
      <c r="I626" s="77">
        <v>336</v>
      </c>
      <c r="J626" s="73">
        <v>64977.8</v>
      </c>
      <c r="K626" s="52">
        <v>13</v>
      </c>
      <c r="L626" s="51">
        <v>2799.4900000000002</v>
      </c>
      <c r="M626" s="77">
        <v>245</v>
      </c>
      <c r="N626" s="76">
        <v>58819.74</v>
      </c>
      <c r="O626" s="75">
        <v>213</v>
      </c>
      <c r="P626" s="74">
        <v>9430.5399999999991</v>
      </c>
      <c r="Q626" s="74">
        <v>475.92999999999995</v>
      </c>
      <c r="R626" s="53">
        <f t="shared" si="29"/>
        <v>5718.35</v>
      </c>
      <c r="S626" s="73">
        <v>64977.8</v>
      </c>
    </row>
    <row r="627" spans="1:19" x14ac:dyDescent="0.25">
      <c r="A627" s="28"/>
      <c r="B627" s="45" t="str">
        <f t="shared" si="27"/>
        <v>Aug-2024</v>
      </c>
      <c r="C627" s="57">
        <v>45518</v>
      </c>
      <c r="D627" s="43">
        <f t="shared" si="28"/>
        <v>594</v>
      </c>
      <c r="E627" s="76">
        <v>103</v>
      </c>
      <c r="F627" s="50">
        <v>304</v>
      </c>
      <c r="G627" s="49">
        <v>115203</v>
      </c>
      <c r="H627" s="73">
        <v>296</v>
      </c>
      <c r="I627" s="77">
        <v>304</v>
      </c>
      <c r="J627" s="73">
        <v>61411.910000000011</v>
      </c>
      <c r="K627" s="52">
        <v>16</v>
      </c>
      <c r="L627" s="51">
        <v>3970.8799999999997</v>
      </c>
      <c r="M627" s="77">
        <v>161</v>
      </c>
      <c r="N627" s="76">
        <v>62605.88</v>
      </c>
      <c r="O627" s="75">
        <v>149</v>
      </c>
      <c r="P627" s="74">
        <v>8814.7900000000136</v>
      </c>
      <c r="Q627" s="74">
        <v>358.34999999999997</v>
      </c>
      <c r="R627" s="53">
        <f t="shared" si="29"/>
        <v>5760.1500000000005</v>
      </c>
      <c r="S627" s="73">
        <v>61411.910000000011</v>
      </c>
    </row>
    <row r="628" spans="1:19" x14ac:dyDescent="0.25">
      <c r="A628" s="28"/>
      <c r="B628" s="45" t="str">
        <f t="shared" si="27"/>
        <v>Aug-2024</v>
      </c>
      <c r="C628" s="57">
        <v>45519</v>
      </c>
      <c r="D628" s="43">
        <f t="shared" si="28"/>
        <v>593</v>
      </c>
      <c r="E628" s="76">
        <v>132</v>
      </c>
      <c r="F628" s="50">
        <v>311</v>
      </c>
      <c r="G628" s="49">
        <v>107161</v>
      </c>
      <c r="H628" s="73">
        <v>306</v>
      </c>
      <c r="I628" s="77">
        <v>311</v>
      </c>
      <c r="J628" s="73">
        <v>54292.770000000055</v>
      </c>
      <c r="K628" s="52">
        <v>10</v>
      </c>
      <c r="L628" s="51">
        <v>2848.65</v>
      </c>
      <c r="M628" s="77">
        <v>191</v>
      </c>
      <c r="N628" s="76">
        <v>60691.67</v>
      </c>
      <c r="O628" s="75">
        <v>175</v>
      </c>
      <c r="P628" s="74">
        <v>7823.439999999996</v>
      </c>
      <c r="Q628" s="74">
        <v>386.49</v>
      </c>
      <c r="R628" s="53">
        <f t="shared" si="29"/>
        <v>5358.05</v>
      </c>
      <c r="S628" s="73">
        <v>54292.770000000055</v>
      </c>
    </row>
    <row r="629" spans="1:19" x14ac:dyDescent="0.25">
      <c r="A629" s="28"/>
      <c r="B629" s="45" t="str">
        <f t="shared" si="27"/>
        <v>Aug-2024</v>
      </c>
      <c r="C629" s="57">
        <v>45520</v>
      </c>
      <c r="D629" s="43">
        <f t="shared" si="28"/>
        <v>592</v>
      </c>
      <c r="E629" s="76">
        <v>106</v>
      </c>
      <c r="F629" s="50">
        <v>307</v>
      </c>
      <c r="G629" s="49">
        <v>101550</v>
      </c>
      <c r="H629" s="73">
        <v>306</v>
      </c>
      <c r="I629" s="77">
        <v>307</v>
      </c>
      <c r="J629" s="73">
        <v>66987.62</v>
      </c>
      <c r="K629" s="52">
        <v>8</v>
      </c>
      <c r="L629" s="51">
        <v>1705.28</v>
      </c>
      <c r="M629" s="77">
        <v>193</v>
      </c>
      <c r="N629" s="76">
        <v>44159.16</v>
      </c>
      <c r="O629" s="75">
        <v>175</v>
      </c>
      <c r="P629" s="74">
        <v>9596.7800000000097</v>
      </c>
      <c r="Q629" s="74">
        <v>414.92000000000007</v>
      </c>
      <c r="R629" s="53">
        <f t="shared" si="29"/>
        <v>5077.5</v>
      </c>
      <c r="S629" s="73">
        <v>66987.62</v>
      </c>
    </row>
    <row r="630" spans="1:19" x14ac:dyDescent="0.25">
      <c r="A630" s="28"/>
      <c r="B630" s="45" t="str">
        <f t="shared" si="27"/>
        <v>Aug-2024</v>
      </c>
      <c r="C630" s="57">
        <v>45521</v>
      </c>
      <c r="D630" s="43">
        <f t="shared" si="28"/>
        <v>591</v>
      </c>
      <c r="E630" s="76">
        <v>74</v>
      </c>
      <c r="F630" s="50">
        <v>238</v>
      </c>
      <c r="G630" s="49">
        <v>87960</v>
      </c>
      <c r="H630" s="73">
        <v>235</v>
      </c>
      <c r="I630" s="77">
        <v>238</v>
      </c>
      <c r="J630" s="73">
        <v>53712.479999999981</v>
      </c>
      <c r="K630" s="52">
        <v>10</v>
      </c>
      <c r="L630" s="51">
        <v>1740.69</v>
      </c>
      <c r="M630" s="77">
        <v>134</v>
      </c>
      <c r="N630" s="76">
        <v>41882.49</v>
      </c>
      <c r="O630" s="75">
        <v>125</v>
      </c>
      <c r="P630" s="74">
        <v>7634.9700000000021</v>
      </c>
      <c r="Q630" s="74">
        <v>315.97000000000003</v>
      </c>
      <c r="R630" s="53">
        <f t="shared" si="29"/>
        <v>4398</v>
      </c>
      <c r="S630" s="73">
        <v>53712.479999999967</v>
      </c>
    </row>
    <row r="631" spans="1:19" x14ac:dyDescent="0.25">
      <c r="A631" s="28"/>
      <c r="B631" s="45" t="str">
        <f t="shared" si="27"/>
        <v>Aug-2024</v>
      </c>
      <c r="C631" s="57">
        <v>45522</v>
      </c>
      <c r="D631" s="43">
        <f t="shared" si="28"/>
        <v>590</v>
      </c>
      <c r="E631" s="76">
        <v>89</v>
      </c>
      <c r="F631" s="50">
        <v>254</v>
      </c>
      <c r="G631" s="49">
        <v>89065</v>
      </c>
      <c r="H631" s="73">
        <v>252</v>
      </c>
      <c r="I631" s="77">
        <v>254</v>
      </c>
      <c r="J631" s="73">
        <v>50254.95000000007</v>
      </c>
      <c r="K631" s="52">
        <v>6</v>
      </c>
      <c r="L631" s="51">
        <v>790.07999999999993</v>
      </c>
      <c r="M631" s="77">
        <v>152</v>
      </c>
      <c r="N631" s="76">
        <v>45994.91</v>
      </c>
      <c r="O631" s="75">
        <v>141</v>
      </c>
      <c r="P631" s="74">
        <v>7184.8600000000042</v>
      </c>
      <c r="Q631" s="74">
        <v>297.25999999999988</v>
      </c>
      <c r="R631" s="53">
        <f t="shared" si="29"/>
        <v>4453.25</v>
      </c>
      <c r="S631" s="73">
        <v>50254.950000000055</v>
      </c>
    </row>
    <row r="632" spans="1:19" x14ac:dyDescent="0.25">
      <c r="A632" s="28"/>
      <c r="B632" s="45" t="str">
        <f t="shared" si="27"/>
        <v>Aug-2024</v>
      </c>
      <c r="C632" s="57">
        <v>45523</v>
      </c>
      <c r="D632" s="43">
        <f t="shared" si="28"/>
        <v>589</v>
      </c>
      <c r="E632" s="76">
        <v>105</v>
      </c>
      <c r="F632" s="50">
        <v>300</v>
      </c>
      <c r="G632" s="49">
        <v>117295</v>
      </c>
      <c r="H632" s="73">
        <v>288</v>
      </c>
      <c r="I632" s="77">
        <v>300</v>
      </c>
      <c r="J632" s="73">
        <v>57298.759999999958</v>
      </c>
      <c r="K632" s="52">
        <v>16</v>
      </c>
      <c r="L632" s="51">
        <v>15403.230000000003</v>
      </c>
      <c r="M632" s="77">
        <v>195</v>
      </c>
      <c r="N632" s="76">
        <v>68240.56</v>
      </c>
      <c r="O632" s="75">
        <v>176</v>
      </c>
      <c r="P632" s="74">
        <v>8244.32</v>
      </c>
      <c r="Q632" s="74">
        <v>457.13000000000005</v>
      </c>
      <c r="R632" s="53">
        <f t="shared" si="29"/>
        <v>5864.75</v>
      </c>
      <c r="S632" s="73">
        <v>57298.759999999951</v>
      </c>
    </row>
    <row r="633" spans="1:19" x14ac:dyDescent="0.25">
      <c r="A633" s="28"/>
      <c r="B633" s="45" t="str">
        <f t="shared" si="27"/>
        <v>Aug-2024</v>
      </c>
      <c r="C633" s="57">
        <v>45524</v>
      </c>
      <c r="D633" s="43">
        <f t="shared" si="28"/>
        <v>588</v>
      </c>
      <c r="E633" s="76">
        <v>86</v>
      </c>
      <c r="F633" s="50">
        <v>246</v>
      </c>
      <c r="G633" s="49">
        <v>87635</v>
      </c>
      <c r="H633" s="73">
        <v>245</v>
      </c>
      <c r="I633" s="77">
        <v>246</v>
      </c>
      <c r="J633" s="73">
        <v>51370.939999999995</v>
      </c>
      <c r="K633" s="52">
        <v>6</v>
      </c>
      <c r="L633" s="51">
        <v>575.07999999999993</v>
      </c>
      <c r="M633" s="77">
        <v>152</v>
      </c>
      <c r="N633" s="76">
        <v>43589.83</v>
      </c>
      <c r="O633" s="75">
        <v>144</v>
      </c>
      <c r="P633" s="74">
        <v>7325.770000000005</v>
      </c>
      <c r="Q633" s="74">
        <v>335.67999999999995</v>
      </c>
      <c r="R633" s="53">
        <f t="shared" si="29"/>
        <v>4381.75</v>
      </c>
      <c r="S633" s="73">
        <v>51370.939999999995</v>
      </c>
    </row>
    <row r="634" spans="1:19" x14ac:dyDescent="0.25">
      <c r="A634" s="28"/>
      <c r="B634" s="45" t="str">
        <f t="shared" si="27"/>
        <v>Aug-2024</v>
      </c>
      <c r="C634" s="57">
        <v>45525</v>
      </c>
      <c r="D634" s="43">
        <f t="shared" si="28"/>
        <v>587</v>
      </c>
      <c r="E634" s="76">
        <v>275</v>
      </c>
      <c r="F634" s="50">
        <v>375</v>
      </c>
      <c r="G634" s="49">
        <v>123750</v>
      </c>
      <c r="H634" s="73">
        <v>374</v>
      </c>
      <c r="I634" s="77">
        <v>375</v>
      </c>
      <c r="J634" s="73">
        <v>75887.59</v>
      </c>
      <c r="K634" s="52">
        <v>4</v>
      </c>
      <c r="L634" s="51">
        <v>179.04</v>
      </c>
      <c r="M634" s="77">
        <v>217</v>
      </c>
      <c r="N634" s="76">
        <v>58640.22</v>
      </c>
      <c r="O634" s="75">
        <v>204</v>
      </c>
      <c r="P634" s="74">
        <v>10777.81</v>
      </c>
      <c r="Q634" s="74">
        <v>405.02000000000004</v>
      </c>
      <c r="R634" s="53">
        <f t="shared" si="29"/>
        <v>6187.5</v>
      </c>
      <c r="S634" s="73">
        <v>75887.590000000011</v>
      </c>
    </row>
    <row r="635" spans="1:19" x14ac:dyDescent="0.25">
      <c r="A635" s="28"/>
      <c r="B635" s="45" t="str">
        <f t="shared" si="27"/>
        <v>Aug-2024</v>
      </c>
      <c r="C635" s="57">
        <v>45526</v>
      </c>
      <c r="D635" s="43">
        <f t="shared" si="28"/>
        <v>586</v>
      </c>
      <c r="E635" s="76">
        <v>111</v>
      </c>
      <c r="F635" s="50">
        <v>288</v>
      </c>
      <c r="G635" s="49">
        <v>93705</v>
      </c>
      <c r="H635" s="73">
        <v>283</v>
      </c>
      <c r="I635" s="77">
        <v>288</v>
      </c>
      <c r="J635" s="73">
        <v>43455.35000000002</v>
      </c>
      <c r="K635" s="52">
        <v>10</v>
      </c>
      <c r="L635" s="51">
        <v>854.11999999999989</v>
      </c>
      <c r="M635" s="77">
        <v>204</v>
      </c>
      <c r="N635" s="76">
        <v>56656</v>
      </c>
      <c r="O635" s="75">
        <v>189</v>
      </c>
      <c r="P635" s="74">
        <v>6406.35</v>
      </c>
      <c r="Q635" s="74">
        <v>491.71999999999991</v>
      </c>
      <c r="R635" s="53">
        <f t="shared" si="29"/>
        <v>4685.25</v>
      </c>
      <c r="S635" s="73">
        <v>43455.350000000013</v>
      </c>
    </row>
    <row r="636" spans="1:19" x14ac:dyDescent="0.25">
      <c r="A636" s="28"/>
      <c r="B636" s="45" t="str">
        <f t="shared" si="27"/>
        <v>Aug-2024</v>
      </c>
      <c r="C636" s="57">
        <v>45527</v>
      </c>
      <c r="D636" s="43">
        <f t="shared" si="28"/>
        <v>585</v>
      </c>
      <c r="E636" s="76">
        <v>217</v>
      </c>
      <c r="F636" s="50">
        <v>340</v>
      </c>
      <c r="G636" s="49">
        <v>103380</v>
      </c>
      <c r="H636" s="73">
        <v>334</v>
      </c>
      <c r="I636" s="77">
        <v>340</v>
      </c>
      <c r="J636" s="73">
        <v>58260.270000000011</v>
      </c>
      <c r="K636" s="52">
        <v>10</v>
      </c>
      <c r="L636" s="51">
        <v>2310.21</v>
      </c>
      <c r="M636" s="77">
        <v>199</v>
      </c>
      <c r="N636" s="76">
        <v>53612.82</v>
      </c>
      <c r="O636" s="75">
        <v>181</v>
      </c>
      <c r="P636" s="74">
        <v>8493.090000000002</v>
      </c>
      <c r="Q636" s="74">
        <v>481.82</v>
      </c>
      <c r="R636" s="53">
        <f t="shared" si="29"/>
        <v>5169</v>
      </c>
      <c r="S636" s="73">
        <v>58260.27</v>
      </c>
    </row>
    <row r="637" spans="1:19" x14ac:dyDescent="0.25">
      <c r="A637" s="28"/>
      <c r="B637" s="45" t="str">
        <f t="shared" si="27"/>
        <v>Aug-2024</v>
      </c>
      <c r="C637" s="57">
        <v>45528</v>
      </c>
      <c r="D637" s="43">
        <f t="shared" si="28"/>
        <v>584</v>
      </c>
      <c r="E637" s="76">
        <v>101</v>
      </c>
      <c r="F637" s="50">
        <v>294</v>
      </c>
      <c r="G637" s="49">
        <v>95295</v>
      </c>
      <c r="H637" s="73">
        <v>291</v>
      </c>
      <c r="I637" s="77">
        <v>294</v>
      </c>
      <c r="J637" s="73">
        <v>48765.87</v>
      </c>
      <c r="K637" s="52">
        <v>7</v>
      </c>
      <c r="L637" s="51">
        <v>1900.4</v>
      </c>
      <c r="M637" s="77">
        <v>199</v>
      </c>
      <c r="N637" s="76">
        <v>53744.86</v>
      </c>
      <c r="O637" s="75">
        <v>191</v>
      </c>
      <c r="P637" s="74">
        <v>7215.7300000000068</v>
      </c>
      <c r="Q637" s="74">
        <v>549.4799999999999</v>
      </c>
      <c r="R637" s="53">
        <f t="shared" si="29"/>
        <v>4764.75</v>
      </c>
      <c r="S637" s="73">
        <v>48765.87</v>
      </c>
    </row>
    <row r="638" spans="1:19" x14ac:dyDescent="0.25">
      <c r="A638" s="28"/>
      <c r="B638" s="45" t="str">
        <f t="shared" si="27"/>
        <v>Aug-2024</v>
      </c>
      <c r="C638" s="57">
        <v>45529</v>
      </c>
      <c r="D638" s="43">
        <f t="shared" si="28"/>
        <v>583</v>
      </c>
      <c r="E638" s="76">
        <v>96</v>
      </c>
      <c r="F638" s="50">
        <v>262</v>
      </c>
      <c r="G638" s="49">
        <v>82656</v>
      </c>
      <c r="H638" s="73">
        <v>262</v>
      </c>
      <c r="I638" s="77">
        <v>262</v>
      </c>
      <c r="J638" s="73">
        <v>49887.499999999949</v>
      </c>
      <c r="K638" s="52">
        <v>3</v>
      </c>
      <c r="L638" s="51">
        <v>235.04</v>
      </c>
      <c r="M638" s="77">
        <v>148</v>
      </c>
      <c r="N638" s="76">
        <v>39859.4</v>
      </c>
      <c r="O638" s="75">
        <v>141</v>
      </c>
      <c r="P638" s="74">
        <v>7090.9000000000033</v>
      </c>
      <c r="Q638" s="74">
        <v>327.11</v>
      </c>
      <c r="R638" s="53">
        <f t="shared" si="29"/>
        <v>4132.8</v>
      </c>
      <c r="S638" s="73">
        <v>49887.499999999942</v>
      </c>
    </row>
    <row r="639" spans="1:19" x14ac:dyDescent="0.25">
      <c r="A639" s="28"/>
      <c r="B639" s="45" t="str">
        <f t="shared" si="27"/>
        <v>Aug-2024</v>
      </c>
      <c r="C639" s="57">
        <v>45530</v>
      </c>
      <c r="D639" s="43">
        <f t="shared" si="28"/>
        <v>582</v>
      </c>
      <c r="E639" s="76">
        <v>120</v>
      </c>
      <c r="F639" s="50">
        <v>295</v>
      </c>
      <c r="G639" s="49">
        <v>105229</v>
      </c>
      <c r="H639" s="73">
        <v>286</v>
      </c>
      <c r="I639" s="77">
        <v>295</v>
      </c>
      <c r="J639" s="73">
        <v>56538.810000000049</v>
      </c>
      <c r="K639" s="52">
        <v>14</v>
      </c>
      <c r="L639" s="51">
        <v>1737.36</v>
      </c>
      <c r="M639" s="77">
        <v>189</v>
      </c>
      <c r="N639" s="76">
        <v>56716.98</v>
      </c>
      <c r="O639" s="75">
        <v>181</v>
      </c>
      <c r="P639" s="74">
        <v>8026.7899999999991</v>
      </c>
      <c r="Q639" s="74">
        <v>353.40000000000003</v>
      </c>
      <c r="R639" s="53">
        <f t="shared" si="29"/>
        <v>5261.4500000000007</v>
      </c>
      <c r="S639" s="73">
        <v>56538.810000000034</v>
      </c>
    </row>
    <row r="640" spans="1:19" x14ac:dyDescent="0.25">
      <c r="A640" s="28"/>
      <c r="B640" s="45" t="str">
        <f t="shared" si="27"/>
        <v>Aug-2024</v>
      </c>
      <c r="C640" s="57">
        <v>45531</v>
      </c>
      <c r="D640" s="43">
        <f t="shared" si="28"/>
        <v>581</v>
      </c>
      <c r="E640" s="76">
        <v>89</v>
      </c>
      <c r="F640" s="50">
        <v>247</v>
      </c>
      <c r="G640" s="49">
        <v>91540</v>
      </c>
      <c r="H640" s="73">
        <v>244</v>
      </c>
      <c r="I640" s="77">
        <v>247</v>
      </c>
      <c r="J640" s="73">
        <v>45199.400000000009</v>
      </c>
      <c r="K640" s="52">
        <v>7</v>
      </c>
      <c r="L640" s="51">
        <v>1271.24</v>
      </c>
      <c r="M640" s="77">
        <v>173</v>
      </c>
      <c r="N640" s="76">
        <v>52817.02</v>
      </c>
      <c r="O640" s="75">
        <v>162</v>
      </c>
      <c r="P640" s="74">
        <v>6476.4200000000037</v>
      </c>
      <c r="Q640" s="74">
        <v>340.94</v>
      </c>
      <c r="R640" s="53">
        <f t="shared" si="29"/>
        <v>4577</v>
      </c>
      <c r="S640" s="73">
        <v>45199.400000000009</v>
      </c>
    </row>
    <row r="641" spans="1:19" x14ac:dyDescent="0.25">
      <c r="A641" s="28"/>
      <c r="B641" s="45" t="str">
        <f t="shared" si="27"/>
        <v>Aug-2024</v>
      </c>
      <c r="C641" s="57">
        <v>45532</v>
      </c>
      <c r="D641" s="43">
        <f t="shared" si="28"/>
        <v>580</v>
      </c>
      <c r="E641" s="76">
        <v>106</v>
      </c>
      <c r="F641" s="50">
        <v>256</v>
      </c>
      <c r="G641" s="49">
        <v>88221</v>
      </c>
      <c r="H641" s="73">
        <v>254</v>
      </c>
      <c r="I641" s="77">
        <v>256</v>
      </c>
      <c r="J641" s="73">
        <v>43212.179999999978</v>
      </c>
      <c r="K641" s="52">
        <v>7</v>
      </c>
      <c r="L641" s="51">
        <v>3276.5</v>
      </c>
      <c r="M641" s="77">
        <v>180</v>
      </c>
      <c r="N641" s="76">
        <v>51294.66</v>
      </c>
      <c r="O641" s="75">
        <v>161</v>
      </c>
      <c r="P641" s="74">
        <v>6285.8400000000011</v>
      </c>
      <c r="Q641" s="74">
        <v>429.92</v>
      </c>
      <c r="R641" s="53">
        <f t="shared" si="29"/>
        <v>4411.05</v>
      </c>
      <c r="S641" s="73">
        <v>43212.179999999978</v>
      </c>
    </row>
    <row r="642" spans="1:19" x14ac:dyDescent="0.25">
      <c r="A642" s="28"/>
      <c r="B642" s="45" t="str">
        <f t="shared" si="27"/>
        <v>Aug-2024</v>
      </c>
      <c r="C642" s="57">
        <v>45533</v>
      </c>
      <c r="D642" s="43">
        <f t="shared" si="28"/>
        <v>579</v>
      </c>
      <c r="E642" s="76">
        <v>80</v>
      </c>
      <c r="F642" s="50">
        <v>258</v>
      </c>
      <c r="G642" s="49">
        <v>89990</v>
      </c>
      <c r="H642" s="73">
        <v>255</v>
      </c>
      <c r="I642" s="77">
        <v>258</v>
      </c>
      <c r="J642" s="73">
        <v>41435.210000000043</v>
      </c>
      <c r="K642" s="52">
        <v>11</v>
      </c>
      <c r="L642" s="51">
        <v>2116.34</v>
      </c>
      <c r="M642" s="77">
        <v>199</v>
      </c>
      <c r="N642" s="76">
        <v>54597.05</v>
      </c>
      <c r="O642" s="75">
        <v>184</v>
      </c>
      <c r="P642" s="74">
        <v>6042.2600000000193</v>
      </c>
      <c r="Q642" s="74">
        <v>446.31000000000017</v>
      </c>
      <c r="R642" s="53">
        <f t="shared" si="29"/>
        <v>4499.5</v>
      </c>
      <c r="S642" s="73">
        <v>41435.21000000005</v>
      </c>
    </row>
    <row r="643" spans="1:19" x14ac:dyDescent="0.25">
      <c r="A643" s="28"/>
      <c r="B643" s="45" t="str">
        <f t="shared" si="27"/>
        <v>Aug-2024</v>
      </c>
      <c r="C643" s="57">
        <v>45534</v>
      </c>
      <c r="D643" s="43">
        <f t="shared" si="28"/>
        <v>578</v>
      </c>
      <c r="E643" s="76">
        <v>76</v>
      </c>
      <c r="F643" s="50">
        <v>225</v>
      </c>
      <c r="G643" s="49">
        <v>80090</v>
      </c>
      <c r="H643" s="73">
        <v>223</v>
      </c>
      <c r="I643" s="77">
        <v>225</v>
      </c>
      <c r="J643" s="73">
        <v>42674.129999999946</v>
      </c>
      <c r="K643" s="52">
        <v>5</v>
      </c>
      <c r="L643" s="51">
        <v>1300.28</v>
      </c>
      <c r="M643" s="77">
        <v>145</v>
      </c>
      <c r="N643" s="76">
        <v>43519.47</v>
      </c>
      <c r="O643" s="75">
        <v>127</v>
      </c>
      <c r="P643" s="74">
        <v>6103.6000000000249</v>
      </c>
      <c r="Q643" s="74">
        <v>356.20999999999987</v>
      </c>
      <c r="R643" s="53">
        <f t="shared" si="29"/>
        <v>4004.5</v>
      </c>
      <c r="S643" s="73">
        <v>42674.129999999961</v>
      </c>
    </row>
    <row r="644" spans="1:19" x14ac:dyDescent="0.25">
      <c r="A644" s="28"/>
      <c r="B644" s="45" t="str">
        <f t="shared" si="27"/>
        <v>Aug-2024</v>
      </c>
      <c r="C644" s="57">
        <v>45535</v>
      </c>
      <c r="D644" s="43">
        <f t="shared" si="28"/>
        <v>577</v>
      </c>
      <c r="E644" s="76">
        <v>85</v>
      </c>
      <c r="F644" s="50">
        <v>230</v>
      </c>
      <c r="G644" s="49">
        <v>82765</v>
      </c>
      <c r="H644" s="73">
        <v>228</v>
      </c>
      <c r="I644" s="77">
        <v>230</v>
      </c>
      <c r="J644" s="73">
        <v>37195.51999999999</v>
      </c>
      <c r="K644" s="52">
        <v>5</v>
      </c>
      <c r="L644" s="51">
        <v>1200.26</v>
      </c>
      <c r="M644" s="77">
        <v>150</v>
      </c>
      <c r="N644" s="76">
        <v>50896.6</v>
      </c>
      <c r="O644" s="75">
        <v>137</v>
      </c>
      <c r="P644" s="74">
        <v>5327.1200000000063</v>
      </c>
      <c r="Q644" s="74">
        <v>278.93</v>
      </c>
      <c r="R644" s="53">
        <f t="shared" si="29"/>
        <v>4138.25</v>
      </c>
      <c r="S644" s="73">
        <v>37195.519999999982</v>
      </c>
    </row>
    <row r="645" spans="1:19" s="97" customFormat="1" x14ac:dyDescent="0.25">
      <c r="A645" s="84"/>
      <c r="B645" s="85"/>
      <c r="C645" s="86"/>
      <c r="D645" s="87"/>
      <c r="E645" s="88"/>
      <c r="F645" s="89"/>
      <c r="G645" s="83"/>
      <c r="H645" s="90"/>
      <c r="I645" s="91"/>
      <c r="J645" s="90"/>
      <c r="K645" s="92"/>
      <c r="L645" s="93">
        <f>SUM(L614:L644)</f>
        <v>70334.86</v>
      </c>
      <c r="M645" s="91"/>
      <c r="N645" s="88">
        <f>SUM(N614:N644)</f>
        <v>1840936.34</v>
      </c>
      <c r="O645" s="94"/>
      <c r="P645" s="95"/>
      <c r="Q645" s="95"/>
      <c r="R645" s="96"/>
      <c r="S645" s="90"/>
    </row>
    <row r="646" spans="1:19" x14ac:dyDescent="0.25">
      <c r="A646" s="28"/>
      <c r="B646" s="45" t="str">
        <f t="shared" si="27"/>
        <v>Sep-2024</v>
      </c>
      <c r="C646" s="57">
        <v>45536</v>
      </c>
      <c r="D646" s="43">
        <f t="shared" si="28"/>
        <v>576</v>
      </c>
      <c r="E646" s="76">
        <v>81</v>
      </c>
      <c r="F646" s="50">
        <v>226</v>
      </c>
      <c r="G646" s="49">
        <v>80220</v>
      </c>
      <c r="H646" s="73">
        <v>224</v>
      </c>
      <c r="I646" s="77">
        <v>226</v>
      </c>
      <c r="J646" s="73">
        <v>41703.979999999938</v>
      </c>
      <c r="K646" s="52">
        <v>8</v>
      </c>
      <c r="L646" s="51">
        <v>475.58</v>
      </c>
      <c r="M646" s="77">
        <v>156</v>
      </c>
      <c r="N646" s="76">
        <v>44410.47</v>
      </c>
      <c r="O646" s="75">
        <v>145</v>
      </c>
      <c r="P646" s="74">
        <v>5894.4500000000153</v>
      </c>
      <c r="Q646" s="74">
        <v>293.56</v>
      </c>
      <c r="R646" s="53">
        <f t="shared" si="29"/>
        <v>4011</v>
      </c>
      <c r="S646" s="73">
        <v>41703.979999999974</v>
      </c>
    </row>
    <row r="647" spans="1:19" x14ac:dyDescent="0.25">
      <c r="A647" s="28"/>
      <c r="B647" s="45" t="str">
        <f t="shared" ref="B647:B710" si="30">TEXT(C647,"MMM-YYYY")</f>
        <v>Sep-2024</v>
      </c>
      <c r="C647" s="57">
        <v>45537</v>
      </c>
      <c r="D647" s="43">
        <f t="shared" ref="D647:D710" si="31">$A$1-C647</f>
        <v>575</v>
      </c>
      <c r="E647" s="76">
        <v>82</v>
      </c>
      <c r="F647" s="50">
        <v>238</v>
      </c>
      <c r="G647" s="49">
        <v>87589</v>
      </c>
      <c r="H647" s="73">
        <v>237</v>
      </c>
      <c r="I647" s="77">
        <v>238</v>
      </c>
      <c r="J647" s="73">
        <v>34274.770000000019</v>
      </c>
      <c r="K647" s="52">
        <v>6</v>
      </c>
      <c r="L647" s="51">
        <v>1305.28</v>
      </c>
      <c r="M647" s="77">
        <v>165</v>
      </c>
      <c r="N647" s="76">
        <v>58376.41</v>
      </c>
      <c r="O647" s="75">
        <v>150</v>
      </c>
      <c r="P647" s="74">
        <v>5062.1799999999976</v>
      </c>
      <c r="Q647" s="74">
        <v>454.06000000000012</v>
      </c>
      <c r="R647" s="53">
        <f t="shared" ref="R647:R710" si="32">G647*5%</f>
        <v>4379.45</v>
      </c>
      <c r="S647" s="73">
        <v>34274.770000000011</v>
      </c>
    </row>
    <row r="648" spans="1:19" x14ac:dyDescent="0.25">
      <c r="A648" s="28"/>
      <c r="B648" s="45" t="str">
        <f t="shared" si="30"/>
        <v>Sep-2024</v>
      </c>
      <c r="C648" s="57">
        <v>45538</v>
      </c>
      <c r="D648" s="43">
        <f t="shared" si="31"/>
        <v>574</v>
      </c>
      <c r="E648" s="76">
        <v>75</v>
      </c>
      <c r="F648" s="50">
        <v>234</v>
      </c>
      <c r="G648" s="49">
        <v>77209</v>
      </c>
      <c r="H648" s="73">
        <v>231</v>
      </c>
      <c r="I648" s="77">
        <v>234</v>
      </c>
      <c r="J648" s="73">
        <v>37238.190000000053</v>
      </c>
      <c r="K648" s="52">
        <v>5</v>
      </c>
      <c r="L648" s="51">
        <v>1851.2199999999998</v>
      </c>
      <c r="M648" s="77">
        <v>183</v>
      </c>
      <c r="N648" s="76">
        <v>44757.24</v>
      </c>
      <c r="O648" s="75">
        <v>167</v>
      </c>
      <c r="P648" s="74">
        <v>5362.1800000000076</v>
      </c>
      <c r="Q648" s="74">
        <v>366.53000000000003</v>
      </c>
      <c r="R648" s="53">
        <f t="shared" si="32"/>
        <v>3860.4500000000003</v>
      </c>
      <c r="S648" s="73">
        <v>37238.190000000053</v>
      </c>
    </row>
    <row r="649" spans="1:19" x14ac:dyDescent="0.25">
      <c r="A649" s="28"/>
      <c r="B649" s="45" t="str">
        <f t="shared" si="30"/>
        <v>Sep-2024</v>
      </c>
      <c r="C649" s="57">
        <v>45539</v>
      </c>
      <c r="D649" s="43">
        <f t="shared" si="31"/>
        <v>573</v>
      </c>
      <c r="E649" s="76">
        <v>86</v>
      </c>
      <c r="F649" s="50">
        <v>215</v>
      </c>
      <c r="G649" s="49">
        <v>83790</v>
      </c>
      <c r="H649" s="73">
        <v>214</v>
      </c>
      <c r="I649" s="77">
        <v>215</v>
      </c>
      <c r="J649" s="73">
        <v>39077.32</v>
      </c>
      <c r="K649" s="52">
        <v>4</v>
      </c>
      <c r="L649" s="51">
        <v>1100.24</v>
      </c>
      <c r="M649" s="77">
        <v>138</v>
      </c>
      <c r="N649" s="76">
        <v>50458.62</v>
      </c>
      <c r="O649" s="75">
        <v>134</v>
      </c>
      <c r="P649" s="74">
        <v>5745.9399999999941</v>
      </c>
      <c r="Q649" s="74">
        <v>520.34999999999991</v>
      </c>
      <c r="R649" s="53">
        <f t="shared" si="32"/>
        <v>4189.5</v>
      </c>
      <c r="S649" s="73">
        <v>39077.32</v>
      </c>
    </row>
    <row r="650" spans="1:19" x14ac:dyDescent="0.25">
      <c r="A650" s="28"/>
      <c r="B650" s="45" t="str">
        <f t="shared" si="30"/>
        <v>Sep-2024</v>
      </c>
      <c r="C650" s="57">
        <v>45540</v>
      </c>
      <c r="D650" s="43">
        <f t="shared" si="31"/>
        <v>572</v>
      </c>
      <c r="E650" s="76">
        <v>83</v>
      </c>
      <c r="F650" s="50">
        <v>198</v>
      </c>
      <c r="G650" s="49">
        <v>77082</v>
      </c>
      <c r="H650" s="73">
        <v>193</v>
      </c>
      <c r="I650" s="77">
        <v>198</v>
      </c>
      <c r="J650" s="73">
        <v>31560.170000000027</v>
      </c>
      <c r="K650" s="52">
        <v>6</v>
      </c>
      <c r="L650" s="51">
        <v>1600.34</v>
      </c>
      <c r="M650" s="77">
        <v>116</v>
      </c>
      <c r="N650" s="76">
        <v>50066.43</v>
      </c>
      <c r="O650" s="75">
        <v>112</v>
      </c>
      <c r="P650" s="74">
        <v>4544.6000000000031</v>
      </c>
      <c r="Q650" s="74">
        <v>312.87000000000006</v>
      </c>
      <c r="R650" s="53">
        <f t="shared" si="32"/>
        <v>3854.1000000000004</v>
      </c>
      <c r="S650" s="73">
        <v>31560.170000000031</v>
      </c>
    </row>
    <row r="651" spans="1:19" x14ac:dyDescent="0.25">
      <c r="A651" s="28"/>
      <c r="B651" s="45" t="str">
        <f t="shared" si="30"/>
        <v>Sep-2024</v>
      </c>
      <c r="C651" s="57">
        <v>45541</v>
      </c>
      <c r="D651" s="43">
        <f t="shared" si="31"/>
        <v>571</v>
      </c>
      <c r="E651" s="76">
        <v>69</v>
      </c>
      <c r="F651" s="50">
        <v>229</v>
      </c>
      <c r="G651" s="49">
        <v>90055</v>
      </c>
      <c r="H651" s="73">
        <v>225</v>
      </c>
      <c r="I651" s="77">
        <v>229</v>
      </c>
      <c r="J651" s="73">
        <v>44756.84</v>
      </c>
      <c r="K651" s="52">
        <v>8</v>
      </c>
      <c r="L651" s="51">
        <v>1774.17</v>
      </c>
      <c r="M651" s="77">
        <v>172</v>
      </c>
      <c r="N651" s="76">
        <v>51682.15</v>
      </c>
      <c r="O651" s="75">
        <v>158</v>
      </c>
      <c r="P651" s="74">
        <v>6383.9900000000216</v>
      </c>
      <c r="Q651" s="74">
        <v>428.03000000000003</v>
      </c>
      <c r="R651" s="53">
        <f t="shared" si="32"/>
        <v>4502.75</v>
      </c>
      <c r="S651" s="73">
        <v>44756.840000000018</v>
      </c>
    </row>
    <row r="652" spans="1:19" x14ac:dyDescent="0.25">
      <c r="A652" s="28"/>
      <c r="B652" s="45" t="str">
        <f t="shared" si="30"/>
        <v>Sep-2024</v>
      </c>
      <c r="C652" s="57">
        <v>45542</v>
      </c>
      <c r="D652" s="43">
        <f t="shared" si="31"/>
        <v>570</v>
      </c>
      <c r="E652" s="76">
        <v>76</v>
      </c>
      <c r="F652" s="50">
        <v>208</v>
      </c>
      <c r="G652" s="49">
        <v>76201</v>
      </c>
      <c r="H652" s="73">
        <v>206</v>
      </c>
      <c r="I652" s="77">
        <v>208</v>
      </c>
      <c r="J652" s="73">
        <v>33870.299999999988</v>
      </c>
      <c r="K652" s="52">
        <v>7</v>
      </c>
      <c r="L652" s="51">
        <v>2600.48</v>
      </c>
      <c r="M652" s="77">
        <v>147</v>
      </c>
      <c r="N652" s="76">
        <v>47160.45</v>
      </c>
      <c r="O652" s="75">
        <v>132</v>
      </c>
      <c r="P652" s="74">
        <v>4829.7500000000127</v>
      </c>
      <c r="Q652" s="74">
        <v>303.08</v>
      </c>
      <c r="R652" s="53">
        <f t="shared" si="32"/>
        <v>3810.05</v>
      </c>
      <c r="S652" s="73">
        <v>33870.299999999988</v>
      </c>
    </row>
    <row r="653" spans="1:19" x14ac:dyDescent="0.25">
      <c r="A653" s="28"/>
      <c r="B653" s="45" t="str">
        <f t="shared" si="30"/>
        <v>Sep-2024</v>
      </c>
      <c r="C653" s="57">
        <v>45543</v>
      </c>
      <c r="D653" s="43">
        <f t="shared" si="31"/>
        <v>569</v>
      </c>
      <c r="E653" s="76">
        <v>59</v>
      </c>
      <c r="F653" s="50">
        <v>215</v>
      </c>
      <c r="G653" s="49">
        <v>64640</v>
      </c>
      <c r="H653" s="73">
        <v>210</v>
      </c>
      <c r="I653" s="77">
        <v>215</v>
      </c>
      <c r="J653" s="73">
        <v>27223.209999999988</v>
      </c>
      <c r="K653" s="52">
        <v>9</v>
      </c>
      <c r="L653" s="51">
        <v>754.15</v>
      </c>
      <c r="M653" s="77">
        <v>163</v>
      </c>
      <c r="N653" s="76">
        <v>41301.230000000003</v>
      </c>
      <c r="O653" s="75">
        <v>147</v>
      </c>
      <c r="P653" s="74">
        <v>3884.4399999999991</v>
      </c>
      <c r="Q653" s="74">
        <v>229.19000000000003</v>
      </c>
      <c r="R653" s="53">
        <f t="shared" si="32"/>
        <v>3232</v>
      </c>
      <c r="S653" s="73">
        <v>27223.209999999985</v>
      </c>
    </row>
    <row r="654" spans="1:19" x14ac:dyDescent="0.25">
      <c r="A654" s="28"/>
      <c r="B654" s="45" t="str">
        <f t="shared" si="30"/>
        <v>Sep-2024</v>
      </c>
      <c r="C654" s="57">
        <v>45544</v>
      </c>
      <c r="D654" s="43">
        <f t="shared" si="31"/>
        <v>568</v>
      </c>
      <c r="E654" s="76">
        <v>68</v>
      </c>
      <c r="F654" s="50">
        <v>219</v>
      </c>
      <c r="G654" s="49">
        <v>86464</v>
      </c>
      <c r="H654" s="73">
        <v>214</v>
      </c>
      <c r="I654" s="77">
        <v>219</v>
      </c>
      <c r="J654" s="73">
        <v>30563.700000000048</v>
      </c>
      <c r="K654" s="52">
        <v>5</v>
      </c>
      <c r="L654" s="51">
        <v>1350.3</v>
      </c>
      <c r="M654" s="77">
        <v>186</v>
      </c>
      <c r="N654" s="76">
        <v>60410.09</v>
      </c>
      <c r="O654" s="75">
        <v>171</v>
      </c>
      <c r="P654" s="74">
        <v>4509.7899999999854</v>
      </c>
      <c r="Q654" s="74">
        <v>445.76</v>
      </c>
      <c r="R654" s="53">
        <f t="shared" si="32"/>
        <v>4323.2</v>
      </c>
      <c r="S654" s="73">
        <v>30563.700000000037</v>
      </c>
    </row>
    <row r="655" spans="1:19" x14ac:dyDescent="0.25">
      <c r="A655" s="28"/>
      <c r="B655" s="45" t="str">
        <f t="shared" si="30"/>
        <v>Sep-2024</v>
      </c>
      <c r="C655" s="57">
        <v>45545</v>
      </c>
      <c r="D655" s="43">
        <f t="shared" si="31"/>
        <v>567</v>
      </c>
      <c r="E655" s="76">
        <v>77</v>
      </c>
      <c r="F655" s="50">
        <v>206</v>
      </c>
      <c r="G655" s="49">
        <v>77350</v>
      </c>
      <c r="H655" s="73">
        <v>203</v>
      </c>
      <c r="I655" s="77">
        <v>206</v>
      </c>
      <c r="J655" s="73">
        <v>29738.279999999984</v>
      </c>
      <c r="K655" s="52">
        <v>7</v>
      </c>
      <c r="L655" s="51">
        <v>1995.3899999999999</v>
      </c>
      <c r="M655" s="77">
        <v>161</v>
      </c>
      <c r="N655" s="76">
        <v>51835.67</v>
      </c>
      <c r="O655" s="75">
        <v>145</v>
      </c>
      <c r="P655" s="74">
        <v>4223.9500000000035</v>
      </c>
      <c r="Q655" s="74">
        <v>262.10000000000008</v>
      </c>
      <c r="R655" s="53">
        <f t="shared" si="32"/>
        <v>3867.5</v>
      </c>
      <c r="S655" s="73">
        <v>29738.279999999984</v>
      </c>
    </row>
    <row r="656" spans="1:19" x14ac:dyDescent="0.25">
      <c r="A656" s="28"/>
      <c r="B656" s="45" t="str">
        <f t="shared" si="30"/>
        <v>Sep-2024</v>
      </c>
      <c r="C656" s="57">
        <v>45546</v>
      </c>
      <c r="D656" s="43">
        <f t="shared" si="31"/>
        <v>566</v>
      </c>
      <c r="E656" s="76">
        <v>66</v>
      </c>
      <c r="F656" s="50">
        <v>209</v>
      </c>
      <c r="G656" s="49">
        <v>75263</v>
      </c>
      <c r="H656" s="73">
        <v>209</v>
      </c>
      <c r="I656" s="77">
        <v>209</v>
      </c>
      <c r="J656" s="73">
        <v>29310.019999999979</v>
      </c>
      <c r="K656" s="52">
        <v>3</v>
      </c>
      <c r="L656" s="51">
        <v>690.02</v>
      </c>
      <c r="M656" s="77">
        <v>154</v>
      </c>
      <c r="N656" s="76">
        <v>50138.82</v>
      </c>
      <c r="O656" s="75">
        <v>145</v>
      </c>
      <c r="P656" s="74">
        <v>4185.8399999999901</v>
      </c>
      <c r="Q656" s="74">
        <v>281.0800000000001</v>
      </c>
      <c r="R656" s="53">
        <f t="shared" si="32"/>
        <v>3763.15</v>
      </c>
      <c r="S656" s="73">
        <v>29310.019999999982</v>
      </c>
    </row>
    <row r="657" spans="1:19" x14ac:dyDescent="0.25">
      <c r="A657" s="28"/>
      <c r="B657" s="45" t="str">
        <f t="shared" si="30"/>
        <v>Sep-2024</v>
      </c>
      <c r="C657" s="57">
        <v>45547</v>
      </c>
      <c r="D657" s="43">
        <f t="shared" si="31"/>
        <v>565</v>
      </c>
      <c r="E657" s="76">
        <v>85</v>
      </c>
      <c r="F657" s="50">
        <v>221</v>
      </c>
      <c r="G657" s="49">
        <v>72690</v>
      </c>
      <c r="H657" s="73">
        <v>219</v>
      </c>
      <c r="I657" s="77">
        <v>221</v>
      </c>
      <c r="J657" s="73">
        <v>39203.700000000033</v>
      </c>
      <c r="K657" s="52">
        <v>8</v>
      </c>
      <c r="L657" s="51">
        <v>1088.69</v>
      </c>
      <c r="M657" s="77">
        <v>107</v>
      </c>
      <c r="N657" s="76">
        <v>38998.199999999997</v>
      </c>
      <c r="O657" s="75">
        <v>102</v>
      </c>
      <c r="P657" s="74">
        <v>5511.8999999999987</v>
      </c>
      <c r="Q657" s="74">
        <v>310.70000000000005</v>
      </c>
      <c r="R657" s="53">
        <f t="shared" si="32"/>
        <v>3634.5</v>
      </c>
      <c r="S657" s="73">
        <v>39203.700000000033</v>
      </c>
    </row>
    <row r="658" spans="1:19" x14ac:dyDescent="0.25">
      <c r="A658" s="28"/>
      <c r="B658" s="45" t="str">
        <f t="shared" si="30"/>
        <v>Sep-2024</v>
      </c>
      <c r="C658" s="57">
        <v>45548</v>
      </c>
      <c r="D658" s="43">
        <f t="shared" si="31"/>
        <v>564</v>
      </c>
      <c r="E658" s="76">
        <v>72</v>
      </c>
      <c r="F658" s="50">
        <v>201</v>
      </c>
      <c r="G658" s="49">
        <v>64435</v>
      </c>
      <c r="H658" s="73">
        <v>197</v>
      </c>
      <c r="I658" s="77">
        <v>201</v>
      </c>
      <c r="J658" s="73">
        <v>30391.19999999999</v>
      </c>
      <c r="K658" s="52">
        <v>11</v>
      </c>
      <c r="L658" s="51">
        <v>2599.4499999999998</v>
      </c>
      <c r="M658" s="77">
        <v>143</v>
      </c>
      <c r="N658" s="76">
        <v>38382.629999999997</v>
      </c>
      <c r="O658" s="75">
        <v>131</v>
      </c>
      <c r="P658" s="74">
        <v>4338.8299999999945</v>
      </c>
      <c r="Q658" s="74">
        <v>281.7</v>
      </c>
      <c r="R658" s="53">
        <f t="shared" si="32"/>
        <v>3221.75</v>
      </c>
      <c r="S658" s="73">
        <v>30391.199999999983</v>
      </c>
    </row>
    <row r="659" spans="1:19" x14ac:dyDescent="0.25">
      <c r="A659" s="28"/>
      <c r="B659" s="45" t="str">
        <f t="shared" si="30"/>
        <v>Sep-2024</v>
      </c>
      <c r="C659" s="57">
        <v>45549</v>
      </c>
      <c r="D659" s="43">
        <f t="shared" si="31"/>
        <v>563</v>
      </c>
      <c r="E659" s="76">
        <v>98</v>
      </c>
      <c r="F659" s="50">
        <v>248</v>
      </c>
      <c r="G659" s="49">
        <v>99895</v>
      </c>
      <c r="H659" s="73">
        <v>246</v>
      </c>
      <c r="I659" s="77">
        <v>248</v>
      </c>
      <c r="J659" s="73">
        <v>39428.359999999993</v>
      </c>
      <c r="K659" s="52">
        <v>6</v>
      </c>
      <c r="L659" s="51">
        <v>1295.2399999999998</v>
      </c>
      <c r="M659" s="77">
        <v>180</v>
      </c>
      <c r="N659" s="76">
        <v>66167.289999999994</v>
      </c>
      <c r="O659" s="75">
        <v>174</v>
      </c>
      <c r="P659" s="74">
        <v>5700.6500000000115</v>
      </c>
      <c r="Q659" s="74">
        <v>498.22000000000014</v>
      </c>
      <c r="R659" s="53">
        <f t="shared" si="32"/>
        <v>4994.75</v>
      </c>
      <c r="S659" s="73">
        <v>39428.359999999993</v>
      </c>
    </row>
    <row r="660" spans="1:19" x14ac:dyDescent="0.25">
      <c r="A660" s="28"/>
      <c r="B660" s="45" t="str">
        <f t="shared" si="30"/>
        <v>Sep-2024</v>
      </c>
      <c r="C660" s="57">
        <v>45550</v>
      </c>
      <c r="D660" s="43">
        <f t="shared" si="31"/>
        <v>562</v>
      </c>
      <c r="E660" s="76">
        <v>77</v>
      </c>
      <c r="F660" s="50">
        <v>220</v>
      </c>
      <c r="G660" s="49">
        <v>62605</v>
      </c>
      <c r="H660" s="73">
        <v>217</v>
      </c>
      <c r="I660" s="77">
        <v>220</v>
      </c>
      <c r="J660" s="73">
        <v>33499.190000000031</v>
      </c>
      <c r="K660" s="52">
        <v>4</v>
      </c>
      <c r="L660" s="51">
        <v>750.16</v>
      </c>
      <c r="M660" s="77">
        <v>141</v>
      </c>
      <c r="N660" s="76">
        <v>33723.08</v>
      </c>
      <c r="O660" s="75">
        <v>126</v>
      </c>
      <c r="P660" s="74">
        <v>4617.2700000000032</v>
      </c>
      <c r="Q660" s="74">
        <v>202.19999999999996</v>
      </c>
      <c r="R660" s="53">
        <f t="shared" si="32"/>
        <v>3130.25</v>
      </c>
      <c r="S660" s="73">
        <v>33499.190000000017</v>
      </c>
    </row>
    <row r="661" spans="1:19" x14ac:dyDescent="0.25">
      <c r="A661" s="28"/>
      <c r="B661" s="45" t="str">
        <f t="shared" si="30"/>
        <v>Sep-2024</v>
      </c>
      <c r="C661" s="57">
        <v>45551</v>
      </c>
      <c r="D661" s="43">
        <f t="shared" si="31"/>
        <v>561</v>
      </c>
      <c r="E661" s="76">
        <v>97</v>
      </c>
      <c r="F661" s="50">
        <v>617</v>
      </c>
      <c r="G661" s="49">
        <v>312196</v>
      </c>
      <c r="H661" s="73">
        <v>612</v>
      </c>
      <c r="I661" s="77">
        <v>617</v>
      </c>
      <c r="J661" s="73">
        <v>166376.75999999995</v>
      </c>
      <c r="K661" s="52">
        <v>20</v>
      </c>
      <c r="L661" s="51">
        <v>3961.76</v>
      </c>
      <c r="M661" s="77">
        <v>638</v>
      </c>
      <c r="N661" s="76">
        <v>169114.31</v>
      </c>
      <c r="O661" s="75">
        <v>546</v>
      </c>
      <c r="P661" s="74">
        <v>23295.069999999985</v>
      </c>
      <c r="Q661" s="74">
        <v>1839.0800000000004</v>
      </c>
      <c r="R661" s="53">
        <f t="shared" si="32"/>
        <v>15609.800000000001</v>
      </c>
      <c r="S661" s="73">
        <v>166376.75999999989</v>
      </c>
    </row>
    <row r="662" spans="1:19" x14ac:dyDescent="0.25">
      <c r="A662" s="28"/>
      <c r="B662" s="45" t="str">
        <f t="shared" si="30"/>
        <v>Sep-2024</v>
      </c>
      <c r="C662" s="57">
        <v>45552</v>
      </c>
      <c r="D662" s="43">
        <f t="shared" si="31"/>
        <v>560</v>
      </c>
      <c r="E662" s="76">
        <v>82</v>
      </c>
      <c r="F662" s="50">
        <v>747</v>
      </c>
      <c r="G662" s="49">
        <v>404405</v>
      </c>
      <c r="H662" s="73">
        <v>735</v>
      </c>
      <c r="I662" s="77">
        <v>747</v>
      </c>
      <c r="J662" s="73">
        <v>207225.65999999997</v>
      </c>
      <c r="K662" s="52">
        <v>27</v>
      </c>
      <c r="L662" s="51">
        <v>4632.4800000000005</v>
      </c>
      <c r="M662" s="77">
        <v>776</v>
      </c>
      <c r="N662" s="76">
        <v>226491.43</v>
      </c>
      <c r="O662" s="75">
        <v>703</v>
      </c>
      <c r="P662" s="74">
        <v>29312.090000000069</v>
      </c>
      <c r="Q662" s="74">
        <v>2912.37</v>
      </c>
      <c r="R662" s="53">
        <f t="shared" si="32"/>
        <v>20220.25</v>
      </c>
      <c r="S662" s="73">
        <v>207225.65999999997</v>
      </c>
    </row>
    <row r="663" spans="1:19" x14ac:dyDescent="0.25">
      <c r="A663" s="28"/>
      <c r="B663" s="45" t="str">
        <f t="shared" si="30"/>
        <v>Sep-2024</v>
      </c>
      <c r="C663" s="57">
        <v>45553</v>
      </c>
      <c r="D663" s="43">
        <f t="shared" si="31"/>
        <v>559</v>
      </c>
      <c r="E663" s="76">
        <v>103</v>
      </c>
      <c r="F663" s="50">
        <v>597</v>
      </c>
      <c r="G663" s="49">
        <v>308580</v>
      </c>
      <c r="H663" s="73">
        <v>592</v>
      </c>
      <c r="I663" s="77">
        <v>597</v>
      </c>
      <c r="J663" s="73">
        <v>160221.32999999999</v>
      </c>
      <c r="K663" s="52">
        <v>17</v>
      </c>
      <c r="L663" s="51">
        <v>5064.07</v>
      </c>
      <c r="M663" s="77">
        <v>491</v>
      </c>
      <c r="N663" s="76">
        <v>170985.69</v>
      </c>
      <c r="O663" s="75">
        <v>452</v>
      </c>
      <c r="P663" s="74">
        <v>22627.01999999999</v>
      </c>
      <c r="Q663" s="74">
        <v>2015.27</v>
      </c>
      <c r="R663" s="53">
        <f t="shared" si="32"/>
        <v>15429</v>
      </c>
      <c r="S663" s="73">
        <v>160221.32999999999</v>
      </c>
    </row>
    <row r="664" spans="1:19" x14ac:dyDescent="0.25">
      <c r="A664" s="28"/>
      <c r="B664" s="45" t="str">
        <f t="shared" si="30"/>
        <v>Sep-2024</v>
      </c>
      <c r="C664" s="57">
        <v>45554</v>
      </c>
      <c r="D664" s="43">
        <f t="shared" si="31"/>
        <v>558</v>
      </c>
      <c r="E664" s="76">
        <v>118</v>
      </c>
      <c r="F664" s="50">
        <v>577</v>
      </c>
      <c r="G664" s="49">
        <v>274645</v>
      </c>
      <c r="H664" s="73">
        <v>572</v>
      </c>
      <c r="I664" s="77">
        <v>577</v>
      </c>
      <c r="J664" s="73">
        <v>140382.27000000005</v>
      </c>
      <c r="K664" s="52">
        <v>14</v>
      </c>
      <c r="L664" s="51">
        <v>2100.04</v>
      </c>
      <c r="M664" s="77">
        <v>555</v>
      </c>
      <c r="N664" s="76">
        <v>154075.70000000001</v>
      </c>
      <c r="O664" s="75">
        <v>490</v>
      </c>
      <c r="P664" s="74">
        <v>19812.969999999968</v>
      </c>
      <c r="Q664" s="74">
        <v>1980.8400000000006</v>
      </c>
      <c r="R664" s="53">
        <f t="shared" si="32"/>
        <v>13732.25</v>
      </c>
      <c r="S664" s="73">
        <v>140382.27000000005</v>
      </c>
    </row>
    <row r="665" spans="1:19" x14ac:dyDescent="0.25">
      <c r="A665" s="28"/>
      <c r="B665" s="45" t="str">
        <f t="shared" si="30"/>
        <v>Sep-2024</v>
      </c>
      <c r="C665" s="57">
        <v>45555</v>
      </c>
      <c r="D665" s="43">
        <f t="shared" si="31"/>
        <v>557</v>
      </c>
      <c r="E665" s="76">
        <v>99</v>
      </c>
      <c r="F665" s="50">
        <v>482</v>
      </c>
      <c r="G665" s="49">
        <v>226150</v>
      </c>
      <c r="H665" s="73">
        <v>477</v>
      </c>
      <c r="I665" s="77">
        <v>482</v>
      </c>
      <c r="J665" s="73">
        <v>116543.59000000001</v>
      </c>
      <c r="K665" s="52">
        <v>9</v>
      </c>
      <c r="L665" s="51">
        <v>2245.27</v>
      </c>
      <c r="M665" s="77">
        <v>388</v>
      </c>
      <c r="N665" s="76">
        <v>126063.9</v>
      </c>
      <c r="O665" s="75">
        <v>362</v>
      </c>
      <c r="P665" s="74">
        <v>16457.490000000063</v>
      </c>
      <c r="Q665" s="74">
        <v>1501.5500000000002</v>
      </c>
      <c r="R665" s="53">
        <f t="shared" si="32"/>
        <v>11307.5</v>
      </c>
      <c r="S665" s="73">
        <v>116543.59</v>
      </c>
    </row>
    <row r="666" spans="1:19" x14ac:dyDescent="0.25">
      <c r="A666" s="28"/>
      <c r="B666" s="45" t="str">
        <f t="shared" si="30"/>
        <v>Sep-2024</v>
      </c>
      <c r="C666" s="57">
        <v>45556</v>
      </c>
      <c r="D666" s="43">
        <f t="shared" si="31"/>
        <v>556</v>
      </c>
      <c r="E666" s="76">
        <v>104</v>
      </c>
      <c r="F666" s="50">
        <v>505</v>
      </c>
      <c r="G666" s="49">
        <v>227749</v>
      </c>
      <c r="H666" s="73">
        <v>495</v>
      </c>
      <c r="I666" s="77">
        <v>505</v>
      </c>
      <c r="J666" s="73">
        <v>116683.69</v>
      </c>
      <c r="K666" s="52">
        <v>26</v>
      </c>
      <c r="L666" s="51">
        <v>4460.93</v>
      </c>
      <c r="M666" s="77">
        <v>497</v>
      </c>
      <c r="N666" s="76">
        <v>127142.29</v>
      </c>
      <c r="O666" s="75">
        <v>401</v>
      </c>
      <c r="P666" s="74">
        <v>16076.980000000021</v>
      </c>
      <c r="Q666" s="74">
        <v>1141.8900000000003</v>
      </c>
      <c r="R666" s="53">
        <f t="shared" si="32"/>
        <v>11387.45</v>
      </c>
      <c r="S666" s="73">
        <v>116683.69</v>
      </c>
    </row>
    <row r="667" spans="1:19" x14ac:dyDescent="0.25">
      <c r="A667" s="28"/>
      <c r="B667" s="45" t="str">
        <f t="shared" si="30"/>
        <v>Sep-2024</v>
      </c>
      <c r="C667" s="57">
        <v>45557</v>
      </c>
      <c r="D667" s="43">
        <f t="shared" si="31"/>
        <v>555</v>
      </c>
      <c r="E667" s="76">
        <v>117</v>
      </c>
      <c r="F667" s="50">
        <v>419</v>
      </c>
      <c r="G667" s="49">
        <v>174869</v>
      </c>
      <c r="H667" s="73">
        <v>411</v>
      </c>
      <c r="I667" s="77">
        <v>419</v>
      </c>
      <c r="J667" s="73">
        <v>80194.740000000005</v>
      </c>
      <c r="K667" s="52">
        <v>17</v>
      </c>
      <c r="L667" s="51">
        <v>5282.0300000000007</v>
      </c>
      <c r="M667" s="77">
        <v>344</v>
      </c>
      <c r="N667" s="76">
        <v>106224.2</v>
      </c>
      <c r="O667" s="75">
        <v>303</v>
      </c>
      <c r="P667" s="74">
        <v>11549.940000000028</v>
      </c>
      <c r="Q667" s="74">
        <v>1460.76</v>
      </c>
      <c r="R667" s="53">
        <f t="shared" si="32"/>
        <v>8743.4500000000007</v>
      </c>
      <c r="S667" s="73">
        <v>80194.740000000005</v>
      </c>
    </row>
    <row r="668" spans="1:19" x14ac:dyDescent="0.25">
      <c r="A668" s="28"/>
      <c r="B668" s="45" t="str">
        <f t="shared" si="30"/>
        <v>Sep-2024</v>
      </c>
      <c r="C668" s="57">
        <v>45558</v>
      </c>
      <c r="D668" s="43">
        <f t="shared" si="31"/>
        <v>554</v>
      </c>
      <c r="E668" s="76">
        <v>101</v>
      </c>
      <c r="F668" s="50">
        <v>433</v>
      </c>
      <c r="G668" s="49">
        <v>198145</v>
      </c>
      <c r="H668" s="73">
        <v>431</v>
      </c>
      <c r="I668" s="77">
        <v>433</v>
      </c>
      <c r="J668" s="73">
        <v>92893.29</v>
      </c>
      <c r="K668" s="52">
        <v>9</v>
      </c>
      <c r="L668" s="51">
        <v>1650.28</v>
      </c>
      <c r="M668" s="77">
        <v>396</v>
      </c>
      <c r="N668" s="76">
        <v>118301.48</v>
      </c>
      <c r="O668" s="75">
        <v>357</v>
      </c>
      <c r="P668" s="74">
        <v>13049.770000000002</v>
      </c>
      <c r="Q668" s="74">
        <v>1172.29</v>
      </c>
      <c r="R668" s="53">
        <f t="shared" si="32"/>
        <v>9907.25</v>
      </c>
      <c r="S668" s="73">
        <v>92893.29</v>
      </c>
    </row>
    <row r="669" spans="1:19" x14ac:dyDescent="0.25">
      <c r="A669" s="28"/>
      <c r="B669" s="45" t="str">
        <f t="shared" si="30"/>
        <v>Sep-2024</v>
      </c>
      <c r="C669" s="57">
        <v>45559</v>
      </c>
      <c r="D669" s="43">
        <f t="shared" si="31"/>
        <v>553</v>
      </c>
      <c r="E669" s="76">
        <v>128</v>
      </c>
      <c r="F669" s="50">
        <v>465</v>
      </c>
      <c r="G669" s="49">
        <v>212350</v>
      </c>
      <c r="H669" s="73">
        <v>456</v>
      </c>
      <c r="I669" s="77">
        <v>465</v>
      </c>
      <c r="J669" s="73">
        <v>109223.88999999998</v>
      </c>
      <c r="K669" s="52">
        <v>16</v>
      </c>
      <c r="L669" s="51">
        <v>5196.1000000000004</v>
      </c>
      <c r="M669" s="77">
        <v>442</v>
      </c>
      <c r="N669" s="76">
        <v>118521.14</v>
      </c>
      <c r="O669" s="75">
        <v>409</v>
      </c>
      <c r="P669" s="74">
        <v>15395.030000000013</v>
      </c>
      <c r="Q669" s="74">
        <v>1569.5000000000005</v>
      </c>
      <c r="R669" s="53">
        <f t="shared" si="32"/>
        <v>10617.5</v>
      </c>
      <c r="S669" s="73">
        <v>109223.88999999998</v>
      </c>
    </row>
    <row r="670" spans="1:19" x14ac:dyDescent="0.25">
      <c r="A670" s="28"/>
      <c r="B670" s="45" t="str">
        <f t="shared" si="30"/>
        <v>Sep-2024</v>
      </c>
      <c r="C670" s="57">
        <v>45560</v>
      </c>
      <c r="D670" s="43">
        <f t="shared" si="31"/>
        <v>552</v>
      </c>
      <c r="E670" s="76">
        <v>137</v>
      </c>
      <c r="F670" s="50">
        <v>451</v>
      </c>
      <c r="G670" s="49">
        <v>207746</v>
      </c>
      <c r="H670" s="73">
        <v>444</v>
      </c>
      <c r="I670" s="77">
        <v>451</v>
      </c>
      <c r="J670" s="73">
        <v>93449.359999999986</v>
      </c>
      <c r="K670" s="52">
        <v>13</v>
      </c>
      <c r="L670" s="51">
        <v>3185.6800000000003</v>
      </c>
      <c r="M670" s="77">
        <v>357</v>
      </c>
      <c r="N670" s="76">
        <v>127482.28</v>
      </c>
      <c r="O670" s="75">
        <v>320</v>
      </c>
      <c r="P670" s="74">
        <v>13185.64</v>
      </c>
      <c r="Q670" s="74">
        <v>1230.8199999999995</v>
      </c>
      <c r="R670" s="53">
        <f t="shared" si="32"/>
        <v>10387.300000000001</v>
      </c>
      <c r="S670" s="73">
        <v>93449.359999999986</v>
      </c>
    </row>
    <row r="671" spans="1:19" x14ac:dyDescent="0.25">
      <c r="A671" s="28"/>
      <c r="B671" s="45" t="str">
        <f t="shared" si="30"/>
        <v>Sep-2024</v>
      </c>
      <c r="C671" s="57">
        <v>45561</v>
      </c>
      <c r="D671" s="43">
        <f t="shared" si="31"/>
        <v>551</v>
      </c>
      <c r="E671" s="76">
        <v>104</v>
      </c>
      <c r="F671" s="50">
        <v>422</v>
      </c>
      <c r="G671" s="49">
        <v>179954</v>
      </c>
      <c r="H671" s="73">
        <v>411</v>
      </c>
      <c r="I671" s="77">
        <v>422</v>
      </c>
      <c r="J671" s="73">
        <v>86757.319999999992</v>
      </c>
      <c r="K671" s="52">
        <v>22</v>
      </c>
      <c r="L671" s="51">
        <v>7710.55</v>
      </c>
      <c r="M671" s="77">
        <v>372</v>
      </c>
      <c r="N671" s="76">
        <v>105195.39</v>
      </c>
      <c r="O671" s="75">
        <v>323</v>
      </c>
      <c r="P671" s="74">
        <v>11998.710000000005</v>
      </c>
      <c r="Q671" s="74">
        <v>883.77000000000021</v>
      </c>
      <c r="R671" s="53">
        <f t="shared" si="32"/>
        <v>8997.7000000000007</v>
      </c>
      <c r="S671" s="73">
        <v>86757.319999999978</v>
      </c>
    </row>
    <row r="672" spans="1:19" x14ac:dyDescent="0.25">
      <c r="A672" s="28"/>
      <c r="B672" s="45" t="str">
        <f t="shared" si="30"/>
        <v>Sep-2024</v>
      </c>
      <c r="C672" s="57">
        <v>45562</v>
      </c>
      <c r="D672" s="43">
        <f t="shared" si="31"/>
        <v>550</v>
      </c>
      <c r="E672" s="76">
        <v>131</v>
      </c>
      <c r="F672" s="50">
        <v>446</v>
      </c>
      <c r="G672" s="49">
        <v>174399</v>
      </c>
      <c r="H672" s="73">
        <v>435</v>
      </c>
      <c r="I672" s="77">
        <v>446</v>
      </c>
      <c r="J672" s="73">
        <v>89072.079999999987</v>
      </c>
      <c r="K672" s="52">
        <v>24</v>
      </c>
      <c r="L672" s="51">
        <v>3397.5099999999998</v>
      </c>
      <c r="M672" s="77">
        <v>407</v>
      </c>
      <c r="N672" s="76">
        <v>97385.35</v>
      </c>
      <c r="O672" s="75">
        <v>348</v>
      </c>
      <c r="P672" s="74">
        <v>12058.430000000038</v>
      </c>
      <c r="Q672" s="74">
        <v>654.47000000000025</v>
      </c>
      <c r="R672" s="53">
        <f t="shared" si="32"/>
        <v>8719.9500000000007</v>
      </c>
      <c r="S672" s="73">
        <v>89072.08</v>
      </c>
    </row>
    <row r="673" spans="1:19" x14ac:dyDescent="0.25">
      <c r="A673" s="28"/>
      <c r="B673" s="45" t="str">
        <f t="shared" si="30"/>
        <v>Sep-2024</v>
      </c>
      <c r="C673" s="57">
        <v>45563</v>
      </c>
      <c r="D673" s="43">
        <f t="shared" si="31"/>
        <v>549</v>
      </c>
      <c r="E673" s="76">
        <v>97</v>
      </c>
      <c r="F673" s="50">
        <v>350</v>
      </c>
      <c r="G673" s="49">
        <v>146764</v>
      </c>
      <c r="H673" s="73">
        <v>347</v>
      </c>
      <c r="I673" s="77">
        <v>350</v>
      </c>
      <c r="J673" s="73">
        <v>64820.510000000017</v>
      </c>
      <c r="K673" s="52">
        <v>14</v>
      </c>
      <c r="L673" s="51">
        <v>1710.3600000000001</v>
      </c>
      <c r="M673" s="77">
        <v>338</v>
      </c>
      <c r="N673" s="76">
        <v>91023.49</v>
      </c>
      <c r="O673" s="75">
        <v>295</v>
      </c>
      <c r="P673" s="74">
        <v>9080.0000000000091</v>
      </c>
      <c r="Q673" s="74">
        <v>804</v>
      </c>
      <c r="R673" s="53">
        <f t="shared" si="32"/>
        <v>7338.2000000000007</v>
      </c>
      <c r="S673" s="73">
        <v>64820.51</v>
      </c>
    </row>
    <row r="674" spans="1:19" x14ac:dyDescent="0.25">
      <c r="A674" s="28"/>
      <c r="B674" s="45" t="str">
        <f t="shared" si="30"/>
        <v>Sep-2024</v>
      </c>
      <c r="C674" s="57">
        <v>45564</v>
      </c>
      <c r="D674" s="43">
        <f t="shared" si="31"/>
        <v>548</v>
      </c>
      <c r="E674" s="76">
        <v>122</v>
      </c>
      <c r="F674" s="50">
        <v>386</v>
      </c>
      <c r="G674" s="49">
        <v>157804</v>
      </c>
      <c r="H674" s="73">
        <v>378</v>
      </c>
      <c r="I674" s="77">
        <v>386</v>
      </c>
      <c r="J674" s="73">
        <v>61099.160000000033</v>
      </c>
      <c r="K674" s="52">
        <v>15</v>
      </c>
      <c r="L674" s="51">
        <v>2420.5100000000002</v>
      </c>
      <c r="M674" s="77">
        <v>336</v>
      </c>
      <c r="N674" s="76">
        <v>105496.18</v>
      </c>
      <c r="O674" s="75">
        <v>307</v>
      </c>
      <c r="P674" s="74">
        <v>8791.3399999999983</v>
      </c>
      <c r="Q674" s="74">
        <v>1056.6599999999996</v>
      </c>
      <c r="R674" s="53">
        <f t="shared" si="32"/>
        <v>7890.2000000000007</v>
      </c>
      <c r="S674" s="73">
        <v>61099.160000000018</v>
      </c>
    </row>
    <row r="675" spans="1:19" x14ac:dyDescent="0.25">
      <c r="A675" s="28"/>
      <c r="B675" s="45" t="str">
        <f t="shared" si="30"/>
        <v>Sep-2024</v>
      </c>
      <c r="C675" s="57">
        <v>45565</v>
      </c>
      <c r="D675" s="43">
        <f t="shared" si="31"/>
        <v>547</v>
      </c>
      <c r="E675" s="76">
        <v>123</v>
      </c>
      <c r="F675" s="50">
        <v>442</v>
      </c>
      <c r="G675" s="49">
        <v>185210</v>
      </c>
      <c r="H675" s="73">
        <v>429</v>
      </c>
      <c r="I675" s="77">
        <v>442</v>
      </c>
      <c r="J675" s="73">
        <v>90560.430000000008</v>
      </c>
      <c r="K675" s="52">
        <v>20</v>
      </c>
      <c r="L675" s="51">
        <v>6946.5100000000011</v>
      </c>
      <c r="M675" s="77">
        <v>358</v>
      </c>
      <c r="N675" s="76">
        <v>107111.29</v>
      </c>
      <c r="O675" s="75">
        <v>310</v>
      </c>
      <c r="P675" s="74">
        <v>12461.72</v>
      </c>
      <c r="Q675" s="74">
        <v>915.3599999999999</v>
      </c>
      <c r="R675" s="53">
        <f t="shared" si="32"/>
        <v>9260.5</v>
      </c>
      <c r="S675" s="73">
        <v>90560.430000000022</v>
      </c>
    </row>
    <row r="676" spans="1:19" x14ac:dyDescent="0.25">
      <c r="A676" s="28"/>
      <c r="B676" s="45" t="str">
        <f t="shared" si="30"/>
        <v>Oct-2024</v>
      </c>
      <c r="C676" s="57">
        <v>45566</v>
      </c>
      <c r="D676" s="43">
        <f t="shared" si="31"/>
        <v>546</v>
      </c>
      <c r="E676" s="76">
        <v>163</v>
      </c>
      <c r="F676" s="50">
        <v>432</v>
      </c>
      <c r="G676" s="49">
        <v>179194</v>
      </c>
      <c r="H676" s="73">
        <v>427</v>
      </c>
      <c r="I676" s="77">
        <v>432</v>
      </c>
      <c r="J676" s="73">
        <v>79979.790000000008</v>
      </c>
      <c r="K676" s="52">
        <v>13</v>
      </c>
      <c r="L676" s="51">
        <v>2274.4699999999998</v>
      </c>
      <c r="M676" s="77">
        <v>346</v>
      </c>
      <c r="N676" s="76">
        <v>110233.54</v>
      </c>
      <c r="O676" s="75">
        <v>312</v>
      </c>
      <c r="P676" s="74">
        <v>11019.330000000004</v>
      </c>
      <c r="Q676" s="74">
        <v>891.11</v>
      </c>
      <c r="R676" s="53">
        <f t="shared" si="32"/>
        <v>8959.7000000000007</v>
      </c>
      <c r="S676" s="73">
        <v>79979.790000000008</v>
      </c>
    </row>
    <row r="677" spans="1:19" x14ac:dyDescent="0.25">
      <c r="A677" s="28"/>
      <c r="B677" s="45" t="str">
        <f t="shared" si="30"/>
        <v>Oct-2024</v>
      </c>
      <c r="C677" s="57">
        <v>45567</v>
      </c>
      <c r="D677" s="43">
        <f t="shared" si="31"/>
        <v>545</v>
      </c>
      <c r="E677" s="76">
        <v>136</v>
      </c>
      <c r="F677" s="50">
        <v>423</v>
      </c>
      <c r="G677" s="49">
        <v>185586</v>
      </c>
      <c r="H677" s="73">
        <v>422</v>
      </c>
      <c r="I677" s="77">
        <v>423</v>
      </c>
      <c r="J677" s="73">
        <v>75977.37999999999</v>
      </c>
      <c r="K677" s="52">
        <v>14</v>
      </c>
      <c r="L677" s="51">
        <v>3055.4700000000003</v>
      </c>
      <c r="M677" s="77">
        <v>381</v>
      </c>
      <c r="N677" s="76">
        <v>120386.02</v>
      </c>
      <c r="O677" s="75">
        <v>358</v>
      </c>
      <c r="P677" s="74">
        <v>10777.400000000005</v>
      </c>
      <c r="Q677" s="74">
        <v>1201.6299999999999</v>
      </c>
      <c r="R677" s="53">
        <f t="shared" si="32"/>
        <v>9279.3000000000011</v>
      </c>
      <c r="S677" s="73">
        <v>75977.38</v>
      </c>
    </row>
    <row r="678" spans="1:19" x14ac:dyDescent="0.25">
      <c r="A678" s="28"/>
      <c r="B678" s="45" t="str">
        <f t="shared" si="30"/>
        <v>Oct-2024</v>
      </c>
      <c r="C678" s="57">
        <v>45568</v>
      </c>
      <c r="D678" s="43">
        <f t="shared" si="31"/>
        <v>544</v>
      </c>
      <c r="E678" s="76">
        <v>128</v>
      </c>
      <c r="F678" s="50">
        <v>426</v>
      </c>
      <c r="G678" s="49">
        <v>176763</v>
      </c>
      <c r="H678" s="73">
        <v>422</v>
      </c>
      <c r="I678" s="77">
        <v>426</v>
      </c>
      <c r="J678" s="73">
        <v>75672.73000000001</v>
      </c>
      <c r="K678" s="52">
        <v>20</v>
      </c>
      <c r="L678" s="51">
        <v>3453.83</v>
      </c>
      <c r="M678" s="77">
        <v>344</v>
      </c>
      <c r="N678" s="76">
        <v>111741.92</v>
      </c>
      <c r="O678" s="75">
        <v>314</v>
      </c>
      <c r="P678" s="74">
        <v>10651.650000000023</v>
      </c>
      <c r="Q678" s="74">
        <v>1015.7599999999998</v>
      </c>
      <c r="R678" s="53">
        <f t="shared" si="32"/>
        <v>8838.15</v>
      </c>
      <c r="S678" s="73">
        <v>75672.73</v>
      </c>
    </row>
    <row r="679" spans="1:19" x14ac:dyDescent="0.25">
      <c r="A679" s="28"/>
      <c r="B679" s="45" t="str">
        <f t="shared" si="30"/>
        <v>Oct-2024</v>
      </c>
      <c r="C679" s="57">
        <v>45569</v>
      </c>
      <c r="D679" s="43">
        <f t="shared" si="31"/>
        <v>543</v>
      </c>
      <c r="E679" s="76">
        <v>113</v>
      </c>
      <c r="F679" s="50">
        <v>333</v>
      </c>
      <c r="G679" s="49">
        <v>134999</v>
      </c>
      <c r="H679" s="73">
        <v>328</v>
      </c>
      <c r="I679" s="77">
        <v>333</v>
      </c>
      <c r="J679" s="73">
        <v>50591.760000000024</v>
      </c>
      <c r="K679" s="52">
        <v>12</v>
      </c>
      <c r="L679" s="51">
        <v>1251.5</v>
      </c>
      <c r="M679" s="77">
        <v>307</v>
      </c>
      <c r="N679" s="76">
        <v>91604.33</v>
      </c>
      <c r="O679" s="75">
        <v>270</v>
      </c>
      <c r="P679" s="74">
        <v>7197.09</v>
      </c>
      <c r="Q679" s="74">
        <v>768.05999999999983</v>
      </c>
      <c r="R679" s="53">
        <f t="shared" si="32"/>
        <v>6749.9500000000007</v>
      </c>
      <c r="S679" s="73">
        <v>50591.760000000038</v>
      </c>
    </row>
    <row r="680" spans="1:19" x14ac:dyDescent="0.25">
      <c r="A680" s="28"/>
      <c r="B680" s="45" t="str">
        <f t="shared" si="30"/>
        <v>Oct-2024</v>
      </c>
      <c r="C680" s="57">
        <v>45570</v>
      </c>
      <c r="D680" s="43">
        <f t="shared" si="31"/>
        <v>542</v>
      </c>
      <c r="E680" s="76">
        <v>57</v>
      </c>
      <c r="F680" s="50">
        <v>222</v>
      </c>
      <c r="G680" s="49">
        <v>105004</v>
      </c>
      <c r="H680" s="73">
        <v>220</v>
      </c>
      <c r="I680" s="77">
        <v>222</v>
      </c>
      <c r="J680" s="73">
        <v>41455.459999999977</v>
      </c>
      <c r="K680" s="52">
        <v>9</v>
      </c>
      <c r="L680" s="51">
        <v>850.16</v>
      </c>
      <c r="M680" s="77">
        <v>260</v>
      </c>
      <c r="N680" s="76">
        <v>69326.509999999995</v>
      </c>
      <c r="O680" s="75">
        <v>219</v>
      </c>
      <c r="P680" s="74">
        <v>5777.97</v>
      </c>
      <c r="Q680" s="74">
        <v>563.4</v>
      </c>
      <c r="R680" s="53">
        <f t="shared" si="32"/>
        <v>5250.2000000000007</v>
      </c>
      <c r="S680" s="73">
        <v>41455.460000000006</v>
      </c>
    </row>
    <row r="681" spans="1:19" x14ac:dyDescent="0.25">
      <c r="A681" s="28"/>
      <c r="B681" s="45" t="str">
        <f t="shared" si="30"/>
        <v>Oct-2024</v>
      </c>
      <c r="C681" s="57">
        <v>45571</v>
      </c>
      <c r="D681" s="43">
        <f t="shared" si="31"/>
        <v>541</v>
      </c>
      <c r="E681" s="76">
        <v>137</v>
      </c>
      <c r="F681" s="50">
        <v>420</v>
      </c>
      <c r="G681" s="49">
        <v>172476</v>
      </c>
      <c r="H681" s="73">
        <v>416</v>
      </c>
      <c r="I681" s="77">
        <v>420</v>
      </c>
      <c r="J681" s="73">
        <v>59387.459999999977</v>
      </c>
      <c r="K681" s="52">
        <v>11</v>
      </c>
      <c r="L681" s="51">
        <v>2901.46</v>
      </c>
      <c r="M681" s="77">
        <v>410</v>
      </c>
      <c r="N681" s="76">
        <v>121883.28</v>
      </c>
      <c r="O681" s="75">
        <v>356</v>
      </c>
      <c r="P681" s="74">
        <v>8794.7399999999943</v>
      </c>
      <c r="Q681" s="74">
        <v>1294.7700000000007</v>
      </c>
      <c r="R681" s="53">
        <f t="shared" si="32"/>
        <v>8623.8000000000011</v>
      </c>
      <c r="S681" s="73">
        <v>59387.459999999985</v>
      </c>
    </row>
    <row r="682" spans="1:19" x14ac:dyDescent="0.25">
      <c r="A682" s="28"/>
      <c r="B682" s="45" t="str">
        <f t="shared" si="30"/>
        <v>Oct-2024</v>
      </c>
      <c r="C682" s="57">
        <v>45572</v>
      </c>
      <c r="D682" s="43">
        <f t="shared" si="31"/>
        <v>540</v>
      </c>
      <c r="E682" s="76">
        <v>128</v>
      </c>
      <c r="F682" s="50">
        <v>361</v>
      </c>
      <c r="G682" s="49">
        <v>146634</v>
      </c>
      <c r="H682" s="73">
        <v>360</v>
      </c>
      <c r="I682" s="77">
        <v>361</v>
      </c>
      <c r="J682" s="73">
        <v>67293.009999999995</v>
      </c>
      <c r="K682" s="52">
        <v>5</v>
      </c>
      <c r="L682" s="51">
        <v>1701.37</v>
      </c>
      <c r="M682" s="77">
        <v>306</v>
      </c>
      <c r="N682" s="76">
        <v>88745.37</v>
      </c>
      <c r="O682" s="75">
        <v>277</v>
      </c>
      <c r="P682" s="74">
        <v>9404.3799999999901</v>
      </c>
      <c r="Q682" s="74">
        <v>933.19999999999948</v>
      </c>
      <c r="R682" s="53">
        <f t="shared" si="32"/>
        <v>7331.7000000000007</v>
      </c>
      <c r="S682" s="73">
        <v>67293.010000000009</v>
      </c>
    </row>
    <row r="683" spans="1:19" x14ac:dyDescent="0.25">
      <c r="A683" s="28"/>
      <c r="B683" s="45" t="str">
        <f t="shared" si="30"/>
        <v>Oct-2024</v>
      </c>
      <c r="C683" s="57">
        <v>45573</v>
      </c>
      <c r="D683" s="43">
        <f t="shared" si="31"/>
        <v>539</v>
      </c>
      <c r="E683" s="76">
        <v>130</v>
      </c>
      <c r="F683" s="50">
        <v>390</v>
      </c>
      <c r="G683" s="49">
        <v>163593</v>
      </c>
      <c r="H683" s="73">
        <v>378</v>
      </c>
      <c r="I683" s="77">
        <v>390</v>
      </c>
      <c r="J683" s="73">
        <v>71737.779999999912</v>
      </c>
      <c r="K683" s="52">
        <v>19</v>
      </c>
      <c r="L683" s="51">
        <v>5492.75</v>
      </c>
      <c r="M683" s="77">
        <v>335</v>
      </c>
      <c r="N683" s="76">
        <v>101622.48</v>
      </c>
      <c r="O683" s="75">
        <v>302</v>
      </c>
      <c r="P683" s="74">
        <v>9767.2600000000421</v>
      </c>
      <c r="Q683" s="74">
        <v>792.63999999999987</v>
      </c>
      <c r="R683" s="53">
        <f t="shared" si="32"/>
        <v>8179.6500000000005</v>
      </c>
      <c r="S683" s="73">
        <v>71737.779999999926</v>
      </c>
    </row>
    <row r="684" spans="1:19" x14ac:dyDescent="0.25">
      <c r="A684" s="28"/>
      <c r="B684" s="45" t="str">
        <f t="shared" si="30"/>
        <v>Oct-2024</v>
      </c>
      <c r="C684" s="57">
        <v>45574</v>
      </c>
      <c r="D684" s="43">
        <f t="shared" si="31"/>
        <v>538</v>
      </c>
      <c r="E684" s="76">
        <v>125</v>
      </c>
      <c r="F684" s="50">
        <v>397</v>
      </c>
      <c r="G684" s="49">
        <v>165075</v>
      </c>
      <c r="H684" s="73">
        <v>395</v>
      </c>
      <c r="I684" s="77">
        <v>397</v>
      </c>
      <c r="J684" s="73">
        <v>63413.08</v>
      </c>
      <c r="K684" s="52">
        <v>9</v>
      </c>
      <c r="L684" s="51">
        <v>1600.3</v>
      </c>
      <c r="M684" s="77">
        <v>363</v>
      </c>
      <c r="N684" s="76">
        <v>110624.63</v>
      </c>
      <c r="O684" s="75">
        <v>322</v>
      </c>
      <c r="P684" s="74">
        <v>8962.7100000000046</v>
      </c>
      <c r="Q684" s="74">
        <v>1035.4699999999998</v>
      </c>
      <c r="R684" s="53">
        <f t="shared" si="32"/>
        <v>8253.75</v>
      </c>
      <c r="S684" s="73">
        <v>63413.080000000016</v>
      </c>
    </row>
    <row r="685" spans="1:19" x14ac:dyDescent="0.25">
      <c r="A685" s="28"/>
      <c r="B685" s="45" t="str">
        <f t="shared" si="30"/>
        <v>Oct-2024</v>
      </c>
      <c r="C685" s="57">
        <v>45575</v>
      </c>
      <c r="D685" s="43">
        <f t="shared" si="31"/>
        <v>537</v>
      </c>
      <c r="E685" s="76">
        <v>130</v>
      </c>
      <c r="F685" s="50">
        <v>404</v>
      </c>
      <c r="G685" s="49">
        <v>152418</v>
      </c>
      <c r="H685" s="73">
        <v>398</v>
      </c>
      <c r="I685" s="77">
        <v>404</v>
      </c>
      <c r="J685" s="73">
        <v>64678.420000000027</v>
      </c>
      <c r="K685" s="52">
        <v>16</v>
      </c>
      <c r="L685" s="51">
        <v>3001.63</v>
      </c>
      <c r="M685" s="77">
        <v>356</v>
      </c>
      <c r="N685" s="76">
        <v>96634.1</v>
      </c>
      <c r="O685" s="75">
        <v>326</v>
      </c>
      <c r="P685" s="74">
        <v>8894.5200000000023</v>
      </c>
      <c r="Q685" s="74">
        <v>771.1999999999997</v>
      </c>
      <c r="R685" s="53">
        <f t="shared" si="32"/>
        <v>7620.9000000000005</v>
      </c>
      <c r="S685" s="73">
        <v>64678.420000000049</v>
      </c>
    </row>
    <row r="686" spans="1:19" x14ac:dyDescent="0.25">
      <c r="A686" s="28"/>
      <c r="B686" s="45" t="str">
        <f t="shared" si="30"/>
        <v>Oct-2024</v>
      </c>
      <c r="C686" s="57">
        <v>45576</v>
      </c>
      <c r="D686" s="43">
        <f t="shared" si="31"/>
        <v>536</v>
      </c>
      <c r="E686" s="76">
        <v>107</v>
      </c>
      <c r="F686" s="50">
        <v>383</v>
      </c>
      <c r="G686" s="49">
        <v>164142</v>
      </c>
      <c r="H686" s="73">
        <v>377</v>
      </c>
      <c r="I686" s="77">
        <v>383</v>
      </c>
      <c r="J686" s="73">
        <v>58182.129999999968</v>
      </c>
      <c r="K686" s="52">
        <v>18</v>
      </c>
      <c r="L686" s="51">
        <v>5313.2</v>
      </c>
      <c r="M686" s="77">
        <v>344</v>
      </c>
      <c r="N686" s="76">
        <v>114125.78</v>
      </c>
      <c r="O686" s="75">
        <v>322</v>
      </c>
      <c r="P686" s="74">
        <v>8165.9100000000053</v>
      </c>
      <c r="Q686" s="74">
        <v>913.95000000000016</v>
      </c>
      <c r="R686" s="53">
        <f t="shared" si="32"/>
        <v>8207.1</v>
      </c>
      <c r="S686" s="73">
        <v>58182.129999999968</v>
      </c>
    </row>
    <row r="687" spans="1:19" x14ac:dyDescent="0.25">
      <c r="A687" s="28"/>
      <c r="B687" s="45" t="str">
        <f t="shared" si="30"/>
        <v>Oct-2024</v>
      </c>
      <c r="C687" s="57">
        <v>45577</v>
      </c>
      <c r="D687" s="43">
        <f t="shared" si="31"/>
        <v>535</v>
      </c>
      <c r="E687" s="76">
        <v>128</v>
      </c>
      <c r="F687" s="50">
        <v>405</v>
      </c>
      <c r="G687" s="49">
        <v>159432</v>
      </c>
      <c r="H687" s="73">
        <v>396</v>
      </c>
      <c r="I687" s="77">
        <v>405</v>
      </c>
      <c r="J687" s="73">
        <v>54181.230000000032</v>
      </c>
      <c r="K687" s="52">
        <v>19</v>
      </c>
      <c r="L687" s="51">
        <v>5381.06</v>
      </c>
      <c r="M687" s="77">
        <v>329</v>
      </c>
      <c r="N687" s="76">
        <v>112902.06</v>
      </c>
      <c r="O687" s="75">
        <v>305</v>
      </c>
      <c r="P687" s="74">
        <v>7651.2900000000072</v>
      </c>
      <c r="Q687" s="74">
        <v>795.35000000000014</v>
      </c>
      <c r="R687" s="53">
        <f t="shared" si="32"/>
        <v>7971.6</v>
      </c>
      <c r="S687" s="73">
        <v>54181.23000000001</v>
      </c>
    </row>
    <row r="688" spans="1:19" x14ac:dyDescent="0.25">
      <c r="A688" s="28"/>
      <c r="B688" s="45" t="str">
        <f t="shared" si="30"/>
        <v>Oct-2024</v>
      </c>
      <c r="C688" s="57">
        <v>45578</v>
      </c>
      <c r="D688" s="43">
        <f t="shared" si="31"/>
        <v>534</v>
      </c>
      <c r="E688" s="76">
        <v>138</v>
      </c>
      <c r="F688" s="50">
        <v>369</v>
      </c>
      <c r="G688" s="49">
        <v>122175</v>
      </c>
      <c r="H688" s="73">
        <v>363</v>
      </c>
      <c r="I688" s="77">
        <v>369</v>
      </c>
      <c r="J688" s="73">
        <v>50001.929999999993</v>
      </c>
      <c r="K688" s="52">
        <v>17</v>
      </c>
      <c r="L688" s="51">
        <v>1847.36</v>
      </c>
      <c r="M688" s="77">
        <v>271</v>
      </c>
      <c r="N688" s="76">
        <v>79187.66</v>
      </c>
      <c r="O688" s="75">
        <v>250</v>
      </c>
      <c r="P688" s="74">
        <v>7014.5900000000101</v>
      </c>
      <c r="Q688" s="74">
        <v>661.44999999999959</v>
      </c>
      <c r="R688" s="53">
        <f t="shared" si="32"/>
        <v>6108.75</v>
      </c>
      <c r="S688" s="73">
        <v>50001.929999999993</v>
      </c>
    </row>
    <row r="689" spans="1:19" x14ac:dyDescent="0.25">
      <c r="A689" s="28"/>
      <c r="B689" s="45" t="str">
        <f t="shared" si="30"/>
        <v>Oct-2024</v>
      </c>
      <c r="C689" s="57">
        <v>45579</v>
      </c>
      <c r="D689" s="43">
        <f t="shared" si="31"/>
        <v>533</v>
      </c>
      <c r="E689" s="76">
        <v>137</v>
      </c>
      <c r="F689" s="50">
        <v>385</v>
      </c>
      <c r="G689" s="49">
        <v>155590</v>
      </c>
      <c r="H689" s="73">
        <v>380</v>
      </c>
      <c r="I689" s="77">
        <v>385</v>
      </c>
      <c r="J689" s="73">
        <v>61798.579999999944</v>
      </c>
      <c r="K689" s="52">
        <v>15</v>
      </c>
      <c r="L689" s="51">
        <v>5090.95</v>
      </c>
      <c r="M689" s="77">
        <v>322</v>
      </c>
      <c r="N689" s="76">
        <v>102470.14</v>
      </c>
      <c r="O689" s="75">
        <v>296</v>
      </c>
      <c r="P689" s="74">
        <v>8678.7200000000012</v>
      </c>
      <c r="Q689" s="74">
        <v>1010.96</v>
      </c>
      <c r="R689" s="53">
        <f t="shared" si="32"/>
        <v>7779.5</v>
      </c>
      <c r="S689" s="73">
        <v>61798.579999999922</v>
      </c>
    </row>
    <row r="690" spans="1:19" x14ac:dyDescent="0.25">
      <c r="A690" s="28"/>
      <c r="B690" s="45" t="str">
        <f t="shared" si="30"/>
        <v>Oct-2024</v>
      </c>
      <c r="C690" s="57">
        <v>45580</v>
      </c>
      <c r="D690" s="43">
        <f t="shared" si="31"/>
        <v>532</v>
      </c>
      <c r="E690" s="76">
        <v>144</v>
      </c>
      <c r="F690" s="50">
        <v>378</v>
      </c>
      <c r="G690" s="49">
        <v>147320</v>
      </c>
      <c r="H690" s="73">
        <v>370</v>
      </c>
      <c r="I690" s="77">
        <v>378</v>
      </c>
      <c r="J690" s="73">
        <v>51666.300000000025</v>
      </c>
      <c r="K690" s="52">
        <v>15</v>
      </c>
      <c r="L690" s="51">
        <v>2040.4199999999998</v>
      </c>
      <c r="M690" s="77">
        <v>354</v>
      </c>
      <c r="N690" s="76">
        <v>102856.9</v>
      </c>
      <c r="O690" s="75">
        <v>302</v>
      </c>
      <c r="P690" s="74">
        <v>7203.2000000000016</v>
      </c>
      <c r="Q690" s="74">
        <v>748.95</v>
      </c>
      <c r="R690" s="53">
        <f t="shared" si="32"/>
        <v>7366</v>
      </c>
      <c r="S690" s="73">
        <v>51666.300000000032</v>
      </c>
    </row>
    <row r="691" spans="1:19" x14ac:dyDescent="0.25">
      <c r="A691" s="28"/>
      <c r="B691" s="45" t="str">
        <f t="shared" si="30"/>
        <v>Oct-2024</v>
      </c>
      <c r="C691" s="57">
        <v>45581</v>
      </c>
      <c r="D691" s="43">
        <f t="shared" si="31"/>
        <v>531</v>
      </c>
      <c r="E691" s="76">
        <v>89</v>
      </c>
      <c r="F691" s="50">
        <v>222</v>
      </c>
      <c r="G691" s="49">
        <v>86606</v>
      </c>
      <c r="H691" s="73">
        <v>222</v>
      </c>
      <c r="I691" s="77">
        <v>222</v>
      </c>
      <c r="J691" s="73">
        <v>35172.460000000028</v>
      </c>
      <c r="K691" s="52">
        <v>2</v>
      </c>
      <c r="L691" s="51">
        <v>6.98</v>
      </c>
      <c r="M691" s="77">
        <v>160</v>
      </c>
      <c r="N691" s="76">
        <v>56228.53</v>
      </c>
      <c r="O691" s="75">
        <v>146</v>
      </c>
      <c r="P691" s="74">
        <v>4794.9900000000152</v>
      </c>
      <c r="Q691" s="74">
        <v>383.36000000000007</v>
      </c>
      <c r="R691" s="53">
        <f t="shared" si="32"/>
        <v>4330.3</v>
      </c>
      <c r="S691" s="73">
        <v>35172.460000000028</v>
      </c>
    </row>
    <row r="692" spans="1:19" x14ac:dyDescent="0.25">
      <c r="A692" s="28"/>
      <c r="B692" s="45" t="str">
        <f t="shared" si="30"/>
        <v>Oct-2024</v>
      </c>
      <c r="C692" s="57">
        <v>45582</v>
      </c>
      <c r="D692" s="43">
        <f t="shared" si="31"/>
        <v>530</v>
      </c>
      <c r="E692" s="76">
        <v>152</v>
      </c>
      <c r="F692" s="50">
        <v>382</v>
      </c>
      <c r="G692" s="49">
        <v>140745</v>
      </c>
      <c r="H692" s="73">
        <v>382</v>
      </c>
      <c r="I692" s="77">
        <v>382</v>
      </c>
      <c r="J692" s="73">
        <v>51193.679999999986</v>
      </c>
      <c r="K692" s="52">
        <v>8</v>
      </c>
      <c r="L692" s="51">
        <v>1877.02</v>
      </c>
      <c r="M692" s="77">
        <v>313</v>
      </c>
      <c r="N692" s="76">
        <v>96749.79</v>
      </c>
      <c r="O692" s="75">
        <v>286</v>
      </c>
      <c r="P692" s="74">
        <v>7198.4700000000039</v>
      </c>
      <c r="Q692" s="74">
        <v>817.65999999999963</v>
      </c>
      <c r="R692" s="53">
        <f t="shared" si="32"/>
        <v>7037.25</v>
      </c>
      <c r="S692" s="73">
        <v>51193.679999999986</v>
      </c>
    </row>
    <row r="693" spans="1:19" x14ac:dyDescent="0.25">
      <c r="A693" s="28"/>
      <c r="B693" s="45" t="str">
        <f t="shared" si="30"/>
        <v>Oct-2024</v>
      </c>
      <c r="C693" s="57">
        <v>45583</v>
      </c>
      <c r="D693" s="43">
        <f t="shared" si="31"/>
        <v>529</v>
      </c>
      <c r="E693" s="76">
        <v>186</v>
      </c>
      <c r="F693" s="50">
        <v>322</v>
      </c>
      <c r="G693" s="49">
        <v>101338</v>
      </c>
      <c r="H693" s="73">
        <v>319</v>
      </c>
      <c r="I693" s="77">
        <v>322</v>
      </c>
      <c r="J693" s="73">
        <v>37209.320000000022</v>
      </c>
      <c r="K693" s="52">
        <v>9</v>
      </c>
      <c r="L693" s="51">
        <v>2894.48</v>
      </c>
      <c r="M693" s="77">
        <v>279</v>
      </c>
      <c r="N693" s="76">
        <v>69375.17</v>
      </c>
      <c r="O693" s="75">
        <v>251</v>
      </c>
      <c r="P693" s="74">
        <v>5246.4900000000071</v>
      </c>
      <c r="Q693" s="74">
        <v>524.5100000000001</v>
      </c>
      <c r="R693" s="53">
        <f t="shared" si="32"/>
        <v>5066.9000000000005</v>
      </c>
      <c r="S693" s="73">
        <v>37209.320000000007</v>
      </c>
    </row>
    <row r="694" spans="1:19" x14ac:dyDescent="0.25">
      <c r="A694" s="28"/>
      <c r="B694" s="45" t="str">
        <f t="shared" si="30"/>
        <v>Oct-2024</v>
      </c>
      <c r="C694" s="57">
        <v>45584</v>
      </c>
      <c r="D694" s="43">
        <f t="shared" si="31"/>
        <v>528</v>
      </c>
      <c r="E694" s="76">
        <v>215</v>
      </c>
      <c r="F694" s="50">
        <v>241</v>
      </c>
      <c r="G694" s="49">
        <v>39530</v>
      </c>
      <c r="H694" s="73">
        <v>237</v>
      </c>
      <c r="I694" s="77">
        <v>241</v>
      </c>
      <c r="J694" s="73">
        <v>20825.390000000003</v>
      </c>
      <c r="K694" s="52">
        <v>13</v>
      </c>
      <c r="L694" s="51">
        <v>2063.3000000000002</v>
      </c>
      <c r="M694" s="77">
        <v>187</v>
      </c>
      <c r="N694" s="76">
        <v>21865.65</v>
      </c>
      <c r="O694" s="75">
        <v>164</v>
      </c>
      <c r="P694" s="74">
        <v>3161.0399999999991</v>
      </c>
      <c r="Q694" s="74">
        <v>460.08000000000004</v>
      </c>
      <c r="R694" s="53">
        <f t="shared" si="32"/>
        <v>1976.5</v>
      </c>
      <c r="S694" s="73">
        <v>20825.39</v>
      </c>
    </row>
    <row r="695" spans="1:19" x14ac:dyDescent="0.25">
      <c r="A695" s="28"/>
      <c r="B695" s="45" t="str">
        <f t="shared" si="30"/>
        <v>Oct-2024</v>
      </c>
      <c r="C695" s="57">
        <v>45585</v>
      </c>
      <c r="D695" s="43">
        <f t="shared" si="31"/>
        <v>527</v>
      </c>
      <c r="E695" s="76">
        <v>205</v>
      </c>
      <c r="F695" s="50">
        <v>163</v>
      </c>
      <c r="G695" s="49">
        <v>16097</v>
      </c>
      <c r="H695" s="73">
        <v>163</v>
      </c>
      <c r="I695" s="77">
        <v>163</v>
      </c>
      <c r="J695" s="73">
        <v>13138.859999999999</v>
      </c>
      <c r="K695" s="52">
        <v>1</v>
      </c>
      <c r="L695" s="51">
        <v>95</v>
      </c>
      <c r="M695" s="77">
        <v>69</v>
      </c>
      <c r="N695" s="76">
        <v>4801.1899999999996</v>
      </c>
      <c r="O695" s="75">
        <v>60</v>
      </c>
      <c r="P695" s="74">
        <v>1843.0499999999993</v>
      </c>
      <c r="Q695" s="74">
        <v>50.559999999999995</v>
      </c>
      <c r="R695" s="53">
        <f t="shared" si="32"/>
        <v>804.85</v>
      </c>
      <c r="S695" s="73">
        <v>13138.859999999999</v>
      </c>
    </row>
    <row r="696" spans="1:19" x14ac:dyDescent="0.25">
      <c r="A696" s="28"/>
      <c r="B696" s="45" t="str">
        <f t="shared" si="30"/>
        <v>Oct-2024</v>
      </c>
      <c r="C696" s="57">
        <v>45586</v>
      </c>
      <c r="D696" s="43">
        <f t="shared" si="31"/>
        <v>526</v>
      </c>
      <c r="E696" s="76">
        <v>263</v>
      </c>
      <c r="F696" s="50">
        <v>210</v>
      </c>
      <c r="G696" s="49">
        <v>20904</v>
      </c>
      <c r="H696" s="73">
        <v>207</v>
      </c>
      <c r="I696" s="77">
        <v>210</v>
      </c>
      <c r="J696" s="73">
        <v>16163.519999999997</v>
      </c>
      <c r="K696" s="52">
        <v>4</v>
      </c>
      <c r="L696" s="51">
        <v>309.06</v>
      </c>
      <c r="M696" s="77">
        <v>106</v>
      </c>
      <c r="N696" s="76">
        <v>7074.08</v>
      </c>
      <c r="O696" s="75">
        <v>96</v>
      </c>
      <c r="P696" s="74">
        <v>2333.5999999999976</v>
      </c>
      <c r="Q696" s="74">
        <v>120.18</v>
      </c>
      <c r="R696" s="53">
        <f t="shared" si="32"/>
        <v>1045.2</v>
      </c>
      <c r="S696" s="73">
        <v>16163.519999999999</v>
      </c>
    </row>
    <row r="697" spans="1:19" x14ac:dyDescent="0.25">
      <c r="A697" s="28"/>
      <c r="B697" s="45" t="str">
        <f t="shared" si="30"/>
        <v>Oct-2024</v>
      </c>
      <c r="C697" s="57">
        <v>45587</v>
      </c>
      <c r="D697" s="43">
        <f t="shared" si="31"/>
        <v>525</v>
      </c>
      <c r="E697" s="76">
        <v>231</v>
      </c>
      <c r="F697" s="50">
        <v>230</v>
      </c>
      <c r="G697" s="49">
        <v>22927</v>
      </c>
      <c r="H697" s="73">
        <v>224</v>
      </c>
      <c r="I697" s="77">
        <v>230</v>
      </c>
      <c r="J697" s="73">
        <v>18136.88</v>
      </c>
      <c r="K697" s="52">
        <v>10</v>
      </c>
      <c r="L697" s="51">
        <v>715.14</v>
      </c>
      <c r="M697" s="77">
        <v>108</v>
      </c>
      <c r="N697" s="76">
        <v>7360.3</v>
      </c>
      <c r="O697" s="75">
        <v>95</v>
      </c>
      <c r="P697" s="74">
        <v>2570.1799999999985</v>
      </c>
      <c r="Q697" s="74">
        <v>110.45000000000002</v>
      </c>
      <c r="R697" s="53">
        <f t="shared" si="32"/>
        <v>1146.3500000000001</v>
      </c>
      <c r="S697" s="73">
        <v>18136.88</v>
      </c>
    </row>
    <row r="698" spans="1:19" x14ac:dyDescent="0.25">
      <c r="A698" s="28"/>
      <c r="B698" s="45" t="str">
        <f t="shared" si="30"/>
        <v>Oct-2024</v>
      </c>
      <c r="C698" s="57">
        <v>45588</v>
      </c>
      <c r="D698" s="43">
        <f t="shared" si="31"/>
        <v>524</v>
      </c>
      <c r="E698" s="76">
        <v>188</v>
      </c>
      <c r="F698" s="50">
        <v>187</v>
      </c>
      <c r="G698" s="49">
        <v>18577</v>
      </c>
      <c r="H698" s="73">
        <v>186</v>
      </c>
      <c r="I698" s="77">
        <v>187</v>
      </c>
      <c r="J698" s="73">
        <v>11629.060000000001</v>
      </c>
      <c r="K698" s="52">
        <v>7</v>
      </c>
      <c r="L698" s="51">
        <v>305.97999999999996</v>
      </c>
      <c r="M698" s="77">
        <v>114</v>
      </c>
      <c r="N698" s="76">
        <v>8636.49</v>
      </c>
      <c r="O698" s="75">
        <v>104</v>
      </c>
      <c r="P698" s="74">
        <v>1688.5499999999995</v>
      </c>
      <c r="Q698" s="74">
        <v>119.84000000000002</v>
      </c>
      <c r="R698" s="53">
        <f t="shared" si="32"/>
        <v>928.85</v>
      </c>
      <c r="S698" s="73">
        <v>11629.060000000001</v>
      </c>
    </row>
    <row r="699" spans="1:19" x14ac:dyDescent="0.25">
      <c r="A699" s="28"/>
      <c r="B699" s="45" t="str">
        <f t="shared" si="30"/>
        <v>Oct-2024</v>
      </c>
      <c r="C699" s="57">
        <v>45589</v>
      </c>
      <c r="D699" s="43">
        <f t="shared" si="31"/>
        <v>523</v>
      </c>
      <c r="E699" s="76">
        <v>238</v>
      </c>
      <c r="F699" s="50">
        <v>208</v>
      </c>
      <c r="G699" s="49">
        <v>20995</v>
      </c>
      <c r="H699" s="73">
        <v>206</v>
      </c>
      <c r="I699" s="77">
        <v>208</v>
      </c>
      <c r="J699" s="73">
        <v>17870.129999999997</v>
      </c>
      <c r="K699" s="52">
        <v>3</v>
      </c>
      <c r="L699" s="51">
        <v>206.04</v>
      </c>
      <c r="M699" s="77">
        <v>76</v>
      </c>
      <c r="N699" s="76">
        <v>5593.53</v>
      </c>
      <c r="O699" s="75">
        <v>72</v>
      </c>
      <c r="P699" s="74">
        <v>2468.659999999998</v>
      </c>
      <c r="Q699" s="74">
        <v>72.739999999999966</v>
      </c>
      <c r="R699" s="53">
        <f t="shared" si="32"/>
        <v>1049.75</v>
      </c>
      <c r="S699" s="73">
        <v>17870.13</v>
      </c>
    </row>
    <row r="700" spans="1:19" x14ac:dyDescent="0.25">
      <c r="A700" s="28"/>
      <c r="B700" s="45" t="str">
        <f t="shared" si="30"/>
        <v>Oct-2024</v>
      </c>
      <c r="C700" s="57">
        <v>45590</v>
      </c>
      <c r="D700" s="43">
        <f t="shared" si="31"/>
        <v>522</v>
      </c>
      <c r="E700" s="76">
        <v>208</v>
      </c>
      <c r="F700" s="50">
        <v>203</v>
      </c>
      <c r="G700" s="49">
        <v>20091</v>
      </c>
      <c r="H700" s="73">
        <v>201</v>
      </c>
      <c r="I700" s="77">
        <v>203</v>
      </c>
      <c r="J700" s="73">
        <v>14889.54</v>
      </c>
      <c r="K700" s="52">
        <v>3</v>
      </c>
      <c r="L700" s="51">
        <v>300.06</v>
      </c>
      <c r="M700" s="77">
        <v>94</v>
      </c>
      <c r="N700" s="76">
        <v>7281.03</v>
      </c>
      <c r="O700" s="75">
        <v>85</v>
      </c>
      <c r="P700" s="74">
        <v>2079.5699999999988</v>
      </c>
      <c r="Q700" s="74">
        <v>69.480000000000018</v>
      </c>
      <c r="R700" s="53">
        <f t="shared" si="32"/>
        <v>1004.5500000000001</v>
      </c>
      <c r="S700" s="73">
        <v>14889.54</v>
      </c>
    </row>
    <row r="701" spans="1:19" x14ac:dyDescent="0.25">
      <c r="A701" s="28"/>
      <c r="B701" s="45" t="str">
        <f t="shared" si="30"/>
        <v>Oct-2024</v>
      </c>
      <c r="C701" s="57">
        <v>45591</v>
      </c>
      <c r="D701" s="43">
        <f t="shared" si="31"/>
        <v>521</v>
      </c>
      <c r="E701" s="76">
        <v>227</v>
      </c>
      <c r="F701" s="50">
        <v>222</v>
      </c>
      <c r="G701" s="49">
        <v>22121</v>
      </c>
      <c r="H701" s="73">
        <v>213</v>
      </c>
      <c r="I701" s="77">
        <v>222</v>
      </c>
      <c r="J701" s="73">
        <v>15017.909999999998</v>
      </c>
      <c r="K701" s="52">
        <v>11</v>
      </c>
      <c r="L701" s="51">
        <v>1000.1999999999999</v>
      </c>
      <c r="M701" s="77">
        <v>121</v>
      </c>
      <c r="N701" s="76">
        <v>9243.73</v>
      </c>
      <c r="O701" s="75">
        <v>112</v>
      </c>
      <c r="P701" s="74">
        <v>2140.64</v>
      </c>
      <c r="Q701" s="74">
        <v>117.46999999999998</v>
      </c>
      <c r="R701" s="53">
        <f t="shared" si="32"/>
        <v>1106.05</v>
      </c>
      <c r="S701" s="73">
        <v>15017.91</v>
      </c>
    </row>
    <row r="702" spans="1:19" x14ac:dyDescent="0.25">
      <c r="A702" s="28"/>
      <c r="B702" s="45" t="str">
        <f t="shared" si="30"/>
        <v>Oct-2024</v>
      </c>
      <c r="C702" s="57">
        <v>45592</v>
      </c>
      <c r="D702" s="43">
        <f t="shared" si="31"/>
        <v>520</v>
      </c>
      <c r="E702" s="76">
        <v>224</v>
      </c>
      <c r="F702" s="50">
        <v>218</v>
      </c>
      <c r="G702" s="49">
        <v>21647</v>
      </c>
      <c r="H702" s="73">
        <v>213</v>
      </c>
      <c r="I702" s="77">
        <v>218</v>
      </c>
      <c r="J702" s="73">
        <v>13621.940000000002</v>
      </c>
      <c r="K702" s="52">
        <v>9</v>
      </c>
      <c r="L702" s="51">
        <v>641.09999999999991</v>
      </c>
      <c r="M702" s="77">
        <v>133</v>
      </c>
      <c r="N702" s="76">
        <v>9952.82</v>
      </c>
      <c r="O702" s="75">
        <v>122</v>
      </c>
      <c r="P702" s="74">
        <v>1927.7599999999989</v>
      </c>
      <c r="Q702" s="74">
        <v>93.370000000000019</v>
      </c>
      <c r="R702" s="53">
        <f t="shared" si="32"/>
        <v>1082.3500000000001</v>
      </c>
      <c r="S702" s="73">
        <v>13621.94</v>
      </c>
    </row>
    <row r="703" spans="1:19" x14ac:dyDescent="0.25">
      <c r="A703" s="28"/>
      <c r="B703" s="45" t="str">
        <f t="shared" si="30"/>
        <v>Oct-2024</v>
      </c>
      <c r="C703" s="57">
        <v>45593</v>
      </c>
      <c r="D703" s="43">
        <f t="shared" si="31"/>
        <v>519</v>
      </c>
      <c r="E703" s="76">
        <v>200</v>
      </c>
      <c r="F703" s="50">
        <v>189</v>
      </c>
      <c r="G703" s="49">
        <v>18769</v>
      </c>
      <c r="H703" s="73">
        <v>189</v>
      </c>
      <c r="I703" s="77">
        <v>189</v>
      </c>
      <c r="J703" s="73">
        <v>13399.55</v>
      </c>
      <c r="K703" s="52">
        <v>5</v>
      </c>
      <c r="L703" s="51">
        <v>82</v>
      </c>
      <c r="M703" s="77">
        <v>103</v>
      </c>
      <c r="N703" s="76">
        <v>7226.28</v>
      </c>
      <c r="O703" s="75">
        <v>96</v>
      </c>
      <c r="P703" s="74">
        <v>1856.8299999999981</v>
      </c>
      <c r="Q703" s="74">
        <v>62.679999999999986</v>
      </c>
      <c r="R703" s="53">
        <f t="shared" si="32"/>
        <v>938.45</v>
      </c>
      <c r="S703" s="73">
        <v>13399.55</v>
      </c>
    </row>
    <row r="704" spans="1:19" x14ac:dyDescent="0.25">
      <c r="A704" s="28"/>
      <c r="B704" s="45" t="str">
        <f t="shared" si="30"/>
        <v>Oct-2024</v>
      </c>
      <c r="C704" s="57">
        <v>45594</v>
      </c>
      <c r="D704" s="43">
        <f t="shared" si="31"/>
        <v>518</v>
      </c>
      <c r="E704" s="76">
        <v>210</v>
      </c>
      <c r="F704" s="50">
        <v>197</v>
      </c>
      <c r="G704" s="49">
        <v>19490</v>
      </c>
      <c r="H704" s="73">
        <v>189</v>
      </c>
      <c r="I704" s="77">
        <v>197</v>
      </c>
      <c r="J704" s="73">
        <v>12090.669999999998</v>
      </c>
      <c r="K704" s="52">
        <v>12</v>
      </c>
      <c r="L704" s="51">
        <v>819.16</v>
      </c>
      <c r="M704" s="77">
        <v>136</v>
      </c>
      <c r="N704" s="76">
        <v>9164.26</v>
      </c>
      <c r="O704" s="75">
        <v>123</v>
      </c>
      <c r="P704" s="74">
        <v>1764.9299999999982</v>
      </c>
      <c r="Q704" s="74">
        <v>144.51000000000002</v>
      </c>
      <c r="R704" s="53">
        <f t="shared" si="32"/>
        <v>974.5</v>
      </c>
      <c r="S704" s="73">
        <v>12090.67</v>
      </c>
    </row>
    <row r="705" spans="1:22" x14ac:dyDescent="0.25">
      <c r="A705" s="28"/>
      <c r="B705" s="45" t="str">
        <f t="shared" si="30"/>
        <v>Oct-2024</v>
      </c>
      <c r="C705" s="57">
        <v>45595</v>
      </c>
      <c r="D705" s="43">
        <f t="shared" si="31"/>
        <v>517</v>
      </c>
      <c r="E705" s="76">
        <v>184</v>
      </c>
      <c r="F705" s="50">
        <v>193</v>
      </c>
      <c r="G705" s="49">
        <v>19185</v>
      </c>
      <c r="H705" s="73">
        <v>187</v>
      </c>
      <c r="I705" s="77">
        <v>193</v>
      </c>
      <c r="J705" s="73">
        <v>12806.5</v>
      </c>
      <c r="K705" s="52">
        <v>9</v>
      </c>
      <c r="L705" s="51">
        <v>795.12</v>
      </c>
      <c r="M705" s="77">
        <v>109</v>
      </c>
      <c r="N705" s="76">
        <v>8159.23</v>
      </c>
      <c r="O705" s="75">
        <v>103</v>
      </c>
      <c r="P705" s="74">
        <v>1780.7299999999982</v>
      </c>
      <c r="Q705" s="74">
        <v>62.94</v>
      </c>
      <c r="R705" s="53">
        <f t="shared" si="32"/>
        <v>959.25</v>
      </c>
      <c r="S705" s="73">
        <v>12806.499999999998</v>
      </c>
    </row>
    <row r="706" spans="1:22" x14ac:dyDescent="0.25">
      <c r="A706" s="28"/>
      <c r="B706" s="45" t="str">
        <f t="shared" si="30"/>
        <v>Oct-2024</v>
      </c>
      <c r="C706" s="57">
        <v>45596</v>
      </c>
      <c r="D706" s="43">
        <f t="shared" si="31"/>
        <v>516</v>
      </c>
      <c r="E706" s="76">
        <v>210</v>
      </c>
      <c r="F706" s="50">
        <v>210</v>
      </c>
      <c r="G706" s="49">
        <v>20855</v>
      </c>
      <c r="H706" s="73">
        <v>206</v>
      </c>
      <c r="I706" s="77">
        <v>210</v>
      </c>
      <c r="J706" s="73">
        <v>14149.26</v>
      </c>
      <c r="K706" s="52">
        <v>6</v>
      </c>
      <c r="L706" s="51">
        <v>400.08</v>
      </c>
      <c r="M706" s="77">
        <v>117</v>
      </c>
      <c r="N706" s="76">
        <v>8712.8700000000008</v>
      </c>
      <c r="O706" s="75">
        <v>104</v>
      </c>
      <c r="P706" s="74">
        <v>2007.1299999999987</v>
      </c>
      <c r="Q706" s="74">
        <v>110.16999999999999</v>
      </c>
      <c r="R706" s="53">
        <f t="shared" si="32"/>
        <v>1042.75</v>
      </c>
      <c r="S706" s="73">
        <v>14149.26</v>
      </c>
      <c r="V706" s="76"/>
    </row>
    <row r="707" spans="1:22" x14ac:dyDescent="0.25">
      <c r="A707" s="28"/>
      <c r="B707" s="45" t="str">
        <f t="shared" si="30"/>
        <v>Nov-2024</v>
      </c>
      <c r="C707" s="57">
        <v>45597</v>
      </c>
      <c r="D707" s="43">
        <f t="shared" si="31"/>
        <v>515</v>
      </c>
      <c r="E707" s="76">
        <v>212</v>
      </c>
      <c r="F707" s="50">
        <v>216</v>
      </c>
      <c r="G707" s="49">
        <v>21499</v>
      </c>
      <c r="H707" s="73">
        <v>208</v>
      </c>
      <c r="I707" s="77">
        <v>216</v>
      </c>
      <c r="J707" s="73">
        <v>16106.039999999997</v>
      </c>
      <c r="K707" s="52">
        <v>9</v>
      </c>
      <c r="L707" s="51">
        <v>900.18</v>
      </c>
      <c r="M707" s="77">
        <v>99</v>
      </c>
      <c r="N707" s="76">
        <v>7592.96</v>
      </c>
      <c r="O707" s="75">
        <v>88</v>
      </c>
      <c r="P707" s="74">
        <v>2199.9999999999982</v>
      </c>
      <c r="Q707" s="74">
        <v>40.36</v>
      </c>
      <c r="R707" s="53">
        <f t="shared" si="32"/>
        <v>1074.95</v>
      </c>
      <c r="S707" s="73">
        <v>16106.04</v>
      </c>
      <c r="V707" s="76"/>
    </row>
    <row r="708" spans="1:22" x14ac:dyDescent="0.25">
      <c r="A708" s="28"/>
      <c r="B708" s="45" t="str">
        <f t="shared" si="30"/>
        <v>Nov-2024</v>
      </c>
      <c r="C708" s="57">
        <v>45598</v>
      </c>
      <c r="D708" s="43">
        <f t="shared" si="31"/>
        <v>514</v>
      </c>
      <c r="E708" s="76">
        <v>204</v>
      </c>
      <c r="F708" s="50">
        <v>239</v>
      </c>
      <c r="G708" s="49">
        <v>23654</v>
      </c>
      <c r="H708" s="73">
        <v>234</v>
      </c>
      <c r="I708" s="77">
        <v>239</v>
      </c>
      <c r="J708" s="73">
        <v>15599.02</v>
      </c>
      <c r="K708" s="52">
        <v>13</v>
      </c>
      <c r="L708" s="51">
        <v>1090.1799999999998</v>
      </c>
      <c r="M708" s="77">
        <v>142</v>
      </c>
      <c r="N708" s="76">
        <v>10215.57</v>
      </c>
      <c r="O708" s="75">
        <v>131</v>
      </c>
      <c r="P708" s="74">
        <v>2160.5899999999988</v>
      </c>
      <c r="Q708" s="74">
        <v>84.22</v>
      </c>
      <c r="R708" s="53">
        <f t="shared" si="32"/>
        <v>1182.7</v>
      </c>
      <c r="S708" s="73">
        <v>15599.019999999999</v>
      </c>
      <c r="V708" s="76"/>
    </row>
    <row r="709" spans="1:22" x14ac:dyDescent="0.25">
      <c r="A709" s="28"/>
      <c r="B709" s="45" t="str">
        <f t="shared" si="30"/>
        <v>Nov-2024</v>
      </c>
      <c r="C709" s="57">
        <v>45599</v>
      </c>
      <c r="D709" s="43">
        <f t="shared" si="31"/>
        <v>513</v>
      </c>
      <c r="E709" s="76">
        <v>171</v>
      </c>
      <c r="F709" s="50">
        <v>195</v>
      </c>
      <c r="G709" s="49">
        <v>19270</v>
      </c>
      <c r="H709" s="73">
        <v>187</v>
      </c>
      <c r="I709" s="77">
        <v>195</v>
      </c>
      <c r="J709" s="73">
        <v>12618.329999999998</v>
      </c>
      <c r="K709" s="52">
        <v>10</v>
      </c>
      <c r="L709" s="51">
        <v>917.18</v>
      </c>
      <c r="M709" s="77">
        <v>109</v>
      </c>
      <c r="N709" s="76">
        <v>8394.7099999999991</v>
      </c>
      <c r="O709" s="75">
        <v>103</v>
      </c>
      <c r="P709" s="74">
        <v>1743.0399999999993</v>
      </c>
      <c r="Q709" s="74">
        <v>59.509999999999984</v>
      </c>
      <c r="R709" s="53">
        <f t="shared" si="32"/>
        <v>963.5</v>
      </c>
      <c r="S709" s="73">
        <v>12618.329999999998</v>
      </c>
      <c r="V709" s="76"/>
    </row>
    <row r="710" spans="1:22" x14ac:dyDescent="0.25">
      <c r="A710" s="28"/>
      <c r="B710" s="45" t="str">
        <f t="shared" si="30"/>
        <v>Nov-2024</v>
      </c>
      <c r="C710" s="57">
        <v>45600</v>
      </c>
      <c r="D710" s="43">
        <f t="shared" si="31"/>
        <v>512</v>
      </c>
      <c r="E710" s="76">
        <v>201</v>
      </c>
      <c r="F710" s="50">
        <v>197</v>
      </c>
      <c r="G710" s="49">
        <v>19464</v>
      </c>
      <c r="H710" s="73">
        <v>179</v>
      </c>
      <c r="I710" s="77">
        <v>197</v>
      </c>
      <c r="J710" s="73">
        <v>11412.340000000004</v>
      </c>
      <c r="K710" s="52">
        <v>27</v>
      </c>
      <c r="L710" s="51">
        <v>2301.4199999999996</v>
      </c>
      <c r="M710" s="77">
        <v>122</v>
      </c>
      <c r="N710" s="76">
        <v>9658.6200000000008</v>
      </c>
      <c r="O710" s="75">
        <v>114</v>
      </c>
      <c r="P710" s="74">
        <v>1606.9599999999991</v>
      </c>
      <c r="Q710" s="74">
        <v>89.090000000000018</v>
      </c>
      <c r="R710" s="53">
        <f t="shared" si="32"/>
        <v>973.2</v>
      </c>
      <c r="S710" s="73">
        <v>11412.340000000002</v>
      </c>
      <c r="V710" s="76"/>
    </row>
    <row r="711" spans="1:22" x14ac:dyDescent="0.25">
      <c r="A711" s="28"/>
      <c r="B711" s="45" t="str">
        <f t="shared" ref="B711:B774" si="33">TEXT(C711,"MMM-YYYY")</f>
        <v>Nov-2024</v>
      </c>
      <c r="C711" s="57">
        <v>45601</v>
      </c>
      <c r="D711" s="43">
        <f t="shared" ref="D711:D774" si="34">$A$1-C711</f>
        <v>511</v>
      </c>
      <c r="E711" s="76">
        <v>185</v>
      </c>
      <c r="F711" s="50">
        <v>186</v>
      </c>
      <c r="G711" s="49">
        <v>18341</v>
      </c>
      <c r="H711" s="73">
        <v>176</v>
      </c>
      <c r="I711" s="77">
        <v>186</v>
      </c>
      <c r="J711" s="73">
        <v>9816.35</v>
      </c>
      <c r="K711" s="52">
        <v>12</v>
      </c>
      <c r="L711" s="51">
        <v>1200.24</v>
      </c>
      <c r="M711" s="77">
        <v>125</v>
      </c>
      <c r="N711" s="76">
        <v>9932.02</v>
      </c>
      <c r="O711" s="75">
        <v>115</v>
      </c>
      <c r="P711" s="74">
        <v>1407.3699999999985</v>
      </c>
      <c r="Q711" s="74">
        <v>115.52999999999999</v>
      </c>
      <c r="R711" s="53">
        <f t="shared" ref="R711:R774" si="35">G711*5%</f>
        <v>917.05000000000007</v>
      </c>
      <c r="S711" s="73">
        <v>9816.3500000000113</v>
      </c>
      <c r="V711" s="76"/>
    </row>
    <row r="712" spans="1:22" x14ac:dyDescent="0.25">
      <c r="A712" s="28"/>
      <c r="B712" s="45" t="str">
        <f t="shared" si="33"/>
        <v>Nov-2024</v>
      </c>
      <c r="C712" s="57">
        <v>45602</v>
      </c>
      <c r="D712" s="43">
        <f t="shared" si="34"/>
        <v>510</v>
      </c>
      <c r="E712" s="76">
        <v>190</v>
      </c>
      <c r="F712" s="50">
        <v>205</v>
      </c>
      <c r="G712" s="49">
        <v>20271</v>
      </c>
      <c r="H712" s="73">
        <v>198</v>
      </c>
      <c r="I712" s="77">
        <v>205</v>
      </c>
      <c r="J712" s="73">
        <v>12416.76</v>
      </c>
      <c r="K712" s="52">
        <v>12</v>
      </c>
      <c r="L712" s="51">
        <v>830.16</v>
      </c>
      <c r="M712" s="77">
        <v>128</v>
      </c>
      <c r="N712" s="76">
        <v>9595.4599999999991</v>
      </c>
      <c r="O712" s="75">
        <v>118</v>
      </c>
      <c r="P712" s="74">
        <v>1741.2200000000014</v>
      </c>
      <c r="Q712" s="74">
        <v>118.34999999999998</v>
      </c>
      <c r="R712" s="53">
        <f t="shared" si="35"/>
        <v>1013.5500000000001</v>
      </c>
      <c r="S712" s="73">
        <v>12416.76</v>
      </c>
      <c r="V712" s="76"/>
    </row>
    <row r="713" spans="1:22" x14ac:dyDescent="0.25">
      <c r="A713" s="28"/>
      <c r="B713" s="45" t="str">
        <f t="shared" si="33"/>
        <v>Nov-2024</v>
      </c>
      <c r="C713" s="57">
        <v>45603</v>
      </c>
      <c r="D713" s="43">
        <f t="shared" si="34"/>
        <v>509</v>
      </c>
      <c r="E713" s="76">
        <v>202</v>
      </c>
      <c r="F713" s="50">
        <v>256</v>
      </c>
      <c r="G713" s="49">
        <v>25409</v>
      </c>
      <c r="H713" s="73">
        <v>224</v>
      </c>
      <c r="I713" s="77">
        <v>256</v>
      </c>
      <c r="J713" s="73">
        <v>13834.050000000003</v>
      </c>
      <c r="K713" s="52">
        <v>44</v>
      </c>
      <c r="L713" s="51">
        <v>3883.8199999999997</v>
      </c>
      <c r="M713" s="77">
        <v>163</v>
      </c>
      <c r="N713" s="76">
        <v>13529.49</v>
      </c>
      <c r="O713" s="75">
        <v>153</v>
      </c>
      <c r="P713" s="74">
        <v>1954.5399999999991</v>
      </c>
      <c r="Q713" s="74">
        <v>130.67999999999998</v>
      </c>
      <c r="R713" s="53">
        <f t="shared" si="35"/>
        <v>1270.45</v>
      </c>
      <c r="S713" s="73">
        <v>13834.050000000001</v>
      </c>
      <c r="V713" s="76"/>
    </row>
    <row r="714" spans="1:22" x14ac:dyDescent="0.25">
      <c r="A714" s="28"/>
      <c r="B714" s="45" t="str">
        <f t="shared" si="33"/>
        <v>Nov-2024</v>
      </c>
      <c r="C714" s="57">
        <v>45604</v>
      </c>
      <c r="D714" s="43">
        <f t="shared" si="34"/>
        <v>508</v>
      </c>
      <c r="E714" s="76">
        <v>223</v>
      </c>
      <c r="F714" s="50">
        <v>230</v>
      </c>
      <c r="G714" s="49">
        <v>22868</v>
      </c>
      <c r="H714" s="73">
        <v>227</v>
      </c>
      <c r="I714" s="77">
        <v>230</v>
      </c>
      <c r="J714" s="73">
        <v>13918.78</v>
      </c>
      <c r="K714" s="52">
        <v>11</v>
      </c>
      <c r="L714" s="51">
        <v>722.59999999999991</v>
      </c>
      <c r="M714" s="77">
        <v>161</v>
      </c>
      <c r="N714" s="76">
        <v>10953.66</v>
      </c>
      <c r="O714" s="75">
        <v>138</v>
      </c>
      <c r="P714" s="74">
        <v>2004.4400000000003</v>
      </c>
      <c r="Q714" s="74">
        <v>161.88</v>
      </c>
      <c r="R714" s="53">
        <f t="shared" si="35"/>
        <v>1143.4000000000001</v>
      </c>
      <c r="S714" s="73">
        <v>13918.779999999999</v>
      </c>
      <c r="V714" s="76"/>
    </row>
    <row r="715" spans="1:22" x14ac:dyDescent="0.25">
      <c r="A715" s="28"/>
      <c r="B715" s="45" t="str">
        <f t="shared" si="33"/>
        <v>Nov-2024</v>
      </c>
      <c r="C715" s="57">
        <v>45605</v>
      </c>
      <c r="D715" s="43">
        <f t="shared" si="34"/>
        <v>507</v>
      </c>
      <c r="E715" s="76">
        <v>193</v>
      </c>
      <c r="F715" s="50">
        <v>217</v>
      </c>
      <c r="G715" s="49">
        <v>21554</v>
      </c>
      <c r="H715" s="73">
        <v>213</v>
      </c>
      <c r="I715" s="77">
        <v>217</v>
      </c>
      <c r="J715" s="73">
        <v>13115.259999999998</v>
      </c>
      <c r="K715" s="52">
        <v>9</v>
      </c>
      <c r="L715" s="51">
        <v>535.1</v>
      </c>
      <c r="M715" s="77">
        <v>130</v>
      </c>
      <c r="N715" s="76">
        <v>10286.209999999999</v>
      </c>
      <c r="O715" s="75">
        <v>121</v>
      </c>
      <c r="P715" s="74">
        <v>1847.4700000000005</v>
      </c>
      <c r="Q715" s="74">
        <v>134.14000000000001</v>
      </c>
      <c r="R715" s="53">
        <f t="shared" si="35"/>
        <v>1077.7</v>
      </c>
      <c r="S715" s="73">
        <v>13115.259999999998</v>
      </c>
      <c r="V715" s="76"/>
    </row>
    <row r="716" spans="1:22" x14ac:dyDescent="0.25">
      <c r="A716" s="28"/>
      <c r="B716" s="45" t="str">
        <f t="shared" si="33"/>
        <v>Nov-2024</v>
      </c>
      <c r="C716" s="57">
        <v>45606</v>
      </c>
      <c r="D716" s="43">
        <f t="shared" si="34"/>
        <v>506</v>
      </c>
      <c r="E716" s="76">
        <v>182</v>
      </c>
      <c r="F716" s="50">
        <v>210</v>
      </c>
      <c r="G716" s="49">
        <v>20804</v>
      </c>
      <c r="H716" s="73">
        <v>205</v>
      </c>
      <c r="I716" s="77">
        <v>210</v>
      </c>
      <c r="J716" s="73">
        <v>13704.55</v>
      </c>
      <c r="K716" s="52">
        <v>13</v>
      </c>
      <c r="L716" s="51">
        <v>852.11999999999989</v>
      </c>
      <c r="M716" s="77">
        <v>125</v>
      </c>
      <c r="N716" s="76">
        <v>8993.08</v>
      </c>
      <c r="O716" s="75">
        <v>110</v>
      </c>
      <c r="P716" s="74">
        <v>1893.6299999999978</v>
      </c>
      <c r="Q716" s="74">
        <v>87.94</v>
      </c>
      <c r="R716" s="53">
        <f t="shared" si="35"/>
        <v>1040.2</v>
      </c>
      <c r="S716" s="73">
        <v>13704.55</v>
      </c>
      <c r="V716" s="76"/>
    </row>
    <row r="717" spans="1:22" x14ac:dyDescent="0.25">
      <c r="A717" s="28"/>
      <c r="B717" s="45" t="str">
        <f t="shared" si="33"/>
        <v>Nov-2024</v>
      </c>
      <c r="C717" s="57">
        <v>45607</v>
      </c>
      <c r="D717" s="43">
        <f t="shared" si="34"/>
        <v>505</v>
      </c>
      <c r="E717" s="76">
        <v>195</v>
      </c>
      <c r="F717" s="50">
        <v>201</v>
      </c>
      <c r="G717" s="49">
        <v>19973</v>
      </c>
      <c r="H717" s="73">
        <v>197</v>
      </c>
      <c r="I717" s="77">
        <v>201</v>
      </c>
      <c r="J717" s="73">
        <v>11106.139999999998</v>
      </c>
      <c r="K717" s="52">
        <v>9</v>
      </c>
      <c r="L717" s="51">
        <v>548.29999999999995</v>
      </c>
      <c r="M717" s="77">
        <v>160</v>
      </c>
      <c r="N717" s="76">
        <v>10433.879999999999</v>
      </c>
      <c r="O717" s="75">
        <v>145</v>
      </c>
      <c r="P717" s="74">
        <v>1567.0199999999984</v>
      </c>
      <c r="Q717" s="74">
        <v>122.67999999999999</v>
      </c>
      <c r="R717" s="53">
        <f t="shared" si="35"/>
        <v>998.65000000000009</v>
      </c>
      <c r="S717" s="73">
        <v>11106.14</v>
      </c>
      <c r="V717" s="76"/>
    </row>
    <row r="718" spans="1:22" x14ac:dyDescent="0.25">
      <c r="A718" s="28"/>
      <c r="B718" s="45" t="str">
        <f t="shared" si="33"/>
        <v>Nov-2024</v>
      </c>
      <c r="C718" s="57">
        <v>45608</v>
      </c>
      <c r="D718" s="43">
        <f t="shared" si="34"/>
        <v>504</v>
      </c>
      <c r="E718" s="76">
        <v>223</v>
      </c>
      <c r="F718" s="50">
        <v>254</v>
      </c>
      <c r="G718" s="49">
        <v>25017</v>
      </c>
      <c r="H718" s="73">
        <v>246</v>
      </c>
      <c r="I718" s="77">
        <v>254</v>
      </c>
      <c r="J718" s="73">
        <v>15367.119999999997</v>
      </c>
      <c r="K718" s="52">
        <v>14</v>
      </c>
      <c r="L718" s="51">
        <v>1196.2199999999998</v>
      </c>
      <c r="M718" s="77">
        <v>162</v>
      </c>
      <c r="N718" s="76">
        <v>11804.4</v>
      </c>
      <c r="O718" s="75">
        <v>151</v>
      </c>
      <c r="P718" s="74">
        <v>2154.5199999999982</v>
      </c>
      <c r="Q718" s="74">
        <v>142.85</v>
      </c>
      <c r="R718" s="53">
        <f t="shared" si="35"/>
        <v>1250.8500000000001</v>
      </c>
      <c r="S718" s="73">
        <v>15367.09</v>
      </c>
      <c r="V718" s="76"/>
    </row>
    <row r="719" spans="1:22" x14ac:dyDescent="0.25">
      <c r="A719" s="28"/>
      <c r="B719" s="45" t="str">
        <f t="shared" si="33"/>
        <v>Nov-2024</v>
      </c>
      <c r="C719" s="57">
        <v>45609</v>
      </c>
      <c r="D719" s="43">
        <f t="shared" si="34"/>
        <v>503</v>
      </c>
      <c r="E719" s="76">
        <v>247</v>
      </c>
      <c r="F719" s="50">
        <v>273</v>
      </c>
      <c r="G719" s="49">
        <v>27633</v>
      </c>
      <c r="H719" s="73">
        <v>268</v>
      </c>
      <c r="I719" s="77">
        <v>273</v>
      </c>
      <c r="J719" s="73">
        <v>19247.010000000002</v>
      </c>
      <c r="K719" s="52">
        <v>9</v>
      </c>
      <c r="L719" s="51">
        <v>805.16</v>
      </c>
      <c r="M719" s="77">
        <v>167</v>
      </c>
      <c r="N719" s="76">
        <v>11013.54</v>
      </c>
      <c r="O719" s="75">
        <v>158</v>
      </c>
      <c r="P719" s="74">
        <v>2627.5499999999997</v>
      </c>
      <c r="Q719" s="74">
        <v>116.9</v>
      </c>
      <c r="R719" s="53">
        <f t="shared" si="35"/>
        <v>1381.65</v>
      </c>
      <c r="S719" s="73">
        <v>19247.009999999998</v>
      </c>
      <c r="V719" s="76"/>
    </row>
    <row r="720" spans="1:22" x14ac:dyDescent="0.25">
      <c r="A720" s="28"/>
      <c r="B720" s="45" t="str">
        <f t="shared" si="33"/>
        <v>Nov-2024</v>
      </c>
      <c r="C720" s="57">
        <v>45610</v>
      </c>
      <c r="D720" s="43">
        <f t="shared" si="34"/>
        <v>502</v>
      </c>
      <c r="E720" s="76">
        <v>250</v>
      </c>
      <c r="F720" s="50">
        <v>267</v>
      </c>
      <c r="G720" s="49">
        <v>26530</v>
      </c>
      <c r="H720" s="73">
        <v>262</v>
      </c>
      <c r="I720" s="77">
        <v>267</v>
      </c>
      <c r="J720" s="73">
        <v>18066.910000000003</v>
      </c>
      <c r="K720" s="52">
        <v>12</v>
      </c>
      <c r="L720" s="51">
        <v>742.11999999999989</v>
      </c>
      <c r="M720" s="77">
        <v>150</v>
      </c>
      <c r="N720" s="76">
        <v>11005.54</v>
      </c>
      <c r="O720" s="75">
        <v>137</v>
      </c>
      <c r="P720" s="74">
        <v>2542.4499999999962</v>
      </c>
      <c r="Q720" s="74">
        <v>175.47</v>
      </c>
      <c r="R720" s="53">
        <f t="shared" si="35"/>
        <v>1326.5</v>
      </c>
      <c r="S720" s="73">
        <v>18066.91</v>
      </c>
      <c r="V720" s="76"/>
    </row>
    <row r="721" spans="1:22" x14ac:dyDescent="0.25">
      <c r="A721" s="28"/>
      <c r="B721" s="45" t="str">
        <f t="shared" si="33"/>
        <v>Nov-2024</v>
      </c>
      <c r="C721" s="57">
        <v>45611</v>
      </c>
      <c r="D721" s="43">
        <f t="shared" si="34"/>
        <v>501</v>
      </c>
      <c r="E721" s="76">
        <v>262</v>
      </c>
      <c r="F721" s="50">
        <v>287</v>
      </c>
      <c r="G721" s="49">
        <v>28378</v>
      </c>
      <c r="H721" s="73">
        <v>282</v>
      </c>
      <c r="I721" s="77">
        <v>287</v>
      </c>
      <c r="J721" s="73">
        <v>18466.759999999998</v>
      </c>
      <c r="K721" s="52">
        <v>9</v>
      </c>
      <c r="L721" s="51">
        <v>700.14</v>
      </c>
      <c r="M721" s="77">
        <v>178</v>
      </c>
      <c r="N721" s="76">
        <v>12423.84</v>
      </c>
      <c r="O721" s="75">
        <v>156</v>
      </c>
      <c r="P721" s="74">
        <v>2512.5999999999954</v>
      </c>
      <c r="Q721" s="74">
        <v>110.45999999999995</v>
      </c>
      <c r="R721" s="53">
        <f t="shared" si="35"/>
        <v>1418.9</v>
      </c>
      <c r="S721" s="73">
        <v>18466.760000000002</v>
      </c>
      <c r="V721" s="76"/>
    </row>
    <row r="722" spans="1:22" x14ac:dyDescent="0.25">
      <c r="A722" s="28"/>
      <c r="B722" s="45" t="str">
        <f t="shared" si="33"/>
        <v>Nov-2024</v>
      </c>
      <c r="C722" s="57">
        <v>45612</v>
      </c>
      <c r="D722" s="43">
        <f t="shared" si="34"/>
        <v>500</v>
      </c>
      <c r="E722" s="76">
        <v>329</v>
      </c>
      <c r="F722" s="50">
        <v>349</v>
      </c>
      <c r="G722" s="49">
        <v>34852</v>
      </c>
      <c r="H722" s="73">
        <v>339</v>
      </c>
      <c r="I722" s="77">
        <v>349</v>
      </c>
      <c r="J722" s="73">
        <v>22869.800000000003</v>
      </c>
      <c r="K722" s="52">
        <v>19</v>
      </c>
      <c r="L722" s="51">
        <v>1267.2399999999998</v>
      </c>
      <c r="M722" s="77">
        <v>206</v>
      </c>
      <c r="N722" s="76">
        <v>15131.28</v>
      </c>
      <c r="O722" s="75">
        <v>191</v>
      </c>
      <c r="P722" s="74">
        <v>3149.0799999999931</v>
      </c>
      <c r="Q722" s="74">
        <v>187.82999999999998</v>
      </c>
      <c r="R722" s="53">
        <f t="shared" si="35"/>
        <v>1742.6000000000001</v>
      </c>
      <c r="S722" s="73">
        <v>22869.800000000003</v>
      </c>
      <c r="V722" s="76"/>
    </row>
    <row r="723" spans="1:22" x14ac:dyDescent="0.25">
      <c r="A723" s="28"/>
      <c r="B723" s="45" t="str">
        <f t="shared" si="33"/>
        <v>Nov-2024</v>
      </c>
      <c r="C723" s="57">
        <v>45613</v>
      </c>
      <c r="D723" s="43">
        <f t="shared" si="34"/>
        <v>499</v>
      </c>
      <c r="E723" s="76">
        <v>309</v>
      </c>
      <c r="F723" s="50">
        <v>335</v>
      </c>
      <c r="G723" s="49">
        <v>33162</v>
      </c>
      <c r="H723" s="73">
        <v>328</v>
      </c>
      <c r="I723" s="77">
        <v>335</v>
      </c>
      <c r="J723" s="73">
        <v>21464.120000000006</v>
      </c>
      <c r="K723" s="52">
        <v>16</v>
      </c>
      <c r="L723" s="51">
        <v>1066.1299999999999</v>
      </c>
      <c r="M723" s="77">
        <v>207</v>
      </c>
      <c r="N723" s="76">
        <v>14628.83</v>
      </c>
      <c r="O723" s="75">
        <v>191</v>
      </c>
      <c r="P723" s="74">
        <v>2930.9499999999966</v>
      </c>
      <c r="Q723" s="74">
        <v>153.28000000000003</v>
      </c>
      <c r="R723" s="53">
        <f t="shared" si="35"/>
        <v>1658.1000000000001</v>
      </c>
      <c r="S723" s="73">
        <v>21464.090000000004</v>
      </c>
      <c r="V723" s="76"/>
    </row>
    <row r="724" spans="1:22" x14ac:dyDescent="0.25">
      <c r="A724" s="28"/>
      <c r="B724" s="45" t="str">
        <f t="shared" si="33"/>
        <v>Nov-2024</v>
      </c>
      <c r="C724" s="57">
        <v>45614</v>
      </c>
      <c r="D724" s="43">
        <f t="shared" si="34"/>
        <v>498</v>
      </c>
      <c r="E724" s="76">
        <v>280</v>
      </c>
      <c r="F724" s="50">
        <v>315</v>
      </c>
      <c r="G724" s="49">
        <v>31825</v>
      </c>
      <c r="H724" s="73">
        <v>306</v>
      </c>
      <c r="I724" s="77">
        <v>315</v>
      </c>
      <c r="J724" s="73">
        <v>20254.199999999997</v>
      </c>
      <c r="K724" s="52">
        <v>15</v>
      </c>
      <c r="L724" s="51">
        <v>1205.6399999999999</v>
      </c>
      <c r="M724" s="77">
        <v>203</v>
      </c>
      <c r="N724" s="76">
        <v>14315.08</v>
      </c>
      <c r="O724" s="75">
        <v>190</v>
      </c>
      <c r="P724" s="74">
        <v>2744.2799999999934</v>
      </c>
      <c r="Q724" s="74">
        <v>148.17000000000002</v>
      </c>
      <c r="R724" s="53">
        <f t="shared" si="35"/>
        <v>1591.25</v>
      </c>
      <c r="S724" s="73">
        <v>20254.199999999997</v>
      </c>
      <c r="V724" s="76"/>
    </row>
    <row r="725" spans="1:22" x14ac:dyDescent="0.25">
      <c r="A725" s="28"/>
      <c r="B725" s="45" t="str">
        <f t="shared" si="33"/>
        <v>Nov-2024</v>
      </c>
      <c r="C725" s="57">
        <v>45615</v>
      </c>
      <c r="D725" s="43">
        <f t="shared" si="34"/>
        <v>497</v>
      </c>
      <c r="E725" s="76">
        <v>322</v>
      </c>
      <c r="F725" s="50">
        <v>338</v>
      </c>
      <c r="G725" s="49">
        <v>33345</v>
      </c>
      <c r="H725" s="73">
        <v>332</v>
      </c>
      <c r="I725" s="77">
        <v>338</v>
      </c>
      <c r="J725" s="73">
        <v>21631.54</v>
      </c>
      <c r="K725" s="52">
        <v>16</v>
      </c>
      <c r="L725" s="51">
        <v>985.16</v>
      </c>
      <c r="M725" s="77">
        <v>215</v>
      </c>
      <c r="N725" s="76">
        <v>14675.2</v>
      </c>
      <c r="O725" s="75">
        <v>197</v>
      </c>
      <c r="P725" s="74">
        <v>2961.7399999999943</v>
      </c>
      <c r="Q725" s="74">
        <v>194.83000000000004</v>
      </c>
      <c r="R725" s="53">
        <f t="shared" si="35"/>
        <v>1667.25</v>
      </c>
      <c r="S725" s="73">
        <v>21631.54</v>
      </c>
      <c r="V725" s="76"/>
    </row>
    <row r="726" spans="1:22" x14ac:dyDescent="0.25">
      <c r="A726" s="28"/>
      <c r="B726" s="45" t="str">
        <f t="shared" si="33"/>
        <v>Nov-2024</v>
      </c>
      <c r="C726" s="57">
        <v>45616</v>
      </c>
      <c r="D726" s="43">
        <f t="shared" si="34"/>
        <v>496</v>
      </c>
      <c r="E726" s="76">
        <v>282</v>
      </c>
      <c r="F726" s="50">
        <v>313</v>
      </c>
      <c r="G726" s="49">
        <v>30915</v>
      </c>
      <c r="H726" s="73">
        <v>302</v>
      </c>
      <c r="I726" s="77">
        <v>313</v>
      </c>
      <c r="J726" s="73">
        <v>19935.330000000002</v>
      </c>
      <c r="K726" s="52">
        <v>15</v>
      </c>
      <c r="L726" s="51">
        <v>1385.26</v>
      </c>
      <c r="M726" s="77">
        <v>170</v>
      </c>
      <c r="N726" s="76">
        <v>13675.2</v>
      </c>
      <c r="O726" s="75">
        <v>166</v>
      </c>
      <c r="P726" s="74">
        <v>2695.5299999999943</v>
      </c>
      <c r="Q726" s="74">
        <v>119.66</v>
      </c>
      <c r="R726" s="53">
        <f t="shared" si="35"/>
        <v>1545.75</v>
      </c>
      <c r="S726" s="73">
        <v>19935.329999999998</v>
      </c>
      <c r="V726" s="76"/>
    </row>
    <row r="727" spans="1:22" x14ac:dyDescent="0.25">
      <c r="A727" s="28"/>
      <c r="B727" s="45" t="str">
        <f t="shared" si="33"/>
        <v>Nov-2024</v>
      </c>
      <c r="C727" s="57">
        <v>45617</v>
      </c>
      <c r="D727" s="43">
        <f t="shared" si="34"/>
        <v>495</v>
      </c>
      <c r="E727" s="76">
        <v>327</v>
      </c>
      <c r="F727" s="50">
        <v>353</v>
      </c>
      <c r="G727" s="49">
        <v>34919</v>
      </c>
      <c r="H727" s="73">
        <v>344</v>
      </c>
      <c r="I727" s="77">
        <v>353</v>
      </c>
      <c r="J727" s="73">
        <v>23267.659999999996</v>
      </c>
      <c r="K727" s="52">
        <v>16</v>
      </c>
      <c r="L727" s="51">
        <v>1257.2299999999998</v>
      </c>
      <c r="M727" s="77">
        <v>223</v>
      </c>
      <c r="N727" s="76">
        <v>14790.02</v>
      </c>
      <c r="O727" s="75">
        <v>208</v>
      </c>
      <c r="P727" s="74">
        <v>3138.6799999999976</v>
      </c>
      <c r="Q727" s="74">
        <v>164.06</v>
      </c>
      <c r="R727" s="53">
        <f t="shared" si="35"/>
        <v>1745.95</v>
      </c>
      <c r="S727" s="73">
        <v>23267.659999999996</v>
      </c>
      <c r="V727" s="76"/>
    </row>
    <row r="728" spans="1:22" x14ac:dyDescent="0.25">
      <c r="A728" s="28"/>
      <c r="B728" s="45" t="str">
        <f t="shared" si="33"/>
        <v>Nov-2024</v>
      </c>
      <c r="C728" s="57">
        <v>45618</v>
      </c>
      <c r="D728" s="43">
        <f t="shared" si="34"/>
        <v>494</v>
      </c>
      <c r="E728" s="76">
        <v>331</v>
      </c>
      <c r="F728" s="50">
        <v>358</v>
      </c>
      <c r="G728" s="49">
        <v>35609</v>
      </c>
      <c r="H728" s="73">
        <v>351</v>
      </c>
      <c r="I728" s="77">
        <v>358</v>
      </c>
      <c r="J728" s="73">
        <v>22025.47</v>
      </c>
      <c r="K728" s="52">
        <v>16</v>
      </c>
      <c r="L728" s="51">
        <v>1015.06</v>
      </c>
      <c r="M728" s="77">
        <v>228</v>
      </c>
      <c r="N728" s="76">
        <v>16602.240000000002</v>
      </c>
      <c r="O728" s="75">
        <v>201</v>
      </c>
      <c r="P728" s="74">
        <v>3018.7099999999937</v>
      </c>
      <c r="Q728" s="74">
        <v>194.12000000000012</v>
      </c>
      <c r="R728" s="53">
        <f t="shared" si="35"/>
        <v>1780.45</v>
      </c>
      <c r="S728" s="73">
        <v>22025.47</v>
      </c>
      <c r="V728" s="76"/>
    </row>
    <row r="729" spans="1:22" x14ac:dyDescent="0.25">
      <c r="A729" s="28"/>
      <c r="B729" s="45" t="str">
        <f t="shared" si="33"/>
        <v>Nov-2024</v>
      </c>
      <c r="C729" s="57">
        <v>45619</v>
      </c>
      <c r="D729" s="43">
        <f t="shared" si="34"/>
        <v>493</v>
      </c>
      <c r="E729" s="76">
        <v>296</v>
      </c>
      <c r="F729" s="50">
        <v>339</v>
      </c>
      <c r="G729" s="49">
        <v>33482</v>
      </c>
      <c r="H729" s="73">
        <v>332</v>
      </c>
      <c r="I729" s="77">
        <v>339</v>
      </c>
      <c r="J729" s="73">
        <v>20114.200000000004</v>
      </c>
      <c r="K729" s="52">
        <v>17</v>
      </c>
      <c r="L729" s="51">
        <v>1008.1699999999998</v>
      </c>
      <c r="M729" s="77">
        <v>221</v>
      </c>
      <c r="N729" s="76">
        <v>16097.57</v>
      </c>
      <c r="O729" s="75">
        <v>212</v>
      </c>
      <c r="P729" s="74">
        <v>2729.7699999999941</v>
      </c>
      <c r="Q729" s="74">
        <v>156</v>
      </c>
      <c r="R729" s="53">
        <f t="shared" si="35"/>
        <v>1674.1000000000001</v>
      </c>
      <c r="S729" s="73">
        <v>20114.2</v>
      </c>
      <c r="V729" s="76"/>
    </row>
    <row r="730" spans="1:22" x14ac:dyDescent="0.25">
      <c r="A730" s="28"/>
      <c r="B730" s="45" t="str">
        <f t="shared" si="33"/>
        <v>Nov-2024</v>
      </c>
      <c r="C730" s="57">
        <v>45620</v>
      </c>
      <c r="D730" s="43">
        <f t="shared" si="34"/>
        <v>492</v>
      </c>
      <c r="E730" s="76">
        <v>274</v>
      </c>
      <c r="F730" s="50">
        <v>326</v>
      </c>
      <c r="G730" s="49">
        <v>32224</v>
      </c>
      <c r="H730" s="73">
        <v>320</v>
      </c>
      <c r="I730" s="77">
        <v>326</v>
      </c>
      <c r="J730" s="73">
        <v>17537.159999999996</v>
      </c>
      <c r="K730" s="52">
        <v>26</v>
      </c>
      <c r="L730" s="51">
        <v>1448.09</v>
      </c>
      <c r="M730" s="77">
        <v>227</v>
      </c>
      <c r="N730" s="76">
        <v>17079.62</v>
      </c>
      <c r="O730" s="75">
        <v>202</v>
      </c>
      <c r="P730" s="74">
        <v>2392.7799999999947</v>
      </c>
      <c r="Q730" s="74">
        <v>150.09</v>
      </c>
      <c r="R730" s="53">
        <f t="shared" si="35"/>
        <v>1611.2</v>
      </c>
      <c r="S730" s="73">
        <v>17537.16</v>
      </c>
      <c r="V730" s="76"/>
    </row>
    <row r="731" spans="1:22" x14ac:dyDescent="0.25">
      <c r="A731" s="28"/>
      <c r="B731" s="45" t="str">
        <f t="shared" si="33"/>
        <v>Nov-2024</v>
      </c>
      <c r="C731" s="57">
        <v>45621</v>
      </c>
      <c r="D731" s="43">
        <f t="shared" si="34"/>
        <v>491</v>
      </c>
      <c r="E731" s="76">
        <v>333</v>
      </c>
      <c r="F731" s="50">
        <v>461</v>
      </c>
      <c r="G731" s="49">
        <v>45635</v>
      </c>
      <c r="H731" s="73">
        <v>459</v>
      </c>
      <c r="I731" s="77">
        <v>461</v>
      </c>
      <c r="J731" s="73">
        <v>34452.530000000006</v>
      </c>
      <c r="K731" s="52">
        <v>13</v>
      </c>
      <c r="L731" s="51">
        <v>885.12999999999988</v>
      </c>
      <c r="M731" s="77">
        <v>210</v>
      </c>
      <c r="N731" s="76">
        <v>15781.64</v>
      </c>
      <c r="O731" s="75">
        <v>195</v>
      </c>
      <c r="P731" s="74">
        <v>4599.1700000000064</v>
      </c>
      <c r="Q731" s="74">
        <v>162.92000000000002</v>
      </c>
      <c r="R731" s="53">
        <f t="shared" si="35"/>
        <v>2281.75</v>
      </c>
      <c r="S731" s="73">
        <v>34452.53</v>
      </c>
      <c r="V731" s="76"/>
    </row>
    <row r="732" spans="1:22" x14ac:dyDescent="0.25">
      <c r="A732" s="28"/>
      <c r="B732" s="45" t="str">
        <f t="shared" si="33"/>
        <v>Nov-2024</v>
      </c>
      <c r="C732" s="57">
        <v>45622</v>
      </c>
      <c r="D732" s="43">
        <f t="shared" si="34"/>
        <v>490</v>
      </c>
      <c r="E732" s="76">
        <v>311</v>
      </c>
      <c r="F732" s="50">
        <v>349</v>
      </c>
      <c r="G732" s="49">
        <v>34588</v>
      </c>
      <c r="H732" s="73">
        <v>346</v>
      </c>
      <c r="I732" s="77">
        <v>349</v>
      </c>
      <c r="J732" s="73">
        <v>20833.84</v>
      </c>
      <c r="K732" s="52">
        <v>11</v>
      </c>
      <c r="L732" s="51">
        <v>766.07999999999993</v>
      </c>
      <c r="M732" s="77">
        <v>237</v>
      </c>
      <c r="N732" s="76">
        <v>16572.939999999999</v>
      </c>
      <c r="O732" s="75">
        <v>215</v>
      </c>
      <c r="P732" s="74">
        <v>2818.7799999999984</v>
      </c>
      <c r="Q732" s="74">
        <v>141.49999999999997</v>
      </c>
      <c r="R732" s="53">
        <f t="shared" si="35"/>
        <v>1729.4</v>
      </c>
      <c r="S732" s="73">
        <v>20833.839999999997</v>
      </c>
      <c r="V732" s="76"/>
    </row>
    <row r="733" spans="1:22" x14ac:dyDescent="0.25">
      <c r="A733" s="28"/>
      <c r="B733" s="45" t="str">
        <f t="shared" si="33"/>
        <v>Nov-2024</v>
      </c>
      <c r="C733" s="57">
        <v>45623</v>
      </c>
      <c r="D733" s="43">
        <f t="shared" si="34"/>
        <v>489</v>
      </c>
      <c r="E733" s="76">
        <v>261</v>
      </c>
      <c r="F733" s="50">
        <v>305</v>
      </c>
      <c r="G733" s="49">
        <v>30634</v>
      </c>
      <c r="H733" s="73">
        <v>296</v>
      </c>
      <c r="I733" s="77">
        <v>305</v>
      </c>
      <c r="J733" s="73">
        <v>18263.869999999995</v>
      </c>
      <c r="K733" s="52">
        <v>25</v>
      </c>
      <c r="L733" s="51">
        <v>1600.9399999999998</v>
      </c>
      <c r="M733" s="77">
        <v>192</v>
      </c>
      <c r="N733" s="76">
        <v>14856.33</v>
      </c>
      <c r="O733" s="75">
        <v>180</v>
      </c>
      <c r="P733" s="74">
        <v>2486.1999999999962</v>
      </c>
      <c r="Q733" s="74">
        <v>162.73000000000005</v>
      </c>
      <c r="R733" s="53">
        <f t="shared" si="35"/>
        <v>1531.7</v>
      </c>
      <c r="S733" s="73">
        <v>18263.87</v>
      </c>
      <c r="V733" s="76"/>
    </row>
    <row r="734" spans="1:22" x14ac:dyDescent="0.25">
      <c r="A734" s="28"/>
      <c r="B734" s="45" t="str">
        <f t="shared" si="33"/>
        <v>Nov-2024</v>
      </c>
      <c r="C734" s="57">
        <v>45624</v>
      </c>
      <c r="D734" s="43">
        <f t="shared" si="34"/>
        <v>488</v>
      </c>
      <c r="E734" s="76">
        <v>303</v>
      </c>
      <c r="F734" s="50">
        <v>348</v>
      </c>
      <c r="G734" s="49">
        <v>34572</v>
      </c>
      <c r="H734" s="73">
        <v>341</v>
      </c>
      <c r="I734" s="77">
        <v>348</v>
      </c>
      <c r="J734" s="73">
        <v>22087.200000000001</v>
      </c>
      <c r="K734" s="52">
        <v>18</v>
      </c>
      <c r="L734" s="51">
        <v>1015.18</v>
      </c>
      <c r="M734" s="77">
        <v>219</v>
      </c>
      <c r="N734" s="76">
        <v>15453.56</v>
      </c>
      <c r="O734" s="75">
        <v>206</v>
      </c>
      <c r="P734" s="74">
        <v>2968.7599999999966</v>
      </c>
      <c r="Q734" s="74">
        <v>178.09</v>
      </c>
      <c r="R734" s="53">
        <f t="shared" si="35"/>
        <v>1728.6000000000001</v>
      </c>
      <c r="S734" s="73">
        <v>22087.200000000001</v>
      </c>
      <c r="V734" s="76"/>
    </row>
    <row r="735" spans="1:22" x14ac:dyDescent="0.25">
      <c r="A735" s="28"/>
      <c r="B735" s="45" t="str">
        <f t="shared" si="33"/>
        <v>Nov-2024</v>
      </c>
      <c r="C735" s="57">
        <v>45625</v>
      </c>
      <c r="D735" s="43">
        <f t="shared" si="34"/>
        <v>487</v>
      </c>
      <c r="E735" s="76">
        <v>322</v>
      </c>
      <c r="F735" s="50">
        <v>365</v>
      </c>
      <c r="G735" s="49">
        <v>36145</v>
      </c>
      <c r="H735" s="73">
        <v>359</v>
      </c>
      <c r="I735" s="77">
        <v>365</v>
      </c>
      <c r="J735" s="73">
        <v>24290.340000000004</v>
      </c>
      <c r="K735" s="52">
        <v>16</v>
      </c>
      <c r="L735" s="51">
        <v>1255.24</v>
      </c>
      <c r="M735" s="77">
        <v>190</v>
      </c>
      <c r="N735" s="76">
        <v>15097.31</v>
      </c>
      <c r="O735" s="75">
        <v>178</v>
      </c>
      <c r="P735" s="74">
        <v>3242.6499999999937</v>
      </c>
      <c r="Q735" s="74">
        <v>140.76999999999998</v>
      </c>
      <c r="R735" s="53">
        <f t="shared" si="35"/>
        <v>1807.25</v>
      </c>
      <c r="S735" s="73">
        <v>24290.340000000004</v>
      </c>
      <c r="V735" s="76"/>
    </row>
    <row r="736" spans="1:22" x14ac:dyDescent="0.25">
      <c r="A736" s="28"/>
      <c r="B736" s="45" t="str">
        <f t="shared" si="33"/>
        <v>Nov-2024</v>
      </c>
      <c r="C736" s="57">
        <v>45626</v>
      </c>
      <c r="D736" s="43">
        <f t="shared" si="34"/>
        <v>486</v>
      </c>
      <c r="E736" s="76">
        <v>263</v>
      </c>
      <c r="F736" s="50">
        <v>335</v>
      </c>
      <c r="G736" s="49">
        <v>33224</v>
      </c>
      <c r="H736" s="73">
        <v>331</v>
      </c>
      <c r="I736" s="77">
        <v>335</v>
      </c>
      <c r="J736" s="73">
        <v>22075.559999999998</v>
      </c>
      <c r="K736" s="52">
        <v>11</v>
      </c>
      <c r="L736" s="51">
        <v>900.16</v>
      </c>
      <c r="M736" s="77">
        <v>205</v>
      </c>
      <c r="N736" s="76">
        <v>14107.04</v>
      </c>
      <c r="O736" s="75">
        <v>189</v>
      </c>
      <c r="P736" s="74">
        <v>2958.6000000000004</v>
      </c>
      <c r="Q736" s="74">
        <v>170.07000000000008</v>
      </c>
      <c r="R736" s="53">
        <f t="shared" si="35"/>
        <v>1661.2</v>
      </c>
      <c r="S736" s="73">
        <v>22075.56</v>
      </c>
      <c r="V736" s="103"/>
    </row>
    <row r="737" spans="1:19" x14ac:dyDescent="0.25">
      <c r="A737" s="28"/>
      <c r="B737" s="45" t="str">
        <f t="shared" si="33"/>
        <v>Dec-2024</v>
      </c>
      <c r="C737" s="57">
        <v>45627</v>
      </c>
      <c r="D737" s="43">
        <f t="shared" si="34"/>
        <v>485</v>
      </c>
      <c r="E737" s="76">
        <v>261</v>
      </c>
      <c r="F737" s="50">
        <v>354</v>
      </c>
      <c r="G737" s="49">
        <v>35485</v>
      </c>
      <c r="H737" s="73">
        <v>343</v>
      </c>
      <c r="I737" s="77">
        <v>354</v>
      </c>
      <c r="J737" s="73">
        <v>21764.49</v>
      </c>
      <c r="K737" s="52">
        <v>25</v>
      </c>
      <c r="L737" s="51">
        <v>1799.26</v>
      </c>
      <c r="M737" s="77">
        <v>223</v>
      </c>
      <c r="N737" s="76">
        <v>16627.240000000002</v>
      </c>
      <c r="O737" s="75">
        <v>203</v>
      </c>
      <c r="P737" s="74">
        <v>2906.7299999999982</v>
      </c>
      <c r="Q737" s="74">
        <v>164.89</v>
      </c>
      <c r="R737" s="53">
        <f t="shared" si="35"/>
        <v>1774.25</v>
      </c>
      <c r="S737" s="73">
        <v>21764.49</v>
      </c>
    </row>
    <row r="738" spans="1:19" x14ac:dyDescent="0.25">
      <c r="A738" s="28"/>
      <c r="B738" s="45" t="str">
        <f t="shared" si="33"/>
        <v>Dec-2024</v>
      </c>
      <c r="C738" s="57">
        <v>45628</v>
      </c>
      <c r="D738" s="43">
        <f t="shared" si="34"/>
        <v>484</v>
      </c>
      <c r="E738" s="76">
        <v>300</v>
      </c>
      <c r="F738" s="50">
        <v>713</v>
      </c>
      <c r="G738" s="49">
        <v>264377</v>
      </c>
      <c r="H738" s="73">
        <v>702</v>
      </c>
      <c r="I738" s="77">
        <v>713</v>
      </c>
      <c r="J738" s="73">
        <v>109335.53</v>
      </c>
      <c r="K738" s="52">
        <v>27</v>
      </c>
      <c r="L738" s="51">
        <v>4285.5400000000009</v>
      </c>
      <c r="M738" s="77">
        <v>698</v>
      </c>
      <c r="N738" s="76">
        <v>169570.75</v>
      </c>
      <c r="O738" s="75">
        <v>603</v>
      </c>
      <c r="P738" s="74">
        <v>14529.280000000019</v>
      </c>
      <c r="Q738" s="74">
        <v>1944.0999999999997</v>
      </c>
      <c r="R738" s="53">
        <f t="shared" si="35"/>
        <v>13218.85</v>
      </c>
      <c r="S738" s="73">
        <v>109335.53</v>
      </c>
    </row>
    <row r="739" spans="1:19" x14ac:dyDescent="0.25">
      <c r="A739" s="28"/>
      <c r="B739" s="45" t="str">
        <f t="shared" si="33"/>
        <v>Dec-2024</v>
      </c>
      <c r="C739" s="57">
        <v>45629</v>
      </c>
      <c r="D739" s="43">
        <f t="shared" si="34"/>
        <v>483</v>
      </c>
      <c r="E739" s="76">
        <v>453</v>
      </c>
      <c r="F739" s="50">
        <v>1149</v>
      </c>
      <c r="G739" s="49">
        <v>428294</v>
      </c>
      <c r="H739" s="73">
        <v>1131</v>
      </c>
      <c r="I739" s="77">
        <v>1149</v>
      </c>
      <c r="J739" s="73">
        <v>188107.21000000002</v>
      </c>
      <c r="K739" s="52">
        <v>37</v>
      </c>
      <c r="L739" s="51">
        <v>7137.3700000000008</v>
      </c>
      <c r="M739" s="77">
        <v>960</v>
      </c>
      <c r="N739" s="76">
        <v>264623.78999999998</v>
      </c>
      <c r="O739" s="75">
        <v>864</v>
      </c>
      <c r="P739" s="74">
        <v>24437.000000000011</v>
      </c>
      <c r="Q739" s="74">
        <v>2887.4199999999987</v>
      </c>
      <c r="R739" s="53">
        <f t="shared" si="35"/>
        <v>21414.7</v>
      </c>
      <c r="S739" s="73">
        <v>188107.18000000005</v>
      </c>
    </row>
    <row r="740" spans="1:19" x14ac:dyDescent="0.25">
      <c r="A740" s="28"/>
      <c r="B740" s="45" t="str">
        <f t="shared" si="33"/>
        <v>Dec-2024</v>
      </c>
      <c r="C740" s="57">
        <v>45630</v>
      </c>
      <c r="D740" s="43">
        <f t="shared" si="34"/>
        <v>482</v>
      </c>
      <c r="E740" s="76">
        <v>282</v>
      </c>
      <c r="F740" s="50">
        <v>797</v>
      </c>
      <c r="G740" s="49">
        <v>262972</v>
      </c>
      <c r="H740" s="73">
        <v>783</v>
      </c>
      <c r="I740" s="77">
        <v>797</v>
      </c>
      <c r="J740" s="73">
        <v>110299.47</v>
      </c>
      <c r="K740" s="52">
        <v>31</v>
      </c>
      <c r="L740" s="51">
        <v>5050.2899999999991</v>
      </c>
      <c r="M740" s="77">
        <v>771</v>
      </c>
      <c r="N740" s="76">
        <v>166869.79999999999</v>
      </c>
      <c r="O740" s="75">
        <v>670</v>
      </c>
      <c r="P740" s="74">
        <v>14197.270000000048</v>
      </c>
      <c r="Q740" s="74">
        <v>1572.0900000000006</v>
      </c>
      <c r="R740" s="53">
        <f t="shared" si="35"/>
        <v>13148.6</v>
      </c>
      <c r="S740" s="73">
        <v>110299.47</v>
      </c>
    </row>
    <row r="741" spans="1:19" x14ac:dyDescent="0.25">
      <c r="A741" s="28"/>
      <c r="B741" s="45" t="str">
        <f t="shared" si="33"/>
        <v>Dec-2024</v>
      </c>
      <c r="C741" s="57">
        <v>45631</v>
      </c>
      <c r="D741" s="43">
        <f t="shared" si="34"/>
        <v>481</v>
      </c>
      <c r="E741" s="76">
        <v>244</v>
      </c>
      <c r="F741" s="50">
        <v>642</v>
      </c>
      <c r="G741" s="49">
        <v>188963</v>
      </c>
      <c r="H741" s="73">
        <v>630</v>
      </c>
      <c r="I741" s="77">
        <v>642</v>
      </c>
      <c r="J741" s="73">
        <v>85413.490000000049</v>
      </c>
      <c r="K741" s="52">
        <v>38</v>
      </c>
      <c r="L741" s="51">
        <v>5250.840000000002</v>
      </c>
      <c r="M741" s="77">
        <v>512</v>
      </c>
      <c r="N741" s="76">
        <v>114544.21</v>
      </c>
      <c r="O741" s="75">
        <v>458</v>
      </c>
      <c r="P741" s="74">
        <v>10994.700000000017</v>
      </c>
      <c r="Q741" s="74">
        <v>1218.31</v>
      </c>
      <c r="R741" s="53">
        <f t="shared" si="35"/>
        <v>9448.15</v>
      </c>
      <c r="S741" s="73">
        <v>85413.490000000078</v>
      </c>
    </row>
    <row r="742" spans="1:19" x14ac:dyDescent="0.25">
      <c r="A742" s="28"/>
      <c r="B742" s="45" t="str">
        <f t="shared" si="33"/>
        <v>Dec-2024</v>
      </c>
      <c r="C742" s="57">
        <v>45632</v>
      </c>
      <c r="D742" s="43">
        <f t="shared" si="34"/>
        <v>480</v>
      </c>
      <c r="E742" s="76">
        <v>202</v>
      </c>
      <c r="F742" s="50">
        <v>580</v>
      </c>
      <c r="G742" s="49">
        <v>171480</v>
      </c>
      <c r="H742" s="73">
        <v>568</v>
      </c>
      <c r="I742" s="77">
        <v>580</v>
      </c>
      <c r="J742" s="73">
        <v>74821.519999999975</v>
      </c>
      <c r="K742" s="52">
        <v>40</v>
      </c>
      <c r="L742" s="51">
        <v>6919.7200000000012</v>
      </c>
      <c r="M742" s="77">
        <v>469</v>
      </c>
      <c r="N742" s="76">
        <v>106261.09</v>
      </c>
      <c r="O742" s="75">
        <v>424</v>
      </c>
      <c r="P742" s="74">
        <v>9602.6100000000115</v>
      </c>
      <c r="Q742" s="74">
        <v>1000.6899999999997</v>
      </c>
      <c r="R742" s="53">
        <f t="shared" si="35"/>
        <v>8574</v>
      </c>
      <c r="S742" s="73">
        <v>74821.519999999946</v>
      </c>
    </row>
    <row r="743" spans="1:19" x14ac:dyDescent="0.25">
      <c r="A743" s="28"/>
      <c r="B743" s="45" t="str">
        <f t="shared" si="33"/>
        <v>Dec-2024</v>
      </c>
      <c r="C743" s="57">
        <v>45633</v>
      </c>
      <c r="D743" s="43">
        <f t="shared" si="34"/>
        <v>479</v>
      </c>
      <c r="E743" s="76">
        <v>184</v>
      </c>
      <c r="F743" s="50">
        <v>546</v>
      </c>
      <c r="G743" s="49">
        <v>152785</v>
      </c>
      <c r="H743" s="73">
        <v>531</v>
      </c>
      <c r="I743" s="77">
        <v>546</v>
      </c>
      <c r="J743" s="73">
        <v>65843.470000000059</v>
      </c>
      <c r="K743" s="52">
        <v>26</v>
      </c>
      <c r="L743" s="51">
        <v>2236.19</v>
      </c>
      <c r="M743" s="77">
        <v>774</v>
      </c>
      <c r="N743" s="76">
        <v>95536.12</v>
      </c>
      <c r="O743" s="75">
        <v>386</v>
      </c>
      <c r="P743" s="74">
        <v>8594.5900000000147</v>
      </c>
      <c r="Q743" s="74">
        <v>994.28999999999985</v>
      </c>
      <c r="R743" s="53">
        <f t="shared" si="35"/>
        <v>7639.25</v>
      </c>
      <c r="S743" s="73">
        <v>65843.470000000045</v>
      </c>
    </row>
    <row r="744" spans="1:19" x14ac:dyDescent="0.25">
      <c r="A744" s="28"/>
      <c r="B744" s="45" t="str">
        <f t="shared" si="33"/>
        <v>Dec-2024</v>
      </c>
      <c r="C744" s="57">
        <v>45634</v>
      </c>
      <c r="D744" s="43">
        <f t="shared" si="34"/>
        <v>478</v>
      </c>
      <c r="E744" s="76">
        <v>187</v>
      </c>
      <c r="F744" s="50">
        <v>564</v>
      </c>
      <c r="G744" s="49">
        <v>176851</v>
      </c>
      <c r="H744" s="73">
        <v>554</v>
      </c>
      <c r="I744" s="77">
        <v>564</v>
      </c>
      <c r="J744" s="73">
        <v>65202.529999999955</v>
      </c>
      <c r="K744" s="52">
        <v>21</v>
      </c>
      <c r="L744" s="51">
        <v>3770.7800000000007</v>
      </c>
      <c r="M744" s="77">
        <v>475</v>
      </c>
      <c r="N744" s="76">
        <v>120209.15</v>
      </c>
      <c r="O744" s="75">
        <v>439</v>
      </c>
      <c r="P744" s="74">
        <v>8560.6800000000148</v>
      </c>
      <c r="Q744" s="74">
        <v>1076.5099999999998</v>
      </c>
      <c r="R744" s="53">
        <f t="shared" si="35"/>
        <v>8842.5500000000011</v>
      </c>
      <c r="S744" s="73">
        <v>65202.529999999955</v>
      </c>
    </row>
    <row r="745" spans="1:19" x14ac:dyDescent="0.25">
      <c r="A745" s="28"/>
      <c r="B745" s="45" t="str">
        <f t="shared" si="33"/>
        <v>Dec-2024</v>
      </c>
      <c r="C745" s="57">
        <v>45635</v>
      </c>
      <c r="D745" s="43">
        <f t="shared" si="34"/>
        <v>477</v>
      </c>
      <c r="E745" s="76">
        <v>267</v>
      </c>
      <c r="F745" s="50">
        <v>631</v>
      </c>
      <c r="G745" s="49">
        <v>201150</v>
      </c>
      <c r="H745" s="73">
        <v>621</v>
      </c>
      <c r="I745" s="77">
        <v>631</v>
      </c>
      <c r="J745" s="73">
        <v>85955.54</v>
      </c>
      <c r="K745" s="52">
        <v>21</v>
      </c>
      <c r="L745" s="51">
        <v>4037.96</v>
      </c>
      <c r="M745" s="77">
        <v>527</v>
      </c>
      <c r="N745" s="76">
        <v>126250.35</v>
      </c>
      <c r="O745" s="75">
        <v>487</v>
      </c>
      <c r="P745" s="74">
        <v>11055.890000000003</v>
      </c>
      <c r="Q745" s="74">
        <v>1152.0999999999992</v>
      </c>
      <c r="R745" s="53">
        <f t="shared" si="35"/>
        <v>10057.5</v>
      </c>
      <c r="S745" s="73">
        <v>85955.329999999987</v>
      </c>
    </row>
    <row r="746" spans="1:19" x14ac:dyDescent="0.25">
      <c r="A746" s="28"/>
      <c r="B746" s="45" t="str">
        <f t="shared" si="33"/>
        <v>Dec-2024</v>
      </c>
      <c r="C746" s="57">
        <v>45636</v>
      </c>
      <c r="D746" s="43">
        <f t="shared" si="34"/>
        <v>476</v>
      </c>
      <c r="E746" s="76">
        <v>244</v>
      </c>
      <c r="F746" s="50">
        <v>693</v>
      </c>
      <c r="G746" s="49">
        <v>238753</v>
      </c>
      <c r="H746" s="73">
        <v>683</v>
      </c>
      <c r="I746" s="77">
        <v>693</v>
      </c>
      <c r="J746" s="73">
        <v>102608.36000000002</v>
      </c>
      <c r="K746" s="52">
        <v>35</v>
      </c>
      <c r="L746" s="51">
        <v>4094.8799999999997</v>
      </c>
      <c r="M746" s="77">
        <v>562</v>
      </c>
      <c r="N746" s="76">
        <v>149204.41</v>
      </c>
      <c r="O746" s="75">
        <v>509</v>
      </c>
      <c r="P746" s="74">
        <v>13059.770000000004</v>
      </c>
      <c r="Q746" s="74">
        <v>1369.4199999999998</v>
      </c>
      <c r="R746" s="53">
        <f t="shared" si="35"/>
        <v>11937.650000000001</v>
      </c>
      <c r="S746" s="73">
        <v>102608.36</v>
      </c>
    </row>
    <row r="747" spans="1:19" x14ac:dyDescent="0.25">
      <c r="A747" s="28"/>
      <c r="B747" s="45" t="str">
        <f t="shared" si="33"/>
        <v>Dec-2024</v>
      </c>
      <c r="C747" s="57">
        <v>45637</v>
      </c>
      <c r="D747" s="43">
        <f t="shared" si="34"/>
        <v>475</v>
      </c>
      <c r="E747" s="76">
        <v>261</v>
      </c>
      <c r="F747" s="50">
        <v>569</v>
      </c>
      <c r="G747" s="49">
        <v>162533</v>
      </c>
      <c r="H747" s="73">
        <v>563</v>
      </c>
      <c r="I747" s="77">
        <v>569</v>
      </c>
      <c r="J747" s="73">
        <v>66342.339999999938</v>
      </c>
      <c r="K747" s="52">
        <v>17</v>
      </c>
      <c r="L747" s="51">
        <v>2848.23</v>
      </c>
      <c r="M747" s="77">
        <v>505</v>
      </c>
      <c r="N747" s="76">
        <v>104707.82</v>
      </c>
      <c r="O747" s="75">
        <v>404</v>
      </c>
      <c r="P747" s="74">
        <v>8517.1600000000108</v>
      </c>
      <c r="Q747" s="74">
        <v>907.93</v>
      </c>
      <c r="R747" s="53">
        <f t="shared" si="35"/>
        <v>8126.6500000000005</v>
      </c>
      <c r="S747" s="73">
        <v>66342.339999999953</v>
      </c>
    </row>
    <row r="748" spans="1:19" x14ac:dyDescent="0.25">
      <c r="A748" s="28"/>
      <c r="B748" s="45" t="str">
        <f t="shared" si="33"/>
        <v>Dec-2024</v>
      </c>
      <c r="C748" s="57">
        <v>45638</v>
      </c>
      <c r="D748" s="43">
        <f t="shared" si="34"/>
        <v>474</v>
      </c>
      <c r="E748" s="76">
        <v>231</v>
      </c>
      <c r="F748" s="50">
        <v>542</v>
      </c>
      <c r="G748" s="49">
        <v>169253</v>
      </c>
      <c r="H748" s="73">
        <v>536</v>
      </c>
      <c r="I748" s="77">
        <v>542</v>
      </c>
      <c r="J748" s="73">
        <v>54831.57</v>
      </c>
      <c r="K748" s="52">
        <v>18</v>
      </c>
      <c r="L748" s="51">
        <v>4574.9600000000009</v>
      </c>
      <c r="M748" s="77">
        <v>487</v>
      </c>
      <c r="N748" s="76">
        <v>121816.2</v>
      </c>
      <c r="O748" s="75">
        <v>455</v>
      </c>
      <c r="P748" s="74">
        <v>7394.770000000005</v>
      </c>
      <c r="Q748" s="74">
        <v>1120.2299999999993</v>
      </c>
      <c r="R748" s="53">
        <f t="shared" si="35"/>
        <v>8462.65</v>
      </c>
      <c r="S748" s="73">
        <v>54831.570000000007</v>
      </c>
    </row>
    <row r="749" spans="1:19" x14ac:dyDescent="0.25">
      <c r="A749" s="28"/>
      <c r="B749" s="45" t="str">
        <f t="shared" si="33"/>
        <v>Dec-2024</v>
      </c>
      <c r="C749" s="57">
        <v>45639</v>
      </c>
      <c r="D749" s="43">
        <f t="shared" si="34"/>
        <v>473</v>
      </c>
      <c r="E749" s="76">
        <v>220</v>
      </c>
      <c r="F749" s="50">
        <v>470</v>
      </c>
      <c r="G749" s="49">
        <v>138420</v>
      </c>
      <c r="H749" s="73">
        <v>461</v>
      </c>
      <c r="I749" s="77">
        <v>470</v>
      </c>
      <c r="J749" s="73">
        <v>58189.940000000024</v>
      </c>
      <c r="K749" s="52">
        <v>18</v>
      </c>
      <c r="L749" s="51">
        <v>2153.83</v>
      </c>
      <c r="M749" s="77">
        <v>375</v>
      </c>
      <c r="N749" s="76">
        <v>87722.43</v>
      </c>
      <c r="O749" s="75">
        <v>342</v>
      </c>
      <c r="P749" s="74">
        <v>7492.3700000000026</v>
      </c>
      <c r="Q749" s="74">
        <v>802.53999999999962</v>
      </c>
      <c r="R749" s="53">
        <f t="shared" si="35"/>
        <v>6921</v>
      </c>
      <c r="S749" s="73">
        <v>58189.94</v>
      </c>
    </row>
    <row r="750" spans="1:19" x14ac:dyDescent="0.25">
      <c r="A750" s="28"/>
      <c r="B750" s="45" t="str">
        <f t="shared" si="33"/>
        <v>Dec-2024</v>
      </c>
      <c r="C750" s="57">
        <v>45640</v>
      </c>
      <c r="D750" s="43">
        <f t="shared" si="34"/>
        <v>472</v>
      </c>
      <c r="E750" s="76">
        <v>231</v>
      </c>
      <c r="F750" s="50">
        <v>524</v>
      </c>
      <c r="G750" s="49">
        <v>139467</v>
      </c>
      <c r="H750" s="73">
        <v>517</v>
      </c>
      <c r="I750" s="77">
        <v>524</v>
      </c>
      <c r="J750" s="73">
        <v>63959.870000000017</v>
      </c>
      <c r="K750" s="52">
        <v>16</v>
      </c>
      <c r="L750" s="51">
        <v>1928.1799999999998</v>
      </c>
      <c r="M750" s="77">
        <v>379</v>
      </c>
      <c r="N750" s="76">
        <v>83622.600000000006</v>
      </c>
      <c r="O750" s="75">
        <v>350</v>
      </c>
      <c r="P750" s="74">
        <v>8115.4699999999984</v>
      </c>
      <c r="Q750" s="74">
        <v>782.67999999999984</v>
      </c>
      <c r="R750" s="53">
        <f t="shared" si="35"/>
        <v>6973.35</v>
      </c>
      <c r="S750" s="73">
        <v>63959.870000000017</v>
      </c>
    </row>
    <row r="751" spans="1:19" x14ac:dyDescent="0.25">
      <c r="A751" s="28"/>
      <c r="B751" s="45" t="str">
        <f t="shared" si="33"/>
        <v>Dec-2024</v>
      </c>
      <c r="C751" s="57">
        <v>45641</v>
      </c>
      <c r="D751" s="43">
        <f t="shared" si="34"/>
        <v>471</v>
      </c>
      <c r="E751" s="76">
        <v>213</v>
      </c>
      <c r="F751" s="50">
        <v>448</v>
      </c>
      <c r="G751" s="49">
        <v>108214</v>
      </c>
      <c r="H751" s="73">
        <v>441</v>
      </c>
      <c r="I751" s="77">
        <v>448</v>
      </c>
      <c r="J751" s="73">
        <v>53086.400000000023</v>
      </c>
      <c r="K751" s="52">
        <v>14</v>
      </c>
      <c r="L751" s="51">
        <v>1163.1799999999998</v>
      </c>
      <c r="M751" s="77">
        <v>324</v>
      </c>
      <c r="N751" s="76">
        <v>61767.51</v>
      </c>
      <c r="O751" s="75">
        <v>299</v>
      </c>
      <c r="P751" s="74">
        <v>6639.910000000018</v>
      </c>
      <c r="Q751" s="74">
        <v>549.53</v>
      </c>
      <c r="R751" s="53">
        <f t="shared" si="35"/>
        <v>5410.7000000000007</v>
      </c>
      <c r="S751" s="73">
        <v>53086.400000000009</v>
      </c>
    </row>
    <row r="752" spans="1:19" x14ac:dyDescent="0.25">
      <c r="A752" s="28"/>
      <c r="B752" s="45" t="str">
        <f t="shared" si="33"/>
        <v>Dec-2024</v>
      </c>
      <c r="C752" s="57">
        <v>45642</v>
      </c>
      <c r="D752" s="43">
        <f t="shared" si="34"/>
        <v>470</v>
      </c>
      <c r="E752" s="76">
        <v>249</v>
      </c>
      <c r="F752" s="50">
        <v>516</v>
      </c>
      <c r="G752" s="49">
        <v>137376</v>
      </c>
      <c r="H752" s="73">
        <v>507</v>
      </c>
      <c r="I752" s="77">
        <v>516</v>
      </c>
      <c r="J752" s="73">
        <v>58303.649999999994</v>
      </c>
      <c r="K752" s="52">
        <v>23</v>
      </c>
      <c r="L752" s="51">
        <v>1699.08</v>
      </c>
      <c r="M752" s="77">
        <v>394</v>
      </c>
      <c r="N752" s="76">
        <v>86559.45</v>
      </c>
      <c r="O752" s="75">
        <v>367</v>
      </c>
      <c r="P752" s="74">
        <v>7487.1000000000131</v>
      </c>
      <c r="Q752" s="74">
        <v>882.74999999999955</v>
      </c>
      <c r="R752" s="53">
        <f t="shared" si="35"/>
        <v>6868.8</v>
      </c>
      <c r="S752" s="73">
        <v>58303.65</v>
      </c>
    </row>
    <row r="753" spans="1:19" x14ac:dyDescent="0.25">
      <c r="A753" s="28"/>
      <c r="B753" s="45" t="str">
        <f t="shared" si="33"/>
        <v>Dec-2024</v>
      </c>
      <c r="C753" s="57">
        <v>45643</v>
      </c>
      <c r="D753" s="43">
        <f t="shared" si="34"/>
        <v>469</v>
      </c>
      <c r="E753" s="76">
        <v>238</v>
      </c>
      <c r="F753" s="50">
        <v>473</v>
      </c>
      <c r="G753" s="49">
        <v>124014</v>
      </c>
      <c r="H753" s="73">
        <v>466</v>
      </c>
      <c r="I753" s="77">
        <v>473</v>
      </c>
      <c r="J753" s="73">
        <v>55267.879999999961</v>
      </c>
      <c r="K753" s="52">
        <v>10</v>
      </c>
      <c r="L753" s="51">
        <v>1600.34</v>
      </c>
      <c r="M753" s="77">
        <v>398</v>
      </c>
      <c r="N753" s="76">
        <v>75638.17</v>
      </c>
      <c r="O753" s="75">
        <v>314</v>
      </c>
      <c r="P753" s="74">
        <v>6892.0500000000129</v>
      </c>
      <c r="Q753" s="74">
        <v>548.7800000000002</v>
      </c>
      <c r="R753" s="53">
        <f t="shared" si="35"/>
        <v>6200.7000000000007</v>
      </c>
      <c r="S753" s="73">
        <v>55267.879999999968</v>
      </c>
    </row>
    <row r="754" spans="1:19" x14ac:dyDescent="0.25">
      <c r="A754" s="28"/>
      <c r="B754" s="45" t="str">
        <f t="shared" si="33"/>
        <v>Dec-2024</v>
      </c>
      <c r="C754" s="57">
        <v>45644</v>
      </c>
      <c r="D754" s="43">
        <f t="shared" si="34"/>
        <v>468</v>
      </c>
      <c r="E754" s="76">
        <v>511</v>
      </c>
      <c r="F754" s="50">
        <v>1410</v>
      </c>
      <c r="G754" s="49">
        <v>578875</v>
      </c>
      <c r="H754" s="73">
        <v>1403</v>
      </c>
      <c r="I754" s="77">
        <v>1410</v>
      </c>
      <c r="J754" s="73">
        <v>298712.5</v>
      </c>
      <c r="K754" s="52">
        <v>27</v>
      </c>
      <c r="L754" s="51">
        <v>7341.25</v>
      </c>
      <c r="M754" s="77">
        <v>1022</v>
      </c>
      <c r="N754" s="76">
        <v>315744.09000000003</v>
      </c>
      <c r="O754" s="75">
        <v>937</v>
      </c>
      <c r="P754" s="74">
        <v>36143.560000000078</v>
      </c>
      <c r="Q754" s="74">
        <v>3043.3099999999959</v>
      </c>
      <c r="R754" s="53">
        <f t="shared" si="35"/>
        <v>28943.75</v>
      </c>
      <c r="S754" s="73">
        <v>298712.5</v>
      </c>
    </row>
    <row r="755" spans="1:19" x14ac:dyDescent="0.25">
      <c r="A755" s="28"/>
      <c r="B755" s="45" t="str">
        <f t="shared" si="33"/>
        <v>Dec-2024</v>
      </c>
      <c r="C755" s="57">
        <v>45645</v>
      </c>
      <c r="D755" s="43">
        <f t="shared" si="34"/>
        <v>467</v>
      </c>
      <c r="E755" s="76">
        <v>363</v>
      </c>
      <c r="F755" s="50">
        <v>810</v>
      </c>
      <c r="G755" s="49">
        <v>261525</v>
      </c>
      <c r="H755" s="73">
        <v>802</v>
      </c>
      <c r="I755" s="77">
        <v>810</v>
      </c>
      <c r="J755" s="73">
        <v>119276.62000000002</v>
      </c>
      <c r="K755" s="52">
        <v>21</v>
      </c>
      <c r="L755" s="51">
        <v>2248.2600000000002</v>
      </c>
      <c r="M755" s="77">
        <v>649</v>
      </c>
      <c r="N755" s="76">
        <v>157050.25</v>
      </c>
      <c r="O755" s="75">
        <v>592</v>
      </c>
      <c r="P755" s="74">
        <v>14801.870000000015</v>
      </c>
      <c r="Q755" s="74">
        <v>1459.940000000001</v>
      </c>
      <c r="R755" s="53">
        <f t="shared" si="35"/>
        <v>13076.25</v>
      </c>
      <c r="S755" s="73">
        <v>119276.62000000001</v>
      </c>
    </row>
    <row r="756" spans="1:19" x14ac:dyDescent="0.25">
      <c r="A756" s="28"/>
      <c r="B756" s="45" t="str">
        <f t="shared" si="33"/>
        <v>Dec-2024</v>
      </c>
      <c r="C756" s="57">
        <v>45646</v>
      </c>
      <c r="D756" s="43">
        <f t="shared" si="34"/>
        <v>466</v>
      </c>
      <c r="E756" s="76">
        <v>272</v>
      </c>
      <c r="F756" s="50">
        <v>605</v>
      </c>
      <c r="G756" s="49">
        <v>163630</v>
      </c>
      <c r="H756" s="73">
        <v>597</v>
      </c>
      <c r="I756" s="77">
        <v>605</v>
      </c>
      <c r="J756" s="73">
        <v>74088.849999999991</v>
      </c>
      <c r="K756" s="52">
        <v>27</v>
      </c>
      <c r="L756" s="51">
        <v>5101.9800000000005</v>
      </c>
      <c r="M756" s="77">
        <v>471</v>
      </c>
      <c r="N756" s="76">
        <v>98854.11</v>
      </c>
      <c r="O756" s="75">
        <v>438</v>
      </c>
      <c r="P756" s="74">
        <v>9312.9599999999991</v>
      </c>
      <c r="Q756" s="74">
        <v>1127.79</v>
      </c>
      <c r="R756" s="53">
        <f t="shared" si="35"/>
        <v>8181.5</v>
      </c>
      <c r="S756" s="73">
        <v>74088.849999999977</v>
      </c>
    </row>
    <row r="757" spans="1:19" x14ac:dyDescent="0.25">
      <c r="A757" s="28"/>
      <c r="B757" s="45" t="str">
        <f t="shared" si="33"/>
        <v>Dec-2024</v>
      </c>
      <c r="C757" s="57">
        <v>45647</v>
      </c>
      <c r="D757" s="43">
        <f t="shared" si="34"/>
        <v>465</v>
      </c>
      <c r="E757" s="76">
        <v>243</v>
      </c>
      <c r="F757" s="50">
        <v>560</v>
      </c>
      <c r="G757" s="49">
        <v>153707</v>
      </c>
      <c r="H757" s="73">
        <v>548</v>
      </c>
      <c r="I757" s="77">
        <v>560</v>
      </c>
      <c r="J757" s="73">
        <v>66967.760000000097</v>
      </c>
      <c r="K757" s="52">
        <v>23</v>
      </c>
      <c r="L757" s="51">
        <v>3128.04</v>
      </c>
      <c r="M757" s="77">
        <v>442</v>
      </c>
      <c r="N757" s="76">
        <v>95102.73</v>
      </c>
      <c r="O757" s="75">
        <v>383</v>
      </c>
      <c r="P757" s="74">
        <v>8363.4900000000125</v>
      </c>
      <c r="Q757" s="74">
        <v>781.4</v>
      </c>
      <c r="R757" s="53">
        <f t="shared" si="35"/>
        <v>7685.35</v>
      </c>
      <c r="S757" s="73">
        <v>66967.760000000053</v>
      </c>
    </row>
    <row r="758" spans="1:19" x14ac:dyDescent="0.25">
      <c r="A758" s="28"/>
      <c r="B758" s="45" t="str">
        <f t="shared" si="33"/>
        <v>Dec-2024</v>
      </c>
      <c r="C758" s="57">
        <v>45648</v>
      </c>
      <c r="D758" s="43">
        <f t="shared" si="34"/>
        <v>464</v>
      </c>
      <c r="E758" s="76">
        <v>223</v>
      </c>
      <c r="F758" s="50">
        <v>518</v>
      </c>
      <c r="G758" s="49">
        <v>129340</v>
      </c>
      <c r="H758" s="73">
        <v>515</v>
      </c>
      <c r="I758" s="77">
        <v>518</v>
      </c>
      <c r="J758" s="73">
        <v>58438.719999999994</v>
      </c>
      <c r="K758" s="52">
        <v>13</v>
      </c>
      <c r="L758" s="51">
        <v>850.14</v>
      </c>
      <c r="M758" s="77">
        <v>393</v>
      </c>
      <c r="N758" s="76">
        <v>78354.2</v>
      </c>
      <c r="O758" s="75">
        <v>364</v>
      </c>
      <c r="P758" s="74">
        <v>7452.92</v>
      </c>
      <c r="Q758" s="74">
        <v>816.61999999999978</v>
      </c>
      <c r="R758" s="53">
        <f t="shared" si="35"/>
        <v>6467</v>
      </c>
      <c r="S758" s="73">
        <v>58438.719999999994</v>
      </c>
    </row>
    <row r="759" spans="1:19" x14ac:dyDescent="0.25">
      <c r="A759" s="28"/>
      <c r="B759" s="45" t="str">
        <f t="shared" si="33"/>
        <v>Dec-2024</v>
      </c>
      <c r="C759" s="57">
        <v>45649</v>
      </c>
      <c r="D759" s="43">
        <f t="shared" si="34"/>
        <v>463</v>
      </c>
      <c r="E759" s="76">
        <v>200</v>
      </c>
      <c r="F759" s="50">
        <v>450</v>
      </c>
      <c r="G759" s="49">
        <v>127021</v>
      </c>
      <c r="H759" s="73">
        <v>447</v>
      </c>
      <c r="I759" s="77">
        <v>450</v>
      </c>
      <c r="J759" s="73">
        <v>45996.509999999987</v>
      </c>
      <c r="K759" s="52">
        <v>15</v>
      </c>
      <c r="L759" s="51">
        <v>2152.0500000000002</v>
      </c>
      <c r="M759" s="77">
        <v>378</v>
      </c>
      <c r="N759" s="76">
        <v>87013.55</v>
      </c>
      <c r="O759" s="75">
        <v>357</v>
      </c>
      <c r="P759" s="74">
        <v>5989.0600000000031</v>
      </c>
      <c r="Q759" s="74">
        <v>765.84999999999991</v>
      </c>
      <c r="R759" s="53">
        <f t="shared" si="35"/>
        <v>6351.05</v>
      </c>
      <c r="S759" s="73">
        <v>45996.509999999987</v>
      </c>
    </row>
    <row r="760" spans="1:19" x14ac:dyDescent="0.25">
      <c r="A760" s="28"/>
      <c r="B760" s="45" t="str">
        <f t="shared" si="33"/>
        <v>Dec-2024</v>
      </c>
      <c r="C760" s="57">
        <v>45650</v>
      </c>
      <c r="D760" s="43">
        <f t="shared" si="34"/>
        <v>462</v>
      </c>
      <c r="E760" s="76">
        <v>213</v>
      </c>
      <c r="F760" s="50">
        <v>570</v>
      </c>
      <c r="G760" s="49">
        <v>150325</v>
      </c>
      <c r="H760" s="73">
        <v>557</v>
      </c>
      <c r="I760" s="77">
        <v>570</v>
      </c>
      <c r="J760" s="73">
        <v>56698.819999999985</v>
      </c>
      <c r="K760" s="52">
        <v>32</v>
      </c>
      <c r="L760" s="51">
        <v>4681.17</v>
      </c>
      <c r="M760" s="77">
        <v>459</v>
      </c>
      <c r="N760" s="76">
        <v>100847.24</v>
      </c>
      <c r="O760" s="75">
        <v>407</v>
      </c>
      <c r="P760" s="74">
        <v>7221.0600000000086</v>
      </c>
      <c r="Q760" s="74">
        <v>771.47999999999979</v>
      </c>
      <c r="R760" s="53">
        <f t="shared" si="35"/>
        <v>7516.25</v>
      </c>
      <c r="S760" s="73">
        <v>56698.819999999985</v>
      </c>
    </row>
    <row r="761" spans="1:19" x14ac:dyDescent="0.25">
      <c r="A761" s="28"/>
      <c r="B761" s="45" t="str">
        <f t="shared" si="33"/>
        <v>Dec-2024</v>
      </c>
      <c r="C761" s="57">
        <v>45651</v>
      </c>
      <c r="D761" s="43">
        <f t="shared" si="34"/>
        <v>461</v>
      </c>
      <c r="E761" s="76">
        <v>162</v>
      </c>
      <c r="F761" s="50">
        <v>355</v>
      </c>
      <c r="G761" s="49">
        <v>95359</v>
      </c>
      <c r="H761" s="73">
        <v>351</v>
      </c>
      <c r="I761" s="77">
        <v>355</v>
      </c>
      <c r="J761" s="73">
        <v>37149.810000000012</v>
      </c>
      <c r="K761" s="52">
        <v>14</v>
      </c>
      <c r="L761" s="51">
        <v>3511.52</v>
      </c>
      <c r="M761" s="77">
        <v>268</v>
      </c>
      <c r="N761" s="76">
        <v>62930.37</v>
      </c>
      <c r="O761" s="75">
        <v>253</v>
      </c>
      <c r="P761" s="74">
        <v>4721.1800000000048</v>
      </c>
      <c r="Q761" s="74">
        <v>558.21999999999991</v>
      </c>
      <c r="R761" s="53">
        <f t="shared" si="35"/>
        <v>4767.95</v>
      </c>
      <c r="S761" s="73">
        <v>37149.81</v>
      </c>
    </row>
    <row r="762" spans="1:19" x14ac:dyDescent="0.25">
      <c r="A762" s="28"/>
      <c r="B762" s="45" t="str">
        <f t="shared" si="33"/>
        <v>Dec-2024</v>
      </c>
      <c r="C762" s="57">
        <v>45652</v>
      </c>
      <c r="D762" s="43">
        <f t="shared" si="34"/>
        <v>460</v>
      </c>
      <c r="E762" s="76">
        <v>150</v>
      </c>
      <c r="F762" s="50">
        <v>346</v>
      </c>
      <c r="G762" s="49">
        <v>90634</v>
      </c>
      <c r="H762" s="73">
        <v>344</v>
      </c>
      <c r="I762" s="77">
        <v>346</v>
      </c>
      <c r="J762" s="73">
        <v>37944.570000000007</v>
      </c>
      <c r="K762" s="52">
        <v>9</v>
      </c>
      <c r="L762" s="51">
        <v>950.17</v>
      </c>
      <c r="M762" s="77">
        <v>253</v>
      </c>
      <c r="N762" s="76">
        <v>57535.69</v>
      </c>
      <c r="O762" s="75">
        <v>236</v>
      </c>
      <c r="P762" s="74">
        <v>4846.2600000000011</v>
      </c>
      <c r="Q762" s="74">
        <v>587.2700000000001</v>
      </c>
      <c r="R762" s="53">
        <f t="shared" si="35"/>
        <v>4531.7</v>
      </c>
      <c r="S762" s="73">
        <v>37944.569999999992</v>
      </c>
    </row>
    <row r="763" spans="1:19" x14ac:dyDescent="0.25">
      <c r="A763" s="28"/>
      <c r="B763" s="45" t="str">
        <f t="shared" si="33"/>
        <v>Dec-2024</v>
      </c>
      <c r="C763" s="57">
        <v>45653</v>
      </c>
      <c r="D763" s="43">
        <f t="shared" si="34"/>
        <v>459</v>
      </c>
      <c r="E763" s="76">
        <v>165</v>
      </c>
      <c r="F763" s="50">
        <v>366</v>
      </c>
      <c r="G763" s="49">
        <v>99474</v>
      </c>
      <c r="H763" s="73">
        <v>360</v>
      </c>
      <c r="I763" s="77">
        <v>366</v>
      </c>
      <c r="J763" s="73">
        <v>30044.729999999996</v>
      </c>
      <c r="K763" s="52">
        <v>13</v>
      </c>
      <c r="L763" s="51">
        <v>876.1099999999999</v>
      </c>
      <c r="M763" s="77">
        <v>300</v>
      </c>
      <c r="N763" s="76">
        <v>73527.87</v>
      </c>
      <c r="O763" s="75">
        <v>279</v>
      </c>
      <c r="P763" s="74">
        <v>4098.5999999999967</v>
      </c>
      <c r="Q763" s="74">
        <v>643.14</v>
      </c>
      <c r="R763" s="53">
        <f t="shared" si="35"/>
        <v>4973.7000000000007</v>
      </c>
      <c r="S763" s="73">
        <v>30044.729999999992</v>
      </c>
    </row>
    <row r="764" spans="1:19" x14ac:dyDescent="0.25">
      <c r="A764" s="28"/>
      <c r="B764" s="45" t="str">
        <f t="shared" si="33"/>
        <v>Dec-2024</v>
      </c>
      <c r="C764" s="57">
        <v>45654</v>
      </c>
      <c r="D764" s="43">
        <f t="shared" si="34"/>
        <v>458</v>
      </c>
      <c r="E764" s="76">
        <v>204</v>
      </c>
      <c r="F764" s="50">
        <v>437</v>
      </c>
      <c r="G764" s="49">
        <v>121332</v>
      </c>
      <c r="H764" s="73">
        <v>434</v>
      </c>
      <c r="I764" s="77">
        <v>437</v>
      </c>
      <c r="J764" s="73">
        <v>40985.799999999981</v>
      </c>
      <c r="K764" s="52">
        <v>11</v>
      </c>
      <c r="L764" s="51">
        <v>814.99999999999989</v>
      </c>
      <c r="M764" s="77">
        <v>371</v>
      </c>
      <c r="N764" s="76">
        <v>85695.6</v>
      </c>
      <c r="O764" s="75">
        <v>331</v>
      </c>
      <c r="P764" s="74">
        <v>5349.4000000000151</v>
      </c>
      <c r="Q764" s="74">
        <v>770.14000000000044</v>
      </c>
      <c r="R764" s="53">
        <f t="shared" si="35"/>
        <v>6066.6</v>
      </c>
      <c r="S764" s="73">
        <v>40985.799999999981</v>
      </c>
    </row>
    <row r="765" spans="1:19" x14ac:dyDescent="0.25">
      <c r="A765" s="28"/>
      <c r="B765" s="45" t="str">
        <f t="shared" si="33"/>
        <v>Dec-2024</v>
      </c>
      <c r="C765" s="57">
        <v>45655</v>
      </c>
      <c r="D765" s="43">
        <f t="shared" si="34"/>
        <v>457</v>
      </c>
      <c r="E765" s="76">
        <v>191</v>
      </c>
      <c r="F765" s="50">
        <v>416</v>
      </c>
      <c r="G765" s="49">
        <v>102423</v>
      </c>
      <c r="H765" s="73">
        <v>410</v>
      </c>
      <c r="I765" s="77">
        <v>416</v>
      </c>
      <c r="J765" s="73">
        <v>37858.250000000015</v>
      </c>
      <c r="K765" s="52">
        <v>16</v>
      </c>
      <c r="L765" s="51">
        <v>1756.29</v>
      </c>
      <c r="M765" s="77">
        <v>408</v>
      </c>
      <c r="N765" s="76">
        <v>69425.94</v>
      </c>
      <c r="O765" s="75">
        <v>342</v>
      </c>
      <c r="P765" s="74">
        <v>4861.1900000000096</v>
      </c>
      <c r="Q765" s="74">
        <v>585.29999999999984</v>
      </c>
      <c r="R765" s="53">
        <f t="shared" si="35"/>
        <v>5121.1500000000005</v>
      </c>
      <c r="S765" s="73">
        <v>37858.250000000015</v>
      </c>
    </row>
    <row r="766" spans="1:19" x14ac:dyDescent="0.25">
      <c r="A766" s="28"/>
      <c r="B766" s="45" t="str">
        <f t="shared" si="33"/>
        <v>Dec-2024</v>
      </c>
      <c r="C766" s="57">
        <v>45656</v>
      </c>
      <c r="D766" s="43">
        <f t="shared" si="34"/>
        <v>456</v>
      </c>
      <c r="E766" s="76">
        <v>201</v>
      </c>
      <c r="F766" s="50">
        <v>435</v>
      </c>
      <c r="G766" s="49">
        <v>120312</v>
      </c>
      <c r="H766" s="73">
        <v>434</v>
      </c>
      <c r="I766" s="77">
        <v>435</v>
      </c>
      <c r="J766" s="73">
        <v>49196.140000000007</v>
      </c>
      <c r="K766" s="52">
        <v>17</v>
      </c>
      <c r="L766" s="51">
        <v>1449.12</v>
      </c>
      <c r="M766" s="77">
        <v>335</v>
      </c>
      <c r="N766" s="76">
        <v>77299.149999999994</v>
      </c>
      <c r="O766" s="75">
        <v>299</v>
      </c>
      <c r="P766" s="74">
        <v>6183.2900000000054</v>
      </c>
      <c r="Q766" s="74">
        <v>696.78999999999974</v>
      </c>
      <c r="R766" s="53">
        <f t="shared" si="35"/>
        <v>6015.6</v>
      </c>
      <c r="S766" s="73">
        <v>49196.14</v>
      </c>
    </row>
    <row r="767" spans="1:19" x14ac:dyDescent="0.25">
      <c r="A767" s="28"/>
      <c r="B767" s="45" t="str">
        <f t="shared" si="33"/>
        <v>Dec-2024</v>
      </c>
      <c r="C767" s="57">
        <v>45657</v>
      </c>
      <c r="D767" s="43">
        <f t="shared" si="34"/>
        <v>455</v>
      </c>
      <c r="E767" s="76">
        <v>221</v>
      </c>
      <c r="F767" s="50">
        <v>476</v>
      </c>
      <c r="G767" s="49">
        <v>145040</v>
      </c>
      <c r="H767" s="73">
        <v>468</v>
      </c>
      <c r="I767" s="77">
        <v>476</v>
      </c>
      <c r="J767" s="73">
        <v>52050.42</v>
      </c>
      <c r="K767" s="52">
        <v>15</v>
      </c>
      <c r="L767" s="51">
        <v>3143.62</v>
      </c>
      <c r="M767" s="77">
        <v>386</v>
      </c>
      <c r="N767" s="76">
        <v>99613.85</v>
      </c>
      <c r="O767" s="75">
        <v>370</v>
      </c>
      <c r="P767" s="74">
        <v>6624.270000000005</v>
      </c>
      <c r="Q767" s="74">
        <v>892.6500000000002</v>
      </c>
      <c r="R767" s="53">
        <f t="shared" si="35"/>
        <v>7252</v>
      </c>
      <c r="S767" s="73">
        <v>52050.419999999984</v>
      </c>
    </row>
    <row r="768" spans="1:19" x14ac:dyDescent="0.25">
      <c r="A768" s="28"/>
      <c r="B768" s="45" t="str">
        <f t="shared" si="33"/>
        <v>Jan-2025</v>
      </c>
      <c r="C768" s="57">
        <v>45658</v>
      </c>
      <c r="D768" s="43">
        <f t="shared" si="34"/>
        <v>454</v>
      </c>
      <c r="E768" s="76">
        <v>159</v>
      </c>
      <c r="F768" s="50">
        <v>360</v>
      </c>
      <c r="G768" s="49">
        <v>94660</v>
      </c>
      <c r="H768" s="73">
        <v>356</v>
      </c>
      <c r="I768" s="77">
        <v>360</v>
      </c>
      <c r="J768" s="73">
        <v>37904.97</v>
      </c>
      <c r="K768" s="52">
        <v>13</v>
      </c>
      <c r="L768" s="51">
        <v>1381.75</v>
      </c>
      <c r="M768" s="77">
        <v>312</v>
      </c>
      <c r="N768" s="76">
        <v>61612.31</v>
      </c>
      <c r="O768" s="75">
        <v>270</v>
      </c>
      <c r="P768" s="74">
        <v>4857.2800000000134</v>
      </c>
      <c r="Q768" s="74">
        <v>699.01999999999987</v>
      </c>
      <c r="R768" s="53">
        <f t="shared" si="35"/>
        <v>4733</v>
      </c>
      <c r="S768" s="73">
        <v>37904.970000000008</v>
      </c>
    </row>
    <row r="769" spans="1:19" x14ac:dyDescent="0.25">
      <c r="A769" s="28"/>
      <c r="B769" s="45" t="str">
        <f t="shared" si="33"/>
        <v>Jan-2025</v>
      </c>
      <c r="C769" s="57">
        <v>45659</v>
      </c>
      <c r="D769" s="43">
        <f t="shared" si="34"/>
        <v>453</v>
      </c>
      <c r="E769" s="76">
        <v>175</v>
      </c>
      <c r="F769" s="50">
        <v>475</v>
      </c>
      <c r="G769" s="49">
        <v>131410</v>
      </c>
      <c r="H769" s="73">
        <v>467</v>
      </c>
      <c r="I769" s="77">
        <v>475</v>
      </c>
      <c r="J769" s="73">
        <v>50500.95</v>
      </c>
      <c r="K769" s="52">
        <v>20</v>
      </c>
      <c r="L769" s="51">
        <v>2243.67</v>
      </c>
      <c r="M769" s="77">
        <v>420</v>
      </c>
      <c r="N769" s="76">
        <v>87350.7</v>
      </c>
      <c r="O769" s="75">
        <v>375</v>
      </c>
      <c r="P769" s="74">
        <v>6441.6500000000042</v>
      </c>
      <c r="Q769" s="74">
        <v>819.10999999999967</v>
      </c>
      <c r="R769" s="53">
        <f t="shared" si="35"/>
        <v>6570.5</v>
      </c>
      <c r="S769" s="73">
        <v>50500.95</v>
      </c>
    </row>
    <row r="770" spans="1:19" x14ac:dyDescent="0.25">
      <c r="A770" s="28"/>
      <c r="B770" s="45" t="str">
        <f t="shared" si="33"/>
        <v>Jan-2025</v>
      </c>
      <c r="C770" s="57">
        <v>45660</v>
      </c>
      <c r="D770" s="43">
        <f t="shared" si="34"/>
        <v>452</v>
      </c>
      <c r="E770" s="76">
        <v>226</v>
      </c>
      <c r="F770" s="50">
        <v>495</v>
      </c>
      <c r="G770" s="49">
        <v>139995</v>
      </c>
      <c r="H770" s="73">
        <v>482</v>
      </c>
      <c r="I770" s="77">
        <v>495</v>
      </c>
      <c r="J770" s="73">
        <v>56530.789999999972</v>
      </c>
      <c r="K770" s="52">
        <v>22</v>
      </c>
      <c r="L770" s="51">
        <v>3360.62</v>
      </c>
      <c r="M770" s="77">
        <v>336</v>
      </c>
      <c r="N770" s="76">
        <v>90487.46</v>
      </c>
      <c r="O770" s="75">
        <v>319</v>
      </c>
      <c r="P770" s="74">
        <v>7023.2500000000118</v>
      </c>
      <c r="Q770" s="74">
        <v>733.12999999999965</v>
      </c>
      <c r="R770" s="53">
        <f t="shared" si="35"/>
        <v>6999.75</v>
      </c>
      <c r="S770" s="73">
        <v>56530.789999999972</v>
      </c>
    </row>
    <row r="771" spans="1:19" x14ac:dyDescent="0.25">
      <c r="A771" s="28"/>
      <c r="B771" s="45" t="str">
        <f t="shared" si="33"/>
        <v>Jan-2025</v>
      </c>
      <c r="C771" s="57">
        <v>45661</v>
      </c>
      <c r="D771" s="43">
        <f t="shared" si="34"/>
        <v>451</v>
      </c>
      <c r="E771" s="76">
        <v>190</v>
      </c>
      <c r="F771" s="50">
        <v>445</v>
      </c>
      <c r="G771" s="49">
        <v>112588</v>
      </c>
      <c r="H771" s="73">
        <v>435</v>
      </c>
      <c r="I771" s="77">
        <v>445</v>
      </c>
      <c r="J771" s="73">
        <v>44036.159999999974</v>
      </c>
      <c r="K771" s="52">
        <v>20</v>
      </c>
      <c r="L771" s="51">
        <v>1622.27</v>
      </c>
      <c r="M771" s="77">
        <v>352</v>
      </c>
      <c r="N771" s="76">
        <v>74270.53</v>
      </c>
      <c r="O771" s="75">
        <v>326</v>
      </c>
      <c r="P771" s="74">
        <v>5718.6900000000051</v>
      </c>
      <c r="Q771" s="74">
        <v>855.10000000000036</v>
      </c>
      <c r="R771" s="53">
        <f t="shared" si="35"/>
        <v>5629.4000000000005</v>
      </c>
      <c r="S771" s="73">
        <v>44036.159999999967</v>
      </c>
    </row>
    <row r="772" spans="1:19" x14ac:dyDescent="0.25">
      <c r="A772" s="28"/>
      <c r="B772" s="45" t="str">
        <f t="shared" si="33"/>
        <v>Jan-2025</v>
      </c>
      <c r="C772" s="57">
        <v>45662</v>
      </c>
      <c r="D772" s="43">
        <f t="shared" si="34"/>
        <v>450</v>
      </c>
      <c r="E772" s="76">
        <v>196</v>
      </c>
      <c r="F772" s="50">
        <v>498</v>
      </c>
      <c r="G772" s="49">
        <v>132836</v>
      </c>
      <c r="H772" s="73">
        <v>472</v>
      </c>
      <c r="I772" s="77">
        <v>498</v>
      </c>
      <c r="J772" s="73">
        <v>49043.890000000014</v>
      </c>
      <c r="K772" s="52">
        <v>36</v>
      </c>
      <c r="L772" s="51">
        <v>3516.6500000000005</v>
      </c>
      <c r="M772" s="77">
        <v>398</v>
      </c>
      <c r="N772" s="76">
        <v>90043.77</v>
      </c>
      <c r="O772" s="75">
        <v>371</v>
      </c>
      <c r="P772" s="74">
        <v>6251.6600000000199</v>
      </c>
      <c r="Q772" s="74">
        <v>843.69999999999993</v>
      </c>
      <c r="R772" s="53">
        <f t="shared" si="35"/>
        <v>6641.8</v>
      </c>
      <c r="S772" s="73">
        <v>49043.890000000014</v>
      </c>
    </row>
    <row r="773" spans="1:19" x14ac:dyDescent="0.25">
      <c r="A773" s="28"/>
      <c r="B773" s="45" t="str">
        <f t="shared" si="33"/>
        <v>Jan-2025</v>
      </c>
      <c r="C773" s="57">
        <v>45663</v>
      </c>
      <c r="D773" s="43">
        <f t="shared" si="34"/>
        <v>449</v>
      </c>
      <c r="E773" s="76">
        <v>203</v>
      </c>
      <c r="F773" s="50">
        <v>454</v>
      </c>
      <c r="G773" s="49">
        <v>118660</v>
      </c>
      <c r="H773" s="73">
        <v>445</v>
      </c>
      <c r="I773" s="77">
        <v>454</v>
      </c>
      <c r="J773" s="73">
        <v>49492.020000000004</v>
      </c>
      <c r="K773" s="52">
        <v>16</v>
      </c>
      <c r="L773" s="51">
        <v>1900.37</v>
      </c>
      <c r="M773" s="77">
        <v>384</v>
      </c>
      <c r="N773" s="76">
        <v>75453.55</v>
      </c>
      <c r="O773" s="75">
        <v>313</v>
      </c>
      <c r="P773" s="74">
        <v>6285.5700000000024</v>
      </c>
      <c r="Q773" s="74">
        <v>816.19999999999982</v>
      </c>
      <c r="R773" s="53">
        <f t="shared" si="35"/>
        <v>5933</v>
      </c>
      <c r="S773" s="73">
        <v>49492.020000000004</v>
      </c>
    </row>
    <row r="774" spans="1:19" x14ac:dyDescent="0.25">
      <c r="A774" s="28"/>
      <c r="B774" s="45" t="str">
        <f t="shared" si="33"/>
        <v>Jan-2025</v>
      </c>
      <c r="C774" s="57">
        <v>45664</v>
      </c>
      <c r="D774" s="43">
        <f t="shared" si="34"/>
        <v>448</v>
      </c>
      <c r="E774" s="76">
        <v>230</v>
      </c>
      <c r="F774" s="50">
        <v>520</v>
      </c>
      <c r="G774" s="49">
        <v>152017</v>
      </c>
      <c r="H774" s="73">
        <v>513</v>
      </c>
      <c r="I774" s="77">
        <v>520</v>
      </c>
      <c r="J774" s="73">
        <v>48478.400000000009</v>
      </c>
      <c r="K774" s="52">
        <v>23</v>
      </c>
      <c r="L774" s="51">
        <v>2872.1099999999997</v>
      </c>
      <c r="M774" s="77">
        <v>443</v>
      </c>
      <c r="N774" s="76">
        <v>109957.03</v>
      </c>
      <c r="O774" s="75">
        <v>395</v>
      </c>
      <c r="P774" s="74">
        <v>6418.4300000000139</v>
      </c>
      <c r="Q774" s="74">
        <v>1005.050000000001</v>
      </c>
      <c r="R774" s="53">
        <f t="shared" si="35"/>
        <v>7600.85</v>
      </c>
      <c r="S774" s="73">
        <v>48478.399999999994</v>
      </c>
    </row>
    <row r="775" spans="1:19" x14ac:dyDescent="0.25">
      <c r="A775" s="28"/>
      <c r="B775" s="45" t="str">
        <f t="shared" ref="B775:B838" si="36">TEXT(C775,"MMM-YYYY")</f>
        <v>Jan-2025</v>
      </c>
      <c r="C775" s="57">
        <v>45665</v>
      </c>
      <c r="D775" s="43">
        <f t="shared" ref="D775:D838" si="37">$A$1-C775</f>
        <v>447</v>
      </c>
      <c r="E775" s="76">
        <v>240</v>
      </c>
      <c r="F775" s="50">
        <v>488</v>
      </c>
      <c r="G775" s="49">
        <v>117521</v>
      </c>
      <c r="H775" s="73">
        <v>484</v>
      </c>
      <c r="I775" s="77">
        <v>488</v>
      </c>
      <c r="J775" s="73">
        <v>56075.480000000025</v>
      </c>
      <c r="K775" s="52">
        <v>16</v>
      </c>
      <c r="L775" s="51">
        <v>1500.6000000000001</v>
      </c>
      <c r="M775" s="77">
        <v>321</v>
      </c>
      <c r="N775" s="76">
        <v>68300.86</v>
      </c>
      <c r="O775" s="75">
        <v>302</v>
      </c>
      <c r="P775" s="74">
        <v>6855.3400000000038</v>
      </c>
      <c r="Q775" s="74">
        <v>673.74000000000012</v>
      </c>
      <c r="R775" s="53">
        <f t="shared" ref="R775:R838" si="38">G775*5%</f>
        <v>5876.05</v>
      </c>
      <c r="S775" s="73">
        <v>56075.48000000004</v>
      </c>
    </row>
    <row r="776" spans="1:19" x14ac:dyDescent="0.25">
      <c r="A776" s="28"/>
      <c r="B776" s="45" t="str">
        <f t="shared" si="36"/>
        <v>Jan-2025</v>
      </c>
      <c r="C776" s="57">
        <v>45666</v>
      </c>
      <c r="D776" s="43">
        <f t="shared" si="37"/>
        <v>446</v>
      </c>
      <c r="E776" s="76">
        <v>205</v>
      </c>
      <c r="F776" s="50">
        <v>448</v>
      </c>
      <c r="G776" s="49">
        <v>114990</v>
      </c>
      <c r="H776" s="73">
        <v>445</v>
      </c>
      <c r="I776" s="77">
        <v>448</v>
      </c>
      <c r="J776" s="73">
        <v>46061.610000000015</v>
      </c>
      <c r="K776" s="52">
        <v>13</v>
      </c>
      <c r="L776" s="51">
        <v>1856.03</v>
      </c>
      <c r="M776" s="77">
        <v>378</v>
      </c>
      <c r="N776" s="76">
        <v>74607.39</v>
      </c>
      <c r="O776" s="75">
        <v>334</v>
      </c>
      <c r="P776" s="74">
        <v>5679.0000000000073</v>
      </c>
      <c r="Q776" s="74">
        <v>650.63999999999987</v>
      </c>
      <c r="R776" s="53">
        <f t="shared" si="38"/>
        <v>5749.5</v>
      </c>
      <c r="S776" s="73">
        <v>46061.610000000015</v>
      </c>
    </row>
    <row r="777" spans="1:19" x14ac:dyDescent="0.25">
      <c r="A777" s="28"/>
      <c r="B777" s="45" t="str">
        <f t="shared" si="36"/>
        <v>Jan-2025</v>
      </c>
      <c r="C777" s="57">
        <v>45667</v>
      </c>
      <c r="D777" s="43">
        <f t="shared" si="37"/>
        <v>445</v>
      </c>
      <c r="E777" s="76">
        <v>206</v>
      </c>
      <c r="F777" s="50">
        <v>380</v>
      </c>
      <c r="G777" s="49">
        <v>107506</v>
      </c>
      <c r="H777" s="73">
        <v>380</v>
      </c>
      <c r="I777" s="77">
        <v>380</v>
      </c>
      <c r="J777" s="73">
        <v>34380.999999999993</v>
      </c>
      <c r="K777" s="52">
        <v>6</v>
      </c>
      <c r="L777" s="51">
        <v>229.02999999999997</v>
      </c>
      <c r="M777" s="77">
        <v>335</v>
      </c>
      <c r="N777" s="76">
        <v>77825.210000000006</v>
      </c>
      <c r="O777" s="75">
        <v>305</v>
      </c>
      <c r="P777" s="74">
        <v>4700.2099999999955</v>
      </c>
      <c r="Q777" s="74">
        <v>924.8900000000001</v>
      </c>
      <c r="R777" s="53">
        <f t="shared" si="38"/>
        <v>5375.3</v>
      </c>
      <c r="S777" s="73">
        <v>34381</v>
      </c>
    </row>
    <row r="778" spans="1:19" x14ac:dyDescent="0.25">
      <c r="A778" s="28"/>
      <c r="B778" s="45" t="str">
        <f t="shared" si="36"/>
        <v>Jan-2025</v>
      </c>
      <c r="C778" s="57">
        <v>45668</v>
      </c>
      <c r="D778" s="43">
        <f t="shared" si="37"/>
        <v>444</v>
      </c>
      <c r="E778" s="76">
        <v>190</v>
      </c>
      <c r="F778" s="50">
        <v>403</v>
      </c>
      <c r="G778" s="49">
        <v>112302</v>
      </c>
      <c r="H778" s="73">
        <v>400</v>
      </c>
      <c r="I778" s="77">
        <v>403</v>
      </c>
      <c r="J778" s="73">
        <v>46104.569999999963</v>
      </c>
      <c r="K778" s="52">
        <v>8</v>
      </c>
      <c r="L778" s="51">
        <v>1128.23</v>
      </c>
      <c r="M778" s="77">
        <v>323</v>
      </c>
      <c r="N778" s="76">
        <v>71788.210000000006</v>
      </c>
      <c r="O778" s="75">
        <v>283</v>
      </c>
      <c r="P778" s="74">
        <v>5590.780000000007</v>
      </c>
      <c r="Q778" s="74">
        <v>592.63999999999976</v>
      </c>
      <c r="R778" s="53">
        <f t="shared" si="38"/>
        <v>5615.1</v>
      </c>
      <c r="S778" s="73">
        <v>46104.569999999978</v>
      </c>
    </row>
    <row r="779" spans="1:19" x14ac:dyDescent="0.25">
      <c r="A779" s="28"/>
      <c r="B779" s="45" t="str">
        <f t="shared" si="36"/>
        <v>Jan-2025</v>
      </c>
      <c r="C779" s="57">
        <v>45669</v>
      </c>
      <c r="D779" s="43">
        <f t="shared" si="37"/>
        <v>443</v>
      </c>
      <c r="E779" s="76">
        <v>185</v>
      </c>
      <c r="F779" s="50">
        <v>436</v>
      </c>
      <c r="G779" s="49">
        <v>110837</v>
      </c>
      <c r="H779" s="73">
        <v>432</v>
      </c>
      <c r="I779" s="77">
        <v>436</v>
      </c>
      <c r="J779" s="73">
        <v>37074.080000000002</v>
      </c>
      <c r="K779" s="52">
        <v>7</v>
      </c>
      <c r="L779" s="51">
        <v>2128.41</v>
      </c>
      <c r="M779" s="77">
        <v>341</v>
      </c>
      <c r="N779" s="76">
        <v>78585.179999999993</v>
      </c>
      <c r="O779" s="75">
        <v>315</v>
      </c>
      <c r="P779" s="74">
        <v>4822.2600000000048</v>
      </c>
      <c r="Q779" s="74">
        <v>731.95000000000027</v>
      </c>
      <c r="R779" s="53">
        <f t="shared" si="38"/>
        <v>5541.85</v>
      </c>
      <c r="S779" s="73">
        <v>37074.080000000009</v>
      </c>
    </row>
    <row r="780" spans="1:19" x14ac:dyDescent="0.25">
      <c r="A780" s="28"/>
      <c r="B780" s="45" t="str">
        <f t="shared" si="36"/>
        <v>Jan-2025</v>
      </c>
      <c r="C780" s="57">
        <v>45670</v>
      </c>
      <c r="D780" s="43">
        <f t="shared" si="37"/>
        <v>442</v>
      </c>
      <c r="E780" s="76">
        <v>194</v>
      </c>
      <c r="F780" s="50">
        <v>400</v>
      </c>
      <c r="G780" s="49">
        <v>111328</v>
      </c>
      <c r="H780" s="73">
        <v>398</v>
      </c>
      <c r="I780" s="77">
        <v>400</v>
      </c>
      <c r="J780" s="73">
        <v>38684.420000000013</v>
      </c>
      <c r="K780" s="52">
        <v>12</v>
      </c>
      <c r="L780" s="51">
        <v>1116.1099999999999</v>
      </c>
      <c r="M780" s="77">
        <v>322</v>
      </c>
      <c r="N780" s="76">
        <v>77537.47</v>
      </c>
      <c r="O780" s="75">
        <v>306</v>
      </c>
      <c r="P780" s="74">
        <v>4893.8900000000049</v>
      </c>
      <c r="Q780" s="74">
        <v>681.79</v>
      </c>
      <c r="R780" s="53">
        <f t="shared" si="38"/>
        <v>5566.4000000000005</v>
      </c>
      <c r="S780" s="73">
        <v>38684.420000000006</v>
      </c>
    </row>
    <row r="781" spans="1:19" x14ac:dyDescent="0.25">
      <c r="A781" s="28"/>
      <c r="B781" s="45" t="str">
        <f t="shared" si="36"/>
        <v>Jan-2025</v>
      </c>
      <c r="C781" s="57">
        <v>45671</v>
      </c>
      <c r="D781" s="43">
        <f t="shared" si="37"/>
        <v>441</v>
      </c>
      <c r="E781" s="76">
        <v>210</v>
      </c>
      <c r="F781" s="50">
        <v>414</v>
      </c>
      <c r="G781" s="49">
        <v>105385</v>
      </c>
      <c r="H781" s="73">
        <v>406</v>
      </c>
      <c r="I781" s="77">
        <v>414</v>
      </c>
      <c r="J781" s="73">
        <v>38163.79</v>
      </c>
      <c r="K781" s="52">
        <v>17</v>
      </c>
      <c r="L781" s="51">
        <v>2703.5899999999997</v>
      </c>
      <c r="M781" s="77">
        <v>346</v>
      </c>
      <c r="N781" s="76">
        <v>72077.179999999993</v>
      </c>
      <c r="O781" s="75">
        <v>315</v>
      </c>
      <c r="P781" s="74">
        <v>4855.9700000000039</v>
      </c>
      <c r="Q781" s="74">
        <v>729.06999999999971</v>
      </c>
      <c r="R781" s="53">
        <f t="shared" si="38"/>
        <v>5269.25</v>
      </c>
      <c r="S781" s="73">
        <v>38163.789999999986</v>
      </c>
    </row>
    <row r="782" spans="1:19" x14ac:dyDescent="0.25">
      <c r="A782" s="28"/>
      <c r="B782" s="45" t="str">
        <f t="shared" si="36"/>
        <v>Jan-2025</v>
      </c>
      <c r="C782" s="57">
        <v>45672</v>
      </c>
      <c r="D782" s="43">
        <f t="shared" si="37"/>
        <v>440</v>
      </c>
      <c r="E782" s="76">
        <v>217</v>
      </c>
      <c r="F782" s="50">
        <v>481</v>
      </c>
      <c r="G782" s="49">
        <v>128235</v>
      </c>
      <c r="H782" s="73">
        <v>473</v>
      </c>
      <c r="I782" s="77">
        <v>481</v>
      </c>
      <c r="J782" s="73">
        <v>48772.280000000021</v>
      </c>
      <c r="K782" s="52">
        <v>22</v>
      </c>
      <c r="L782" s="51">
        <v>4936.7400000000007</v>
      </c>
      <c r="M782" s="77">
        <v>368</v>
      </c>
      <c r="N782" s="76">
        <v>85609.75</v>
      </c>
      <c r="O782" s="75">
        <v>337</v>
      </c>
      <c r="P782" s="74">
        <v>6147.0300000000007</v>
      </c>
      <c r="Q782" s="74">
        <v>817.79000000000008</v>
      </c>
      <c r="R782" s="53">
        <f t="shared" si="38"/>
        <v>6411.75</v>
      </c>
      <c r="S782" s="73">
        <v>48772.280000000028</v>
      </c>
    </row>
    <row r="783" spans="1:19" x14ac:dyDescent="0.25">
      <c r="A783" s="28"/>
      <c r="B783" s="45" t="str">
        <f t="shared" si="36"/>
        <v>Jan-2025</v>
      </c>
      <c r="C783" s="57">
        <v>45673</v>
      </c>
      <c r="D783" s="43">
        <f t="shared" si="37"/>
        <v>439</v>
      </c>
      <c r="E783" s="76">
        <v>190</v>
      </c>
      <c r="F783" s="50">
        <v>495</v>
      </c>
      <c r="G783" s="49">
        <v>137156</v>
      </c>
      <c r="H783" s="73">
        <v>486</v>
      </c>
      <c r="I783" s="77">
        <v>495</v>
      </c>
      <c r="J783" s="73">
        <v>40783.580000000009</v>
      </c>
      <c r="K783" s="52">
        <v>20</v>
      </c>
      <c r="L783" s="51">
        <v>2236.36</v>
      </c>
      <c r="M783" s="77">
        <v>409</v>
      </c>
      <c r="N783" s="76">
        <v>101820.52</v>
      </c>
      <c r="O783" s="75">
        <v>373</v>
      </c>
      <c r="P783" s="74">
        <v>5448.1000000000076</v>
      </c>
      <c r="Q783" s="74">
        <v>974.88999999999987</v>
      </c>
      <c r="R783" s="53">
        <f t="shared" si="38"/>
        <v>6857.8</v>
      </c>
      <c r="S783" s="73">
        <v>40783.580000000016</v>
      </c>
    </row>
    <row r="784" spans="1:19" x14ac:dyDescent="0.25">
      <c r="A784" s="28"/>
      <c r="B784" s="45" t="str">
        <f t="shared" si="36"/>
        <v>Jan-2025</v>
      </c>
      <c r="C784" s="57">
        <v>45674</v>
      </c>
      <c r="D784" s="43">
        <f t="shared" si="37"/>
        <v>438</v>
      </c>
      <c r="E784" s="76">
        <v>215</v>
      </c>
      <c r="F784" s="50">
        <v>429</v>
      </c>
      <c r="G784" s="49">
        <v>107701</v>
      </c>
      <c r="H784" s="73">
        <v>424</v>
      </c>
      <c r="I784" s="77">
        <v>429</v>
      </c>
      <c r="J784" s="73">
        <v>40526.699999999997</v>
      </c>
      <c r="K784" s="52">
        <v>11</v>
      </c>
      <c r="L784" s="51">
        <v>912.18</v>
      </c>
      <c r="M784" s="77">
        <v>344</v>
      </c>
      <c r="N784" s="76">
        <v>72228.55</v>
      </c>
      <c r="O784" s="75">
        <v>316</v>
      </c>
      <c r="P784" s="74">
        <v>5054.2500000000018</v>
      </c>
      <c r="Q784" s="74">
        <v>634.99999999999955</v>
      </c>
      <c r="R784" s="53">
        <f t="shared" si="38"/>
        <v>5385.05</v>
      </c>
      <c r="S784" s="73">
        <v>40526.699999999997</v>
      </c>
    </row>
    <row r="785" spans="1:19" x14ac:dyDescent="0.25">
      <c r="A785" s="28"/>
      <c r="B785" s="45" t="str">
        <f t="shared" si="36"/>
        <v>Jan-2025</v>
      </c>
      <c r="C785" s="57">
        <v>45675</v>
      </c>
      <c r="D785" s="43">
        <f t="shared" si="37"/>
        <v>437</v>
      </c>
      <c r="E785" s="76">
        <v>213</v>
      </c>
      <c r="F785" s="50">
        <v>461</v>
      </c>
      <c r="G785" s="49">
        <v>123303</v>
      </c>
      <c r="H785" s="73">
        <v>457</v>
      </c>
      <c r="I785" s="77">
        <v>461</v>
      </c>
      <c r="J785" s="73">
        <v>38671.210000000006</v>
      </c>
      <c r="K785" s="52">
        <v>21</v>
      </c>
      <c r="L785" s="51">
        <v>2986.52</v>
      </c>
      <c r="M785" s="77">
        <v>352</v>
      </c>
      <c r="N785" s="76">
        <v>89508.86</v>
      </c>
      <c r="O785" s="75">
        <v>320</v>
      </c>
      <c r="P785" s="74">
        <v>4877.0700000000061</v>
      </c>
      <c r="Q785" s="74">
        <v>648.80999999999949</v>
      </c>
      <c r="R785" s="53">
        <f t="shared" si="38"/>
        <v>6165.1500000000005</v>
      </c>
      <c r="S785" s="73">
        <v>38671.21</v>
      </c>
    </row>
    <row r="786" spans="1:19" x14ac:dyDescent="0.25">
      <c r="A786" s="28"/>
      <c r="B786" s="45" t="str">
        <f t="shared" si="36"/>
        <v>Jan-2025</v>
      </c>
      <c r="C786" s="57">
        <v>45676</v>
      </c>
      <c r="D786" s="43">
        <f t="shared" si="37"/>
        <v>436</v>
      </c>
      <c r="E786" s="76">
        <v>184</v>
      </c>
      <c r="F786" s="50">
        <v>407</v>
      </c>
      <c r="G786" s="49">
        <v>96325</v>
      </c>
      <c r="H786" s="73">
        <v>405</v>
      </c>
      <c r="I786" s="77">
        <v>407</v>
      </c>
      <c r="J786" s="73">
        <v>28181.079999999994</v>
      </c>
      <c r="K786" s="52">
        <v>11</v>
      </c>
      <c r="L786" s="51">
        <v>612.09999999999991</v>
      </c>
      <c r="M786" s="77">
        <v>371</v>
      </c>
      <c r="N786" s="76">
        <v>71882.679999999993</v>
      </c>
      <c r="O786" s="75">
        <v>335</v>
      </c>
      <c r="P786" s="74">
        <v>3738.7599999999966</v>
      </c>
      <c r="Q786" s="74">
        <v>650.4399999999996</v>
      </c>
      <c r="R786" s="53">
        <f t="shared" si="38"/>
        <v>4816.25</v>
      </c>
      <c r="S786" s="73">
        <v>28181.079999999998</v>
      </c>
    </row>
    <row r="787" spans="1:19" x14ac:dyDescent="0.25">
      <c r="A787" s="28"/>
      <c r="B787" s="45" t="str">
        <f t="shared" si="36"/>
        <v>Jan-2025</v>
      </c>
      <c r="C787" s="57">
        <v>45677</v>
      </c>
      <c r="D787" s="43">
        <f t="shared" si="37"/>
        <v>435</v>
      </c>
      <c r="E787" s="76">
        <v>466</v>
      </c>
      <c r="F787" s="50">
        <v>841</v>
      </c>
      <c r="G787" s="49">
        <v>287877</v>
      </c>
      <c r="H787" s="73">
        <v>836</v>
      </c>
      <c r="I787" s="77">
        <v>841</v>
      </c>
      <c r="J787" s="73">
        <v>140912.08999999997</v>
      </c>
      <c r="K787" s="52">
        <v>14</v>
      </c>
      <c r="L787" s="51">
        <v>2134.52</v>
      </c>
      <c r="M787" s="77">
        <v>586</v>
      </c>
      <c r="N787" s="76">
        <v>163443.65</v>
      </c>
      <c r="O787" s="75">
        <v>547</v>
      </c>
      <c r="P787" s="74">
        <v>16478.74000000002</v>
      </c>
      <c r="Q787" s="74">
        <v>1706.43</v>
      </c>
      <c r="R787" s="53">
        <f t="shared" si="38"/>
        <v>14393.85</v>
      </c>
      <c r="S787" s="73">
        <v>140912.09</v>
      </c>
    </row>
    <row r="788" spans="1:19" x14ac:dyDescent="0.25">
      <c r="A788" s="28"/>
      <c r="B788" s="45" t="str">
        <f t="shared" si="36"/>
        <v>Jan-2025</v>
      </c>
      <c r="C788" s="57">
        <v>45678</v>
      </c>
      <c r="D788" s="43">
        <f t="shared" si="37"/>
        <v>434</v>
      </c>
      <c r="E788" s="76">
        <v>266</v>
      </c>
      <c r="F788" s="50">
        <v>554</v>
      </c>
      <c r="G788" s="49">
        <v>151459</v>
      </c>
      <c r="H788" s="73">
        <v>551</v>
      </c>
      <c r="I788" s="77">
        <v>554</v>
      </c>
      <c r="J788" s="73">
        <v>64698.23000000001</v>
      </c>
      <c r="K788" s="52">
        <v>10</v>
      </c>
      <c r="L788" s="51">
        <v>1125.23</v>
      </c>
      <c r="M788" s="77">
        <v>423</v>
      </c>
      <c r="N788" s="76">
        <v>94363.39</v>
      </c>
      <c r="O788" s="75">
        <v>386</v>
      </c>
      <c r="P788" s="74">
        <v>7602.6200000000035</v>
      </c>
      <c r="Q788" s="74">
        <v>724.6400000000001</v>
      </c>
      <c r="R788" s="53">
        <f t="shared" si="38"/>
        <v>7572.9500000000007</v>
      </c>
      <c r="S788" s="73">
        <v>64698.229999999996</v>
      </c>
    </row>
    <row r="789" spans="1:19" x14ac:dyDescent="0.25">
      <c r="A789" s="28"/>
      <c r="B789" s="45" t="str">
        <f t="shared" si="36"/>
        <v>Jan-2025</v>
      </c>
      <c r="C789" s="57">
        <v>45679</v>
      </c>
      <c r="D789" s="43">
        <f t="shared" si="37"/>
        <v>433</v>
      </c>
      <c r="E789" s="76">
        <v>231</v>
      </c>
      <c r="F789" s="50">
        <v>451</v>
      </c>
      <c r="G789" s="49">
        <v>117744</v>
      </c>
      <c r="H789" s="73">
        <v>439</v>
      </c>
      <c r="I789" s="77">
        <v>451</v>
      </c>
      <c r="J789" s="73">
        <v>42041.989999999976</v>
      </c>
      <c r="K789" s="52">
        <v>21</v>
      </c>
      <c r="L789" s="51">
        <v>2801.47</v>
      </c>
      <c r="M789" s="77">
        <v>347</v>
      </c>
      <c r="N789" s="76">
        <v>80891.240000000005</v>
      </c>
      <c r="O789" s="75">
        <v>321</v>
      </c>
      <c r="P789" s="74">
        <v>5189.2300000000087</v>
      </c>
      <c r="Q789" s="74">
        <v>718.79</v>
      </c>
      <c r="R789" s="53">
        <f t="shared" si="38"/>
        <v>5887.2000000000007</v>
      </c>
      <c r="S789" s="73">
        <v>42041.989999999976</v>
      </c>
    </row>
    <row r="790" spans="1:19" x14ac:dyDescent="0.25">
      <c r="A790" s="28"/>
      <c r="B790" s="45" t="str">
        <f t="shared" si="36"/>
        <v>Jan-2025</v>
      </c>
      <c r="C790" s="57">
        <v>45680</v>
      </c>
      <c r="D790" s="43">
        <f t="shared" si="37"/>
        <v>432</v>
      </c>
      <c r="E790" s="76">
        <v>197</v>
      </c>
      <c r="F790" s="50">
        <v>394</v>
      </c>
      <c r="G790" s="49">
        <v>93729</v>
      </c>
      <c r="H790" s="73">
        <v>389</v>
      </c>
      <c r="I790" s="77">
        <v>394</v>
      </c>
      <c r="J790" s="73">
        <v>31070.700000000012</v>
      </c>
      <c r="K790" s="52">
        <v>10</v>
      </c>
      <c r="L790" s="51">
        <v>807.16</v>
      </c>
      <c r="M790" s="77">
        <v>308</v>
      </c>
      <c r="N790" s="76">
        <v>66497.429999999993</v>
      </c>
      <c r="O790" s="75">
        <v>284</v>
      </c>
      <c r="P790" s="74">
        <v>3839.1299999999992</v>
      </c>
      <c r="Q790" s="74">
        <v>488.6099999999999</v>
      </c>
      <c r="R790" s="53">
        <f t="shared" si="38"/>
        <v>4686.45</v>
      </c>
      <c r="S790" s="73">
        <v>31070.700000000015</v>
      </c>
    </row>
    <row r="791" spans="1:19" x14ac:dyDescent="0.25">
      <c r="A791" s="28"/>
      <c r="B791" s="45" t="str">
        <f t="shared" si="36"/>
        <v>Jan-2025</v>
      </c>
      <c r="C791" s="57">
        <v>45681</v>
      </c>
      <c r="D791" s="43">
        <f t="shared" si="37"/>
        <v>431</v>
      </c>
      <c r="E791" s="76">
        <v>254</v>
      </c>
      <c r="F791" s="50">
        <v>484</v>
      </c>
      <c r="G791" s="49">
        <v>118990</v>
      </c>
      <c r="H791" s="73">
        <v>475</v>
      </c>
      <c r="I791" s="77">
        <v>484</v>
      </c>
      <c r="J791" s="73">
        <v>50174.259999999995</v>
      </c>
      <c r="K791" s="52">
        <v>17</v>
      </c>
      <c r="L791" s="51">
        <v>2487.4</v>
      </c>
      <c r="M791" s="77">
        <v>368</v>
      </c>
      <c r="N791" s="76">
        <v>74738.600000000006</v>
      </c>
      <c r="O791" s="75">
        <v>339</v>
      </c>
      <c r="P791" s="74">
        <v>5922.8600000000042</v>
      </c>
      <c r="Q791" s="74">
        <v>565.66999999999985</v>
      </c>
      <c r="R791" s="53">
        <f t="shared" si="38"/>
        <v>5949.5</v>
      </c>
      <c r="S791" s="73">
        <v>50174.259999999995</v>
      </c>
    </row>
    <row r="792" spans="1:19" x14ac:dyDescent="0.25">
      <c r="A792" s="28"/>
      <c r="B792" s="45" t="str">
        <f t="shared" si="36"/>
        <v>Jan-2025</v>
      </c>
      <c r="C792" s="57">
        <v>45682</v>
      </c>
      <c r="D792" s="43">
        <f t="shared" si="37"/>
        <v>430</v>
      </c>
      <c r="E792" s="76">
        <v>230</v>
      </c>
      <c r="F792" s="50">
        <v>407</v>
      </c>
      <c r="G792" s="49">
        <v>100533</v>
      </c>
      <c r="H792" s="73">
        <v>403</v>
      </c>
      <c r="I792" s="77">
        <v>407</v>
      </c>
      <c r="J792" s="73">
        <v>36782.890000000014</v>
      </c>
      <c r="K792" s="52">
        <v>13</v>
      </c>
      <c r="L792" s="51">
        <v>774.70999999999992</v>
      </c>
      <c r="M792" s="77">
        <v>337</v>
      </c>
      <c r="N792" s="76">
        <v>68338.03</v>
      </c>
      <c r="O792" s="75">
        <v>293</v>
      </c>
      <c r="P792" s="74">
        <v>4587.9199999999946</v>
      </c>
      <c r="Q792" s="74">
        <v>651.92999999999995</v>
      </c>
      <c r="R792" s="53">
        <f t="shared" si="38"/>
        <v>5026.6500000000005</v>
      </c>
      <c r="S792" s="73">
        <v>36782.89</v>
      </c>
    </row>
    <row r="793" spans="1:19" x14ac:dyDescent="0.25">
      <c r="A793" s="28"/>
      <c r="B793" s="45" t="str">
        <f t="shared" si="36"/>
        <v>Jan-2025</v>
      </c>
      <c r="C793" s="57">
        <v>45683</v>
      </c>
      <c r="D793" s="43">
        <f t="shared" si="37"/>
        <v>429</v>
      </c>
      <c r="E793" s="76">
        <v>204</v>
      </c>
      <c r="F793" s="50">
        <v>449</v>
      </c>
      <c r="G793" s="49">
        <v>102318</v>
      </c>
      <c r="H793" s="73">
        <v>442</v>
      </c>
      <c r="I793" s="77">
        <v>449</v>
      </c>
      <c r="J793" s="73">
        <v>43046.91</v>
      </c>
      <c r="K793" s="52">
        <v>17</v>
      </c>
      <c r="L793" s="51">
        <v>2900.5699999999997</v>
      </c>
      <c r="M793" s="77">
        <v>338</v>
      </c>
      <c r="N793" s="76">
        <v>64494.03</v>
      </c>
      <c r="O793" s="75">
        <v>315</v>
      </c>
      <c r="P793" s="74">
        <v>5222.9400000000105</v>
      </c>
      <c r="Q793" s="74">
        <v>610.40999999999974</v>
      </c>
      <c r="R793" s="53">
        <f t="shared" si="38"/>
        <v>5115.9000000000005</v>
      </c>
      <c r="S793" s="73">
        <v>43046.910000000018</v>
      </c>
    </row>
    <row r="794" spans="1:19" x14ac:dyDescent="0.25">
      <c r="A794" s="28"/>
      <c r="B794" s="45" t="str">
        <f t="shared" si="36"/>
        <v>Jan-2025</v>
      </c>
      <c r="C794" s="57">
        <v>45684</v>
      </c>
      <c r="D794" s="43">
        <f t="shared" si="37"/>
        <v>428</v>
      </c>
      <c r="E794" s="76">
        <v>205</v>
      </c>
      <c r="F794" s="50">
        <v>407</v>
      </c>
      <c r="G794" s="49">
        <v>93620</v>
      </c>
      <c r="H794" s="73">
        <v>403</v>
      </c>
      <c r="I794" s="77">
        <v>407</v>
      </c>
      <c r="J794" s="73">
        <v>44919.060000000005</v>
      </c>
      <c r="K794" s="52">
        <v>10</v>
      </c>
      <c r="L794" s="51">
        <v>658.11999999999989</v>
      </c>
      <c r="M794" s="77">
        <v>314</v>
      </c>
      <c r="N794" s="76">
        <v>54036.46</v>
      </c>
      <c r="O794" s="75">
        <v>294</v>
      </c>
      <c r="P794" s="74">
        <v>5335.5200000000023</v>
      </c>
      <c r="Q794" s="74">
        <v>541.04000000000019</v>
      </c>
      <c r="R794" s="53">
        <f t="shared" si="38"/>
        <v>4681</v>
      </c>
      <c r="S794" s="73">
        <v>44919.060000000005</v>
      </c>
    </row>
    <row r="795" spans="1:19" x14ac:dyDescent="0.25">
      <c r="A795" s="28"/>
      <c r="B795" s="45" t="str">
        <f t="shared" si="36"/>
        <v>Jan-2025</v>
      </c>
      <c r="C795" s="57">
        <v>45685</v>
      </c>
      <c r="D795" s="43">
        <f t="shared" si="37"/>
        <v>427</v>
      </c>
      <c r="E795" s="76">
        <v>215</v>
      </c>
      <c r="F795" s="50">
        <v>417</v>
      </c>
      <c r="G795" s="49">
        <v>101560</v>
      </c>
      <c r="H795" s="73">
        <v>417</v>
      </c>
      <c r="I795" s="77">
        <v>417</v>
      </c>
      <c r="J795" s="73">
        <v>40052.579999999994</v>
      </c>
      <c r="K795" s="52">
        <v>8</v>
      </c>
      <c r="L795" s="51">
        <v>447.08</v>
      </c>
      <c r="M795" s="77">
        <v>323</v>
      </c>
      <c r="N795" s="76">
        <v>66325.25</v>
      </c>
      <c r="O795" s="75">
        <v>301</v>
      </c>
      <c r="P795" s="74">
        <v>4817.8300000000127</v>
      </c>
      <c r="Q795" s="74">
        <v>565.50999999999988</v>
      </c>
      <c r="R795" s="53">
        <f t="shared" si="38"/>
        <v>5078</v>
      </c>
      <c r="S795" s="73">
        <v>40052.579999999987</v>
      </c>
    </row>
    <row r="796" spans="1:19" x14ac:dyDescent="0.25">
      <c r="A796" s="28"/>
      <c r="B796" s="45" t="str">
        <f t="shared" si="36"/>
        <v>Jan-2025</v>
      </c>
      <c r="C796" s="57">
        <v>45686</v>
      </c>
      <c r="D796" s="43">
        <f t="shared" si="37"/>
        <v>426</v>
      </c>
      <c r="E796" s="76">
        <v>207</v>
      </c>
      <c r="F796" s="50">
        <v>390</v>
      </c>
      <c r="G796" s="49">
        <v>91919</v>
      </c>
      <c r="H796" s="73">
        <v>388</v>
      </c>
      <c r="I796" s="77">
        <v>390</v>
      </c>
      <c r="J796" s="73">
        <v>35146.219999999994</v>
      </c>
      <c r="K796" s="52">
        <v>4</v>
      </c>
      <c r="L796" s="51">
        <v>330.11999999999995</v>
      </c>
      <c r="M796" s="77">
        <v>320</v>
      </c>
      <c r="N796" s="76">
        <v>61095.61</v>
      </c>
      <c r="O796" s="75">
        <v>302</v>
      </c>
      <c r="P796" s="74">
        <v>4322.8299999999981</v>
      </c>
      <c r="Q796" s="74">
        <v>569.2299999999999</v>
      </c>
      <c r="R796" s="53">
        <f t="shared" si="38"/>
        <v>4595.95</v>
      </c>
      <c r="S796" s="73">
        <v>35146.219999999987</v>
      </c>
    </row>
    <row r="797" spans="1:19" x14ac:dyDescent="0.25">
      <c r="A797" s="28"/>
      <c r="B797" s="45" t="str">
        <f t="shared" si="36"/>
        <v>Jan-2025</v>
      </c>
      <c r="C797" s="57">
        <v>45687</v>
      </c>
      <c r="D797" s="43">
        <f t="shared" si="37"/>
        <v>425</v>
      </c>
      <c r="E797" s="76">
        <v>218</v>
      </c>
      <c r="F797" s="50">
        <v>326</v>
      </c>
      <c r="G797" s="49">
        <v>85240</v>
      </c>
      <c r="H797" s="73">
        <v>321</v>
      </c>
      <c r="I797" s="77">
        <v>326</v>
      </c>
      <c r="J797" s="73">
        <v>26227.149999999994</v>
      </c>
      <c r="K797" s="52">
        <v>9</v>
      </c>
      <c r="L797" s="51">
        <v>760.15</v>
      </c>
      <c r="M797" s="77">
        <v>286</v>
      </c>
      <c r="N797" s="76">
        <v>62331.51</v>
      </c>
      <c r="O797" s="75">
        <v>255</v>
      </c>
      <c r="P797" s="74">
        <v>3318.6599999999949</v>
      </c>
      <c r="Q797" s="74">
        <v>552.01</v>
      </c>
      <c r="R797" s="53">
        <f t="shared" si="38"/>
        <v>4262</v>
      </c>
      <c r="S797" s="73">
        <v>26227.149999999994</v>
      </c>
    </row>
    <row r="798" spans="1:19" x14ac:dyDescent="0.25">
      <c r="A798" s="28"/>
      <c r="B798" s="45" t="str">
        <f t="shared" si="36"/>
        <v>Jan-2025</v>
      </c>
      <c r="C798" s="57">
        <v>45688</v>
      </c>
      <c r="D798" s="43">
        <f t="shared" si="37"/>
        <v>424</v>
      </c>
      <c r="E798" s="76">
        <v>169</v>
      </c>
      <c r="F798" s="50">
        <v>342</v>
      </c>
      <c r="G798" s="49">
        <v>81204</v>
      </c>
      <c r="H798" s="73">
        <v>340</v>
      </c>
      <c r="I798" s="77">
        <v>342</v>
      </c>
      <c r="J798" s="73">
        <v>27692.42</v>
      </c>
      <c r="K798" s="52">
        <v>11</v>
      </c>
      <c r="L798" s="51">
        <v>784.14</v>
      </c>
      <c r="M798" s="77">
        <v>282</v>
      </c>
      <c r="N798" s="76">
        <v>56849.59</v>
      </c>
      <c r="O798" s="75">
        <v>257</v>
      </c>
      <c r="P798" s="74">
        <v>3338.0099999999939</v>
      </c>
      <c r="Q798" s="74">
        <v>370.56000000000006</v>
      </c>
      <c r="R798" s="53">
        <f t="shared" si="38"/>
        <v>4060.2000000000003</v>
      </c>
      <c r="S798" s="73">
        <v>27692.420000000002</v>
      </c>
    </row>
    <row r="799" spans="1:19" x14ac:dyDescent="0.25">
      <c r="A799" s="28"/>
      <c r="B799" s="45" t="str">
        <f t="shared" si="36"/>
        <v>Feb-2025</v>
      </c>
      <c r="C799" s="57">
        <v>45689</v>
      </c>
      <c r="D799" s="43">
        <f t="shared" si="37"/>
        <v>423</v>
      </c>
      <c r="E799" s="76">
        <v>196</v>
      </c>
      <c r="F799" s="50">
        <v>350</v>
      </c>
      <c r="G799" s="49">
        <v>85264</v>
      </c>
      <c r="H799" s="73">
        <v>343</v>
      </c>
      <c r="I799" s="77">
        <v>350</v>
      </c>
      <c r="J799" s="73">
        <v>29660.350000000006</v>
      </c>
      <c r="K799" s="52">
        <v>13</v>
      </c>
      <c r="L799" s="51">
        <v>2096.13</v>
      </c>
      <c r="M799" s="77">
        <v>277</v>
      </c>
      <c r="N799" s="76">
        <v>59186.68</v>
      </c>
      <c r="O799" s="75">
        <v>255</v>
      </c>
      <c r="P799" s="74">
        <v>3583.0299999999929</v>
      </c>
      <c r="Q799" s="74">
        <v>410.40000000000009</v>
      </c>
      <c r="R799" s="53">
        <f t="shared" si="38"/>
        <v>4263.2</v>
      </c>
      <c r="S799" s="73">
        <v>29660.350000000006</v>
      </c>
    </row>
    <row r="800" spans="1:19" x14ac:dyDescent="0.25">
      <c r="A800" s="28"/>
      <c r="B800" s="45" t="str">
        <f t="shared" si="36"/>
        <v>Feb-2025</v>
      </c>
      <c r="C800" s="57">
        <v>45690</v>
      </c>
      <c r="D800" s="43">
        <f t="shared" si="37"/>
        <v>422</v>
      </c>
      <c r="E800" s="76">
        <v>225</v>
      </c>
      <c r="F800" s="50">
        <v>428</v>
      </c>
      <c r="G800" s="49">
        <v>97920</v>
      </c>
      <c r="H800" s="73">
        <v>419</v>
      </c>
      <c r="I800" s="77">
        <v>428</v>
      </c>
      <c r="J800" s="73">
        <v>38094.169999999991</v>
      </c>
      <c r="K800" s="52">
        <v>17</v>
      </c>
      <c r="L800" s="51">
        <v>2980.5499999999997</v>
      </c>
      <c r="M800" s="77">
        <v>304</v>
      </c>
      <c r="N800" s="76">
        <v>64331.54</v>
      </c>
      <c r="O800" s="75">
        <v>286</v>
      </c>
      <c r="P800" s="74">
        <v>4505.7099999999973</v>
      </c>
      <c r="Q800" s="74">
        <v>424.49000000000012</v>
      </c>
      <c r="R800" s="53">
        <f t="shared" si="38"/>
        <v>4896</v>
      </c>
      <c r="S800" s="73">
        <v>38094.17</v>
      </c>
    </row>
    <row r="801" spans="1:19" x14ac:dyDescent="0.25">
      <c r="A801" s="28"/>
      <c r="B801" s="45" t="str">
        <f t="shared" si="36"/>
        <v>Feb-2025</v>
      </c>
      <c r="C801" s="57">
        <v>45691</v>
      </c>
      <c r="D801" s="43">
        <f t="shared" si="37"/>
        <v>421</v>
      </c>
      <c r="E801" s="76">
        <v>223</v>
      </c>
      <c r="F801" s="50">
        <v>376</v>
      </c>
      <c r="G801" s="49">
        <v>96170</v>
      </c>
      <c r="H801" s="73">
        <v>362</v>
      </c>
      <c r="I801" s="77">
        <v>376</v>
      </c>
      <c r="J801" s="73">
        <v>27663.199999999997</v>
      </c>
      <c r="K801" s="52">
        <v>19</v>
      </c>
      <c r="L801" s="51">
        <v>2746.5699999999997</v>
      </c>
      <c r="M801" s="77">
        <v>276</v>
      </c>
      <c r="N801" s="76">
        <v>71989.64</v>
      </c>
      <c r="O801" s="75">
        <v>257</v>
      </c>
      <c r="P801" s="74">
        <v>3482.8399999999956</v>
      </c>
      <c r="Q801" s="74">
        <v>503.44000000000011</v>
      </c>
      <c r="R801" s="53">
        <f t="shared" si="38"/>
        <v>4808.5</v>
      </c>
      <c r="S801" s="73">
        <v>27663.199999999997</v>
      </c>
    </row>
    <row r="802" spans="1:19" x14ac:dyDescent="0.25">
      <c r="A802" s="28"/>
      <c r="B802" s="45" t="str">
        <f t="shared" si="36"/>
        <v>Feb-2025</v>
      </c>
      <c r="C802" s="57">
        <v>45692</v>
      </c>
      <c r="D802" s="43">
        <f t="shared" si="37"/>
        <v>420</v>
      </c>
      <c r="E802" s="76">
        <v>198</v>
      </c>
      <c r="F802" s="50">
        <v>416</v>
      </c>
      <c r="G802" s="49">
        <v>110231</v>
      </c>
      <c r="H802" s="73">
        <v>409</v>
      </c>
      <c r="I802" s="77">
        <v>416</v>
      </c>
      <c r="J802" s="73">
        <v>31808.769999999997</v>
      </c>
      <c r="K802" s="52">
        <v>22</v>
      </c>
      <c r="L802" s="51">
        <v>2584.46</v>
      </c>
      <c r="M802" s="77">
        <v>361</v>
      </c>
      <c r="N802" s="76">
        <v>82442.23</v>
      </c>
      <c r="O802" s="75">
        <v>317</v>
      </c>
      <c r="P802" s="74">
        <v>4019.9999999999909</v>
      </c>
      <c r="Q802" s="74">
        <v>655.82999999999993</v>
      </c>
      <c r="R802" s="53">
        <f t="shared" si="38"/>
        <v>5511.55</v>
      </c>
      <c r="S802" s="73">
        <v>31808.769999999997</v>
      </c>
    </row>
    <row r="803" spans="1:19" x14ac:dyDescent="0.25">
      <c r="A803" s="28"/>
      <c r="B803" s="45" t="str">
        <f t="shared" si="36"/>
        <v>Feb-2025</v>
      </c>
      <c r="C803" s="57">
        <v>45693</v>
      </c>
      <c r="D803" s="43">
        <f t="shared" si="37"/>
        <v>419</v>
      </c>
      <c r="E803" s="76">
        <v>220</v>
      </c>
      <c r="F803" s="50">
        <v>482</v>
      </c>
      <c r="G803" s="49">
        <v>116004</v>
      </c>
      <c r="H803" s="73">
        <v>475</v>
      </c>
      <c r="I803" s="77">
        <v>482</v>
      </c>
      <c r="J803" s="73">
        <v>37503.800000000003</v>
      </c>
      <c r="K803" s="52">
        <v>15</v>
      </c>
      <c r="L803" s="51">
        <v>3081.1200000000003</v>
      </c>
      <c r="M803" s="77">
        <v>339</v>
      </c>
      <c r="N803" s="76">
        <v>82995.12</v>
      </c>
      <c r="O803" s="75">
        <v>318</v>
      </c>
      <c r="P803" s="74">
        <v>4494.9200000000083</v>
      </c>
      <c r="Q803" s="74">
        <v>489.7999999999999</v>
      </c>
      <c r="R803" s="53">
        <f t="shared" si="38"/>
        <v>5800.2000000000007</v>
      </c>
      <c r="S803" s="73">
        <v>37503.800000000003</v>
      </c>
    </row>
    <row r="804" spans="1:19" x14ac:dyDescent="0.25">
      <c r="A804" s="28"/>
      <c r="B804" s="45" t="str">
        <f t="shared" si="36"/>
        <v>Feb-2025</v>
      </c>
      <c r="C804" s="57">
        <v>45694</v>
      </c>
      <c r="D804" s="43">
        <f t="shared" si="37"/>
        <v>418</v>
      </c>
      <c r="E804" s="76">
        <v>246</v>
      </c>
      <c r="F804" s="50">
        <v>535</v>
      </c>
      <c r="G804" s="49">
        <v>131982</v>
      </c>
      <c r="H804" s="73">
        <v>528</v>
      </c>
      <c r="I804" s="77">
        <v>535</v>
      </c>
      <c r="J804" s="73">
        <v>48967.310000000012</v>
      </c>
      <c r="K804" s="52">
        <v>15</v>
      </c>
      <c r="L804" s="51">
        <v>2129.3199999999997</v>
      </c>
      <c r="M804" s="77">
        <v>374</v>
      </c>
      <c r="N804" s="76">
        <v>88880.85</v>
      </c>
      <c r="O804" s="75">
        <v>344</v>
      </c>
      <c r="P804" s="74">
        <v>5866.16</v>
      </c>
      <c r="Q804" s="74">
        <v>725.56000000000006</v>
      </c>
      <c r="R804" s="53">
        <f t="shared" si="38"/>
        <v>6599.1</v>
      </c>
      <c r="S804" s="73">
        <v>48967.310000000019</v>
      </c>
    </row>
    <row r="805" spans="1:19" x14ac:dyDescent="0.25">
      <c r="A805" s="28"/>
      <c r="B805" s="45" t="str">
        <f t="shared" si="36"/>
        <v>Feb-2025</v>
      </c>
      <c r="C805" s="57">
        <v>45695</v>
      </c>
      <c r="D805" s="43">
        <f t="shared" si="37"/>
        <v>417</v>
      </c>
      <c r="E805" s="76">
        <v>256</v>
      </c>
      <c r="F805" s="50">
        <v>535</v>
      </c>
      <c r="G805" s="49">
        <v>136577</v>
      </c>
      <c r="H805" s="73">
        <v>525</v>
      </c>
      <c r="I805" s="77">
        <v>535</v>
      </c>
      <c r="J805" s="73">
        <v>46829.940000000017</v>
      </c>
      <c r="K805" s="52">
        <v>13</v>
      </c>
      <c r="L805" s="51">
        <v>1601.33</v>
      </c>
      <c r="M805" s="77">
        <v>418</v>
      </c>
      <c r="N805" s="76">
        <v>95309.4</v>
      </c>
      <c r="O805" s="75">
        <v>384</v>
      </c>
      <c r="P805" s="74">
        <v>5562.3400000000065</v>
      </c>
      <c r="Q805" s="74">
        <v>653.79</v>
      </c>
      <c r="R805" s="53">
        <f t="shared" si="38"/>
        <v>6828.85</v>
      </c>
      <c r="S805" s="73">
        <v>46829.94</v>
      </c>
    </row>
    <row r="806" spans="1:19" x14ac:dyDescent="0.25">
      <c r="A806" s="28"/>
      <c r="B806" s="45" t="str">
        <f t="shared" si="36"/>
        <v>Feb-2025</v>
      </c>
      <c r="C806" s="57">
        <v>45696</v>
      </c>
      <c r="D806" s="43">
        <f t="shared" si="37"/>
        <v>416</v>
      </c>
      <c r="E806" s="76">
        <v>234</v>
      </c>
      <c r="F806" s="50">
        <v>502</v>
      </c>
      <c r="G806" s="49">
        <v>115803</v>
      </c>
      <c r="H806" s="73">
        <v>494</v>
      </c>
      <c r="I806" s="77">
        <v>502</v>
      </c>
      <c r="J806" s="73">
        <v>39302.42</v>
      </c>
      <c r="K806" s="52">
        <v>17</v>
      </c>
      <c r="L806" s="51">
        <v>2271.6</v>
      </c>
      <c r="M806" s="77">
        <v>382</v>
      </c>
      <c r="N806" s="76">
        <v>81200.22</v>
      </c>
      <c r="O806" s="75">
        <v>345</v>
      </c>
      <c r="P806" s="74">
        <v>4699.640000000004</v>
      </c>
      <c r="Q806" s="74">
        <v>524.19999999999993</v>
      </c>
      <c r="R806" s="53">
        <f t="shared" si="38"/>
        <v>5790.1500000000005</v>
      </c>
      <c r="S806" s="73">
        <v>39302.42</v>
      </c>
    </row>
    <row r="807" spans="1:19" x14ac:dyDescent="0.25">
      <c r="A807" s="28"/>
      <c r="B807" s="45" t="str">
        <f t="shared" si="36"/>
        <v>Feb-2025</v>
      </c>
      <c r="C807" s="57">
        <v>45697</v>
      </c>
      <c r="D807" s="43">
        <f t="shared" si="37"/>
        <v>415</v>
      </c>
      <c r="E807" s="76">
        <v>245</v>
      </c>
      <c r="F807" s="50">
        <v>565</v>
      </c>
      <c r="G807" s="49">
        <v>134963</v>
      </c>
      <c r="H807" s="73">
        <v>557</v>
      </c>
      <c r="I807" s="77">
        <v>565</v>
      </c>
      <c r="J807" s="73">
        <v>52504.620000000017</v>
      </c>
      <c r="K807" s="52">
        <v>27</v>
      </c>
      <c r="L807" s="51">
        <v>3345.2599999999998</v>
      </c>
      <c r="M807" s="77">
        <v>461</v>
      </c>
      <c r="N807" s="76">
        <v>88640.43</v>
      </c>
      <c r="O807" s="75">
        <v>415</v>
      </c>
      <c r="P807" s="74">
        <v>6182.0500000000184</v>
      </c>
      <c r="Q807" s="74">
        <v>662.56000000000006</v>
      </c>
      <c r="R807" s="53">
        <f t="shared" si="38"/>
        <v>6748.1500000000005</v>
      </c>
      <c r="S807" s="73">
        <v>52504.620000000024</v>
      </c>
    </row>
    <row r="808" spans="1:19" x14ac:dyDescent="0.25">
      <c r="A808" s="28"/>
      <c r="B808" s="45" t="str">
        <f t="shared" si="36"/>
        <v>Feb-2025</v>
      </c>
      <c r="C808" s="57">
        <v>45698</v>
      </c>
      <c r="D808" s="43">
        <f t="shared" si="37"/>
        <v>414</v>
      </c>
      <c r="E808" s="76">
        <v>232</v>
      </c>
      <c r="F808" s="50">
        <v>449</v>
      </c>
      <c r="G808" s="49">
        <v>108259</v>
      </c>
      <c r="H808" s="73">
        <v>442</v>
      </c>
      <c r="I808" s="77">
        <v>449</v>
      </c>
      <c r="J808" s="73">
        <v>35548.58</v>
      </c>
      <c r="K808" s="52">
        <v>9</v>
      </c>
      <c r="L808" s="51">
        <v>804.16</v>
      </c>
      <c r="M808" s="77">
        <v>342</v>
      </c>
      <c r="N808" s="76">
        <v>76956.66</v>
      </c>
      <c r="O808" s="75">
        <v>328</v>
      </c>
      <c r="P808" s="74">
        <v>4246.239999999998</v>
      </c>
      <c r="Q808" s="74">
        <v>525.08999999999992</v>
      </c>
      <c r="R808" s="53">
        <f t="shared" si="38"/>
        <v>5412.9500000000007</v>
      </c>
      <c r="S808" s="73">
        <v>35548.580000000009</v>
      </c>
    </row>
    <row r="809" spans="1:19" x14ac:dyDescent="0.25">
      <c r="A809" s="28"/>
      <c r="B809" s="45" t="str">
        <f t="shared" si="36"/>
        <v>Feb-2025</v>
      </c>
      <c r="C809" s="57">
        <v>45699</v>
      </c>
      <c r="D809" s="43">
        <f t="shared" si="37"/>
        <v>413</v>
      </c>
      <c r="E809" s="76">
        <v>232</v>
      </c>
      <c r="F809" s="50">
        <v>491</v>
      </c>
      <c r="G809" s="49">
        <v>113993</v>
      </c>
      <c r="H809" s="73">
        <v>490</v>
      </c>
      <c r="I809" s="77">
        <v>491</v>
      </c>
      <c r="J809" s="73">
        <v>43256.619999999988</v>
      </c>
      <c r="K809" s="52">
        <v>14</v>
      </c>
      <c r="L809" s="51">
        <v>843.16</v>
      </c>
      <c r="M809" s="77">
        <v>341</v>
      </c>
      <c r="N809" s="76">
        <v>75797.27</v>
      </c>
      <c r="O809" s="75">
        <v>320</v>
      </c>
      <c r="P809" s="74">
        <v>5060.8900000000085</v>
      </c>
      <c r="Q809" s="74">
        <v>583.31999999999971</v>
      </c>
      <c r="R809" s="53">
        <f t="shared" si="38"/>
        <v>5699.6500000000005</v>
      </c>
      <c r="S809" s="73">
        <v>43256.619999999995</v>
      </c>
    </row>
    <row r="810" spans="1:19" x14ac:dyDescent="0.25">
      <c r="A810" s="28"/>
      <c r="B810" s="45" t="str">
        <f t="shared" si="36"/>
        <v>Feb-2025</v>
      </c>
      <c r="C810" s="57">
        <v>45700</v>
      </c>
      <c r="D810" s="43">
        <f t="shared" si="37"/>
        <v>412</v>
      </c>
      <c r="E810" s="76">
        <v>204</v>
      </c>
      <c r="F810" s="50">
        <v>462</v>
      </c>
      <c r="G810" s="49">
        <v>117959</v>
      </c>
      <c r="H810" s="73">
        <v>457</v>
      </c>
      <c r="I810" s="77">
        <v>462</v>
      </c>
      <c r="J810" s="73">
        <v>38418.009999999995</v>
      </c>
      <c r="K810" s="52">
        <v>16</v>
      </c>
      <c r="L810" s="51">
        <v>1862.1999999999998</v>
      </c>
      <c r="M810" s="77">
        <v>416</v>
      </c>
      <c r="N810" s="76">
        <v>84253.93</v>
      </c>
      <c r="O810" s="75">
        <v>380</v>
      </c>
      <c r="P810" s="74">
        <v>4712.9399999999932</v>
      </c>
      <c r="Q810" s="74">
        <v>815.44999999999982</v>
      </c>
      <c r="R810" s="53">
        <f t="shared" si="38"/>
        <v>5897.9500000000007</v>
      </c>
      <c r="S810" s="73">
        <v>38418.009999999995</v>
      </c>
    </row>
    <row r="811" spans="1:19" x14ac:dyDescent="0.25">
      <c r="A811" s="28"/>
      <c r="B811" s="45" t="str">
        <f t="shared" si="36"/>
        <v>Feb-2025</v>
      </c>
      <c r="C811" s="57">
        <v>45701</v>
      </c>
      <c r="D811" s="43">
        <f t="shared" si="37"/>
        <v>411</v>
      </c>
      <c r="E811" s="76">
        <v>252</v>
      </c>
      <c r="F811" s="50">
        <v>479</v>
      </c>
      <c r="G811" s="49">
        <v>101487</v>
      </c>
      <c r="H811" s="73">
        <v>473</v>
      </c>
      <c r="I811" s="77">
        <v>479</v>
      </c>
      <c r="J811" s="73">
        <v>36686.999999999993</v>
      </c>
      <c r="K811" s="52">
        <v>13</v>
      </c>
      <c r="L811" s="51">
        <v>999.38</v>
      </c>
      <c r="M811" s="77">
        <v>343</v>
      </c>
      <c r="N811" s="76">
        <v>69332.52</v>
      </c>
      <c r="O811" s="75">
        <v>325</v>
      </c>
      <c r="P811" s="74">
        <v>4532.5199999999932</v>
      </c>
      <c r="Q811" s="74">
        <v>638.48000000000013</v>
      </c>
      <c r="R811" s="53">
        <f t="shared" si="38"/>
        <v>5074.3500000000004</v>
      </c>
      <c r="S811" s="73">
        <v>36687</v>
      </c>
    </row>
    <row r="812" spans="1:19" x14ac:dyDescent="0.25">
      <c r="A812" s="28"/>
      <c r="B812" s="45" t="str">
        <f t="shared" si="36"/>
        <v>Feb-2025</v>
      </c>
      <c r="C812" s="57">
        <v>45702</v>
      </c>
      <c r="D812" s="43">
        <f t="shared" si="37"/>
        <v>410</v>
      </c>
      <c r="E812" s="76">
        <v>225</v>
      </c>
      <c r="F812" s="50">
        <v>497</v>
      </c>
      <c r="G812" s="49">
        <v>121744</v>
      </c>
      <c r="H812" s="73">
        <v>490</v>
      </c>
      <c r="I812" s="77">
        <v>497</v>
      </c>
      <c r="J812" s="73">
        <v>39275.320000000007</v>
      </c>
      <c r="K812" s="52">
        <v>17</v>
      </c>
      <c r="L812" s="51">
        <v>2586.1899999999996</v>
      </c>
      <c r="M812" s="77">
        <v>398</v>
      </c>
      <c r="N812" s="76">
        <v>87499.79</v>
      </c>
      <c r="O812" s="75">
        <v>358</v>
      </c>
      <c r="P812" s="74">
        <v>5031.1100000000115</v>
      </c>
      <c r="Q812" s="74">
        <v>948.9899999999999</v>
      </c>
      <c r="R812" s="53">
        <f t="shared" si="38"/>
        <v>6087.2000000000007</v>
      </c>
      <c r="S812" s="73">
        <v>39275.320000000007</v>
      </c>
    </row>
    <row r="813" spans="1:19" x14ac:dyDescent="0.25">
      <c r="A813" s="28"/>
      <c r="B813" s="45" t="str">
        <f t="shared" si="36"/>
        <v>Feb-2025</v>
      </c>
      <c r="C813" s="57">
        <v>45703</v>
      </c>
      <c r="D813" s="43">
        <f t="shared" si="37"/>
        <v>409</v>
      </c>
      <c r="E813" s="76">
        <v>281</v>
      </c>
      <c r="F813" s="50">
        <v>546</v>
      </c>
      <c r="G813" s="49">
        <v>119463</v>
      </c>
      <c r="H813" s="73">
        <v>535</v>
      </c>
      <c r="I813" s="77">
        <v>546</v>
      </c>
      <c r="J813" s="73">
        <v>41693.869999999988</v>
      </c>
      <c r="K813" s="52">
        <v>26</v>
      </c>
      <c r="L813" s="51">
        <v>2792.98</v>
      </c>
      <c r="M813" s="77">
        <v>388</v>
      </c>
      <c r="N813" s="76">
        <v>82670.58</v>
      </c>
      <c r="O813" s="75">
        <v>358</v>
      </c>
      <c r="P813" s="74">
        <v>4901.4500000000098</v>
      </c>
      <c r="Q813" s="74">
        <v>499.15000000000015</v>
      </c>
      <c r="R813" s="53">
        <f t="shared" si="38"/>
        <v>5973.1500000000005</v>
      </c>
      <c r="S813" s="73">
        <v>41693.869999999995</v>
      </c>
    </row>
    <row r="814" spans="1:19" x14ac:dyDescent="0.25">
      <c r="A814" s="28"/>
      <c r="B814" s="45" t="str">
        <f t="shared" si="36"/>
        <v>Feb-2025</v>
      </c>
      <c r="C814" s="57">
        <v>45704</v>
      </c>
      <c r="D814" s="43">
        <f t="shared" si="37"/>
        <v>408</v>
      </c>
      <c r="E814" s="76">
        <v>303</v>
      </c>
      <c r="F814" s="50">
        <v>596</v>
      </c>
      <c r="G814" s="49">
        <v>136956</v>
      </c>
      <c r="H814" s="73">
        <v>591</v>
      </c>
      <c r="I814" s="77">
        <v>596</v>
      </c>
      <c r="J814" s="73">
        <v>52322.389999999985</v>
      </c>
      <c r="K814" s="52">
        <v>16</v>
      </c>
      <c r="L814" s="51">
        <v>2942.58</v>
      </c>
      <c r="M814" s="77">
        <v>429</v>
      </c>
      <c r="N814" s="76">
        <v>90794.33</v>
      </c>
      <c r="O814" s="75">
        <v>391</v>
      </c>
      <c r="P814" s="74">
        <v>6160.7200000000175</v>
      </c>
      <c r="Q814" s="74">
        <v>760.46999999999935</v>
      </c>
      <c r="R814" s="53">
        <f t="shared" si="38"/>
        <v>6847.8</v>
      </c>
      <c r="S814" s="73">
        <v>52322.389999999985</v>
      </c>
    </row>
    <row r="815" spans="1:19" x14ac:dyDescent="0.25">
      <c r="A815" s="28"/>
      <c r="B815" s="45" t="str">
        <f t="shared" si="36"/>
        <v>Feb-2025</v>
      </c>
      <c r="C815" s="57">
        <v>45705</v>
      </c>
      <c r="D815" s="43">
        <f t="shared" si="37"/>
        <v>407</v>
      </c>
      <c r="E815" s="76">
        <v>233</v>
      </c>
      <c r="F815" s="50">
        <v>482</v>
      </c>
      <c r="G815" s="49">
        <v>113950</v>
      </c>
      <c r="H815" s="73">
        <v>478</v>
      </c>
      <c r="I815" s="77">
        <v>482</v>
      </c>
      <c r="J815" s="73">
        <v>39286.890000000007</v>
      </c>
      <c r="K815" s="52">
        <v>23</v>
      </c>
      <c r="L815" s="51">
        <v>3751.27</v>
      </c>
      <c r="M815" s="77">
        <v>379</v>
      </c>
      <c r="N815" s="76">
        <v>79281.89</v>
      </c>
      <c r="O815" s="75">
        <v>348</v>
      </c>
      <c r="P815" s="74">
        <v>4618.7800000000088</v>
      </c>
      <c r="Q815" s="74">
        <v>530.17000000000007</v>
      </c>
      <c r="R815" s="53">
        <f t="shared" si="38"/>
        <v>5697.5</v>
      </c>
      <c r="S815" s="73">
        <v>39286.890000000014</v>
      </c>
    </row>
    <row r="816" spans="1:19" x14ac:dyDescent="0.25">
      <c r="A816" s="28"/>
      <c r="B816" s="45" t="str">
        <f t="shared" si="36"/>
        <v>Feb-2025</v>
      </c>
      <c r="C816" s="57">
        <v>45706</v>
      </c>
      <c r="D816" s="43">
        <f t="shared" si="37"/>
        <v>406</v>
      </c>
      <c r="E816" s="76">
        <v>296</v>
      </c>
      <c r="F816" s="50">
        <v>497</v>
      </c>
      <c r="G816" s="49">
        <v>108984</v>
      </c>
      <c r="H816" s="73">
        <v>495</v>
      </c>
      <c r="I816" s="77">
        <v>497</v>
      </c>
      <c r="J816" s="73">
        <v>46321.790000000008</v>
      </c>
      <c r="K816" s="52">
        <v>8</v>
      </c>
      <c r="L816" s="51">
        <v>603.02999999999986</v>
      </c>
      <c r="M816" s="77">
        <v>275</v>
      </c>
      <c r="N816" s="76">
        <v>67902.100000000006</v>
      </c>
      <c r="O816" s="75">
        <v>265</v>
      </c>
      <c r="P816" s="74">
        <v>5239.8900000000085</v>
      </c>
      <c r="Q816" s="74">
        <v>429.54999999999995</v>
      </c>
      <c r="R816" s="53">
        <f t="shared" si="38"/>
        <v>5449.2000000000007</v>
      </c>
      <c r="S816" s="73">
        <v>46321.79</v>
      </c>
    </row>
    <row r="817" spans="1:19" x14ac:dyDescent="0.25">
      <c r="A817" s="28"/>
      <c r="B817" s="45" t="str">
        <f t="shared" si="36"/>
        <v>Feb-2025</v>
      </c>
      <c r="C817" s="57">
        <v>45707</v>
      </c>
      <c r="D817" s="43">
        <f t="shared" si="37"/>
        <v>405</v>
      </c>
      <c r="E817" s="76">
        <v>268</v>
      </c>
      <c r="F817" s="50">
        <v>444</v>
      </c>
      <c r="G817" s="49">
        <v>95510</v>
      </c>
      <c r="H817" s="73">
        <v>439</v>
      </c>
      <c r="I817" s="77">
        <v>444</v>
      </c>
      <c r="J817" s="73">
        <v>33995.260000000009</v>
      </c>
      <c r="K817" s="52">
        <v>8</v>
      </c>
      <c r="L817" s="51">
        <v>1450.31</v>
      </c>
      <c r="M817" s="77">
        <v>296</v>
      </c>
      <c r="N817" s="76">
        <v>65654.48</v>
      </c>
      <c r="O817" s="75">
        <v>277</v>
      </c>
      <c r="P817" s="74">
        <v>4139.7399999999989</v>
      </c>
      <c r="Q817" s="74">
        <v>610.2600000000001</v>
      </c>
      <c r="R817" s="53">
        <f t="shared" si="38"/>
        <v>4775.5</v>
      </c>
      <c r="S817" s="73">
        <v>33995.26</v>
      </c>
    </row>
    <row r="818" spans="1:19" x14ac:dyDescent="0.25">
      <c r="A818" s="28"/>
      <c r="B818" s="45" t="str">
        <f t="shared" si="36"/>
        <v>Feb-2025</v>
      </c>
      <c r="C818" s="57">
        <v>45708</v>
      </c>
      <c r="D818" s="43">
        <f t="shared" si="37"/>
        <v>404</v>
      </c>
      <c r="E818" s="76">
        <v>230</v>
      </c>
      <c r="F818" s="50">
        <v>436</v>
      </c>
      <c r="G818" s="49">
        <v>102176</v>
      </c>
      <c r="H818" s="73">
        <v>430</v>
      </c>
      <c r="I818" s="77">
        <v>436</v>
      </c>
      <c r="J818" s="73">
        <v>34811.299999999996</v>
      </c>
      <c r="K818" s="52">
        <v>13</v>
      </c>
      <c r="L818" s="51">
        <v>1609.31</v>
      </c>
      <c r="M818" s="77">
        <v>341</v>
      </c>
      <c r="N818" s="76">
        <v>71425.649999999994</v>
      </c>
      <c r="O818" s="75">
        <v>311</v>
      </c>
      <c r="P818" s="74">
        <v>4060.9499999999953</v>
      </c>
      <c r="Q818" s="74">
        <v>452.86000000000013</v>
      </c>
      <c r="R818" s="53">
        <f t="shared" si="38"/>
        <v>5108.8</v>
      </c>
      <c r="S818" s="73">
        <v>34811.299999999988</v>
      </c>
    </row>
    <row r="819" spans="1:19" x14ac:dyDescent="0.25">
      <c r="A819" s="28"/>
      <c r="B819" s="45" t="str">
        <f t="shared" si="36"/>
        <v>Feb-2025</v>
      </c>
      <c r="C819" s="57">
        <v>45709</v>
      </c>
      <c r="D819" s="43">
        <f t="shared" si="37"/>
        <v>403</v>
      </c>
      <c r="E819" s="76">
        <v>193</v>
      </c>
      <c r="F819" s="50">
        <v>472</v>
      </c>
      <c r="G819" s="49">
        <v>103057</v>
      </c>
      <c r="H819" s="73">
        <v>451</v>
      </c>
      <c r="I819" s="77">
        <v>472</v>
      </c>
      <c r="J819" s="73">
        <v>35268.81</v>
      </c>
      <c r="K819" s="52">
        <v>33</v>
      </c>
      <c r="L819" s="51">
        <v>3985.8799999999997</v>
      </c>
      <c r="M819" s="77">
        <v>389</v>
      </c>
      <c r="N819" s="76">
        <v>71879.8</v>
      </c>
      <c r="O819" s="75">
        <v>351</v>
      </c>
      <c r="P819" s="74">
        <v>4091.6099999999951</v>
      </c>
      <c r="Q819" s="74">
        <v>482.61000000000007</v>
      </c>
      <c r="R819" s="53">
        <f t="shared" si="38"/>
        <v>5152.8500000000004</v>
      </c>
      <c r="S819" s="73">
        <v>35268.810000000005</v>
      </c>
    </row>
    <row r="820" spans="1:19" x14ac:dyDescent="0.25">
      <c r="A820" s="28"/>
      <c r="B820" s="45" t="str">
        <f t="shared" si="36"/>
        <v>Feb-2025</v>
      </c>
      <c r="C820" s="57">
        <v>45710</v>
      </c>
      <c r="D820" s="43">
        <f t="shared" si="37"/>
        <v>402</v>
      </c>
      <c r="E820" s="76">
        <v>200</v>
      </c>
      <c r="F820" s="50">
        <v>460</v>
      </c>
      <c r="G820" s="49">
        <v>104984</v>
      </c>
      <c r="H820" s="73">
        <v>445</v>
      </c>
      <c r="I820" s="77">
        <v>460</v>
      </c>
      <c r="J820" s="73">
        <v>31524.660000000003</v>
      </c>
      <c r="K820" s="52">
        <v>21</v>
      </c>
      <c r="L820" s="51">
        <v>2968.22</v>
      </c>
      <c r="M820" s="77">
        <v>390</v>
      </c>
      <c r="N820" s="76">
        <v>77315.33</v>
      </c>
      <c r="O820" s="75">
        <v>350</v>
      </c>
      <c r="P820" s="74">
        <v>3855.9899999999943</v>
      </c>
      <c r="Q820" s="74">
        <v>609.57000000000016</v>
      </c>
      <c r="R820" s="53">
        <f t="shared" si="38"/>
        <v>5249.2000000000007</v>
      </c>
      <c r="S820" s="73">
        <v>31524.66</v>
      </c>
    </row>
    <row r="821" spans="1:19" x14ac:dyDescent="0.25">
      <c r="A821" s="28"/>
      <c r="B821" s="45" t="str">
        <f t="shared" si="36"/>
        <v>Feb-2025</v>
      </c>
      <c r="C821" s="57">
        <v>45711</v>
      </c>
      <c r="D821" s="43">
        <f t="shared" si="37"/>
        <v>401</v>
      </c>
      <c r="E821" s="76">
        <v>192</v>
      </c>
      <c r="F821" s="50">
        <v>430</v>
      </c>
      <c r="G821" s="49">
        <v>91699</v>
      </c>
      <c r="H821" s="73">
        <v>425</v>
      </c>
      <c r="I821" s="77">
        <v>430</v>
      </c>
      <c r="J821" s="73">
        <v>32922.799999999996</v>
      </c>
      <c r="K821" s="52">
        <v>11</v>
      </c>
      <c r="L821" s="51">
        <v>676.11</v>
      </c>
      <c r="M821" s="77">
        <v>338</v>
      </c>
      <c r="N821" s="76">
        <v>62573.64</v>
      </c>
      <c r="O821" s="75">
        <v>312</v>
      </c>
      <c r="P821" s="74">
        <v>3797.4399999999923</v>
      </c>
      <c r="Q821" s="74">
        <v>413.76000000000016</v>
      </c>
      <c r="R821" s="53">
        <f t="shared" si="38"/>
        <v>4584.95</v>
      </c>
      <c r="S821" s="73">
        <v>32922.799999999996</v>
      </c>
    </row>
    <row r="822" spans="1:19" x14ac:dyDescent="0.25">
      <c r="A822" s="28"/>
      <c r="B822" s="45" t="str">
        <f t="shared" si="36"/>
        <v>Feb-2025</v>
      </c>
      <c r="C822" s="57">
        <v>45712</v>
      </c>
      <c r="D822" s="43">
        <f t="shared" si="37"/>
        <v>400</v>
      </c>
      <c r="E822" s="76">
        <v>283</v>
      </c>
      <c r="F822" s="50">
        <v>493</v>
      </c>
      <c r="G822" s="49">
        <v>108455</v>
      </c>
      <c r="H822" s="73">
        <v>490</v>
      </c>
      <c r="I822" s="77">
        <v>493</v>
      </c>
      <c r="J822" s="73">
        <v>46250.490000000005</v>
      </c>
      <c r="K822" s="52">
        <v>12</v>
      </c>
      <c r="L822" s="51">
        <v>687.99</v>
      </c>
      <c r="M822" s="77">
        <v>317</v>
      </c>
      <c r="N822" s="76">
        <v>67424.53</v>
      </c>
      <c r="O822" s="75">
        <v>292</v>
      </c>
      <c r="P822" s="74">
        <v>5220.020000000005</v>
      </c>
      <c r="Q822" s="74">
        <v>485.11999999999978</v>
      </c>
      <c r="R822" s="53">
        <f t="shared" si="38"/>
        <v>5422.75</v>
      </c>
      <c r="S822" s="73">
        <v>46250.490000000005</v>
      </c>
    </row>
    <row r="823" spans="1:19" x14ac:dyDescent="0.25">
      <c r="A823" s="28"/>
      <c r="B823" s="45" t="str">
        <f t="shared" si="36"/>
        <v>Feb-2025</v>
      </c>
      <c r="C823" s="57">
        <v>45713</v>
      </c>
      <c r="D823" s="43">
        <f t="shared" si="37"/>
        <v>399</v>
      </c>
      <c r="E823" s="76">
        <v>272</v>
      </c>
      <c r="F823" s="50">
        <v>500</v>
      </c>
      <c r="G823" s="49">
        <v>136978</v>
      </c>
      <c r="H823" s="73">
        <v>493</v>
      </c>
      <c r="I823" s="77">
        <v>500</v>
      </c>
      <c r="J823" s="73">
        <v>55929.68</v>
      </c>
      <c r="K823" s="52">
        <v>19</v>
      </c>
      <c r="L823" s="51">
        <v>1472.4299999999998</v>
      </c>
      <c r="M823" s="77">
        <v>399</v>
      </c>
      <c r="N823" s="76">
        <v>87233.72</v>
      </c>
      <c r="O823" s="75">
        <v>367</v>
      </c>
      <c r="P823" s="74">
        <v>6185.4000000000096</v>
      </c>
      <c r="Q823" s="74">
        <v>758.20000000000016</v>
      </c>
      <c r="R823" s="53">
        <f t="shared" si="38"/>
        <v>6848.9000000000005</v>
      </c>
      <c r="S823" s="73">
        <v>55929.679999999993</v>
      </c>
    </row>
    <row r="824" spans="1:19" x14ac:dyDescent="0.25">
      <c r="A824" s="28"/>
      <c r="B824" s="45" t="str">
        <f t="shared" si="36"/>
        <v>Feb-2025</v>
      </c>
      <c r="C824" s="57">
        <v>45714</v>
      </c>
      <c r="D824" s="43">
        <f t="shared" si="37"/>
        <v>398</v>
      </c>
      <c r="E824" s="76">
        <v>411</v>
      </c>
      <c r="F824" s="50">
        <v>590</v>
      </c>
      <c r="G824" s="49">
        <v>151045</v>
      </c>
      <c r="H824" s="73">
        <v>582</v>
      </c>
      <c r="I824" s="77">
        <v>590</v>
      </c>
      <c r="J824" s="73">
        <v>68458.50999999998</v>
      </c>
      <c r="K824" s="52">
        <v>26</v>
      </c>
      <c r="L824" s="51">
        <v>3016.8999999999996</v>
      </c>
      <c r="M824" s="77">
        <v>400</v>
      </c>
      <c r="N824" s="76">
        <v>90087.17</v>
      </c>
      <c r="O824" s="75">
        <v>370</v>
      </c>
      <c r="P824" s="74">
        <v>7500.6800000000067</v>
      </c>
      <c r="Q824" s="74">
        <v>687.70999999999981</v>
      </c>
      <c r="R824" s="53">
        <f t="shared" si="38"/>
        <v>7552.25</v>
      </c>
      <c r="S824" s="73">
        <v>68458.510000000024</v>
      </c>
    </row>
    <row r="825" spans="1:19" x14ac:dyDescent="0.25">
      <c r="A825" s="28"/>
      <c r="B825" s="45" t="str">
        <f t="shared" si="36"/>
        <v>Feb-2025</v>
      </c>
      <c r="C825" s="57">
        <v>45715</v>
      </c>
      <c r="D825" s="43">
        <f t="shared" si="37"/>
        <v>397</v>
      </c>
      <c r="E825" s="76">
        <v>408</v>
      </c>
      <c r="F825" s="50">
        <v>612</v>
      </c>
      <c r="G825" s="49">
        <v>135758</v>
      </c>
      <c r="H825" s="73">
        <v>606</v>
      </c>
      <c r="I825" s="77">
        <v>612</v>
      </c>
      <c r="J825" s="73">
        <v>60453.99000000002</v>
      </c>
      <c r="K825" s="52">
        <v>18</v>
      </c>
      <c r="L825" s="51">
        <v>1644.5600000000002</v>
      </c>
      <c r="M825" s="77">
        <v>444</v>
      </c>
      <c r="N825" s="76">
        <v>82122.039999999994</v>
      </c>
      <c r="O825" s="75">
        <v>412</v>
      </c>
      <c r="P825" s="74">
        <v>6818.0300000000034</v>
      </c>
      <c r="Q825" s="74">
        <v>775.06999999999971</v>
      </c>
      <c r="R825" s="53">
        <f t="shared" si="38"/>
        <v>6787.9000000000005</v>
      </c>
      <c r="S825" s="73">
        <v>60453.990000000034</v>
      </c>
    </row>
    <row r="826" spans="1:19" x14ac:dyDescent="0.25">
      <c r="A826" s="28"/>
      <c r="B826" s="45" t="str">
        <f t="shared" si="36"/>
        <v>Feb-2025</v>
      </c>
      <c r="C826" s="57">
        <v>45716</v>
      </c>
      <c r="D826" s="43">
        <f t="shared" si="37"/>
        <v>396</v>
      </c>
      <c r="E826" s="76">
        <v>334</v>
      </c>
      <c r="F826" s="50">
        <v>588</v>
      </c>
      <c r="G826" s="49">
        <v>141128</v>
      </c>
      <c r="H826" s="73">
        <v>579</v>
      </c>
      <c r="I826" s="77">
        <v>588</v>
      </c>
      <c r="J826" s="73">
        <v>54872.530000000006</v>
      </c>
      <c r="K826" s="52">
        <v>20</v>
      </c>
      <c r="L826" s="51">
        <v>1972.3099999999997</v>
      </c>
      <c r="M826" s="77">
        <v>398</v>
      </c>
      <c r="N826" s="76">
        <v>92541.79</v>
      </c>
      <c r="O826" s="75">
        <v>367</v>
      </c>
      <c r="P826" s="74">
        <v>6286.3200000000124</v>
      </c>
      <c r="Q826" s="74">
        <v>787.18999999999983</v>
      </c>
      <c r="R826" s="53">
        <f t="shared" si="38"/>
        <v>7056.4000000000005</v>
      </c>
      <c r="S826" s="73">
        <v>54872.530000000013</v>
      </c>
    </row>
    <row r="827" spans="1:19" x14ac:dyDescent="0.25">
      <c r="A827" s="28"/>
      <c r="B827" s="45" t="str">
        <f t="shared" si="36"/>
        <v>Mar-2025</v>
      </c>
      <c r="C827" s="57">
        <v>45717</v>
      </c>
      <c r="D827" s="43">
        <f t="shared" si="37"/>
        <v>395</v>
      </c>
      <c r="E827" s="76">
        <v>282</v>
      </c>
      <c r="F827" s="50">
        <v>772</v>
      </c>
      <c r="G827" s="49">
        <v>155663</v>
      </c>
      <c r="H827" s="73">
        <v>764</v>
      </c>
      <c r="I827" s="77">
        <v>772</v>
      </c>
      <c r="J827" s="73">
        <v>81209.599999999991</v>
      </c>
      <c r="K827" s="52">
        <v>19</v>
      </c>
      <c r="L827" s="51">
        <v>2106.4899999999998</v>
      </c>
      <c r="M827" s="77">
        <v>361</v>
      </c>
      <c r="N827" s="76">
        <v>83358.039999999994</v>
      </c>
      <c r="O827" s="75">
        <v>337</v>
      </c>
      <c r="P827" s="74">
        <v>8904.6400000000212</v>
      </c>
      <c r="Q827" s="74">
        <v>580.24000000000012</v>
      </c>
      <c r="R827" s="53">
        <f t="shared" si="38"/>
        <v>7783.1500000000005</v>
      </c>
      <c r="S827" s="73">
        <v>81209.599999999977</v>
      </c>
    </row>
    <row r="828" spans="1:19" x14ac:dyDescent="0.25">
      <c r="A828" s="28"/>
      <c r="B828" s="45" t="str">
        <f t="shared" si="36"/>
        <v>Mar-2025</v>
      </c>
      <c r="C828" s="57">
        <v>45718</v>
      </c>
      <c r="D828" s="43">
        <f t="shared" si="37"/>
        <v>394</v>
      </c>
      <c r="E828" s="76">
        <v>361</v>
      </c>
      <c r="F828" s="50">
        <v>561</v>
      </c>
      <c r="G828" s="49">
        <v>119706</v>
      </c>
      <c r="H828" s="73">
        <v>556</v>
      </c>
      <c r="I828" s="77">
        <v>561</v>
      </c>
      <c r="J828" s="73">
        <v>59188.689999999988</v>
      </c>
      <c r="K828" s="52">
        <v>26</v>
      </c>
      <c r="L828" s="51">
        <v>2276.91</v>
      </c>
      <c r="M828" s="77">
        <v>317</v>
      </c>
      <c r="N828" s="76">
        <v>67045.34</v>
      </c>
      <c r="O828" s="75">
        <v>292</v>
      </c>
      <c r="P828" s="74">
        <v>6528.0300000000034</v>
      </c>
      <c r="Q828" s="74">
        <v>515.16</v>
      </c>
      <c r="R828" s="53">
        <f t="shared" si="38"/>
        <v>5985.3</v>
      </c>
      <c r="S828" s="73">
        <v>59188.689999999988</v>
      </c>
    </row>
    <row r="829" spans="1:19" x14ac:dyDescent="0.25">
      <c r="A829" s="28"/>
      <c r="B829" s="45" t="str">
        <f t="shared" si="36"/>
        <v>Mar-2025</v>
      </c>
      <c r="C829" s="57">
        <v>45719</v>
      </c>
      <c r="D829" s="43">
        <f t="shared" si="37"/>
        <v>393</v>
      </c>
      <c r="E829" s="76">
        <v>291</v>
      </c>
      <c r="F829" s="50">
        <v>632</v>
      </c>
      <c r="G829" s="49">
        <v>141811</v>
      </c>
      <c r="H829" s="73">
        <v>626</v>
      </c>
      <c r="I829" s="77">
        <v>632</v>
      </c>
      <c r="J829" s="73">
        <v>61792.600000000013</v>
      </c>
      <c r="K829" s="52">
        <v>20</v>
      </c>
      <c r="L829" s="51">
        <v>1516.81</v>
      </c>
      <c r="M829" s="77">
        <v>404</v>
      </c>
      <c r="N829" s="76">
        <v>87053.37</v>
      </c>
      <c r="O829" s="75">
        <v>370</v>
      </c>
      <c r="P829" s="74">
        <v>7034.9699999999993</v>
      </c>
      <c r="Q829" s="74">
        <v>888.5400000000003</v>
      </c>
      <c r="R829" s="53">
        <f t="shared" si="38"/>
        <v>7090.55</v>
      </c>
      <c r="S829" s="73">
        <v>61792.600000000028</v>
      </c>
    </row>
    <row r="830" spans="1:19" x14ac:dyDescent="0.25">
      <c r="A830" s="28"/>
      <c r="B830" s="45" t="str">
        <f t="shared" si="36"/>
        <v>Mar-2025</v>
      </c>
      <c r="C830" s="57">
        <v>45720</v>
      </c>
      <c r="D830" s="43">
        <f t="shared" si="37"/>
        <v>392</v>
      </c>
      <c r="E830" s="76">
        <v>257</v>
      </c>
      <c r="F830" s="50">
        <v>569</v>
      </c>
      <c r="G830" s="49">
        <v>158640</v>
      </c>
      <c r="H830" s="73">
        <v>560</v>
      </c>
      <c r="I830" s="77">
        <v>569</v>
      </c>
      <c r="J830" s="73">
        <v>56197.8</v>
      </c>
      <c r="K830" s="52">
        <v>20</v>
      </c>
      <c r="L830" s="51">
        <v>2510.38</v>
      </c>
      <c r="M830" s="77">
        <v>486</v>
      </c>
      <c r="N830" s="76">
        <v>109026.75</v>
      </c>
      <c r="O830" s="75">
        <v>451</v>
      </c>
      <c r="P830" s="74">
        <v>6584.5500000000138</v>
      </c>
      <c r="Q830" s="74">
        <v>1083.7499999999995</v>
      </c>
      <c r="R830" s="53">
        <f t="shared" si="38"/>
        <v>7932</v>
      </c>
      <c r="S830" s="73">
        <v>56197.8</v>
      </c>
    </row>
    <row r="831" spans="1:19" x14ac:dyDescent="0.25">
      <c r="A831" s="28"/>
      <c r="B831" s="45" t="str">
        <f t="shared" si="36"/>
        <v>Mar-2025</v>
      </c>
      <c r="C831" s="57">
        <v>45721</v>
      </c>
      <c r="D831" s="43">
        <f t="shared" si="37"/>
        <v>391</v>
      </c>
      <c r="E831" s="76">
        <v>329</v>
      </c>
      <c r="F831" s="50">
        <v>599</v>
      </c>
      <c r="G831" s="49">
        <v>132875</v>
      </c>
      <c r="H831" s="73">
        <v>591</v>
      </c>
      <c r="I831" s="77">
        <v>599</v>
      </c>
      <c r="J831" s="73">
        <v>47968.639999999999</v>
      </c>
      <c r="K831" s="52">
        <v>14</v>
      </c>
      <c r="L831" s="51">
        <v>1761.3400000000001</v>
      </c>
      <c r="M831" s="77">
        <v>454</v>
      </c>
      <c r="N831" s="76">
        <v>90543.16</v>
      </c>
      <c r="O831" s="75">
        <v>416</v>
      </c>
      <c r="P831" s="74">
        <v>5636.8000000000065</v>
      </c>
      <c r="Q831" s="74">
        <v>803.59</v>
      </c>
      <c r="R831" s="53">
        <f t="shared" si="38"/>
        <v>6643.75</v>
      </c>
      <c r="S831" s="73">
        <v>47968.639999999992</v>
      </c>
    </row>
    <row r="832" spans="1:19" x14ac:dyDescent="0.25">
      <c r="A832" s="28"/>
      <c r="B832" s="45" t="str">
        <f t="shared" si="36"/>
        <v>Mar-2025</v>
      </c>
      <c r="C832" s="57">
        <v>45722</v>
      </c>
      <c r="D832" s="43">
        <f t="shared" si="37"/>
        <v>390</v>
      </c>
      <c r="E832" s="76">
        <v>252</v>
      </c>
      <c r="F832" s="50">
        <v>472</v>
      </c>
      <c r="G832" s="49">
        <v>116870</v>
      </c>
      <c r="H832" s="73">
        <v>467</v>
      </c>
      <c r="I832" s="77">
        <v>472</v>
      </c>
      <c r="J832" s="73">
        <v>37019.85</v>
      </c>
      <c r="K832" s="52">
        <v>17</v>
      </c>
      <c r="L832" s="51">
        <v>1365.1999999999998</v>
      </c>
      <c r="M832" s="77">
        <v>355</v>
      </c>
      <c r="N832" s="76">
        <v>84280.01</v>
      </c>
      <c r="O832" s="75">
        <v>332</v>
      </c>
      <c r="P832" s="74">
        <v>4429.8599999999951</v>
      </c>
      <c r="Q832" s="74">
        <v>841.63000000000011</v>
      </c>
      <c r="R832" s="53">
        <f t="shared" si="38"/>
        <v>5843.5</v>
      </c>
      <c r="S832" s="73">
        <v>37019.850000000006</v>
      </c>
    </row>
    <row r="833" spans="1:19" x14ac:dyDescent="0.25">
      <c r="A833" s="28"/>
      <c r="B833" s="45" t="str">
        <f t="shared" si="36"/>
        <v>Mar-2025</v>
      </c>
      <c r="C833" s="57">
        <v>45723</v>
      </c>
      <c r="D833" s="43">
        <f t="shared" si="37"/>
        <v>389</v>
      </c>
      <c r="E833" s="76">
        <v>306</v>
      </c>
      <c r="F833" s="50">
        <v>529</v>
      </c>
      <c r="G833" s="49">
        <v>130569</v>
      </c>
      <c r="H833" s="73">
        <v>520</v>
      </c>
      <c r="I833" s="77">
        <v>529</v>
      </c>
      <c r="J833" s="73">
        <v>50474.060000000012</v>
      </c>
      <c r="K833" s="52">
        <v>17</v>
      </c>
      <c r="L833" s="51">
        <v>1455.6399999999999</v>
      </c>
      <c r="M833" s="77">
        <v>420</v>
      </c>
      <c r="N833" s="76">
        <v>85734.94</v>
      </c>
      <c r="O833" s="75">
        <v>391</v>
      </c>
      <c r="P833" s="74">
        <v>5640.00000000001</v>
      </c>
      <c r="Q833" s="74">
        <v>738.67</v>
      </c>
      <c r="R833" s="53">
        <f t="shared" si="38"/>
        <v>6528.4500000000007</v>
      </c>
      <c r="S833" s="73">
        <v>50474.060000000012</v>
      </c>
    </row>
    <row r="834" spans="1:19" x14ac:dyDescent="0.25">
      <c r="A834" s="28"/>
      <c r="B834" s="45" t="str">
        <f t="shared" si="36"/>
        <v>Mar-2025</v>
      </c>
      <c r="C834" s="57">
        <v>45724</v>
      </c>
      <c r="D834" s="43">
        <f t="shared" si="37"/>
        <v>388</v>
      </c>
      <c r="E834" s="76">
        <v>308</v>
      </c>
      <c r="F834" s="50">
        <v>569</v>
      </c>
      <c r="G834" s="49">
        <v>131348</v>
      </c>
      <c r="H834" s="73">
        <v>565</v>
      </c>
      <c r="I834" s="77">
        <v>569</v>
      </c>
      <c r="J834" s="73">
        <v>51710.459999999985</v>
      </c>
      <c r="K834" s="52">
        <v>18</v>
      </c>
      <c r="L834" s="51">
        <v>1225.1999999999998</v>
      </c>
      <c r="M834" s="77">
        <v>414</v>
      </c>
      <c r="N834" s="76">
        <v>85444.2</v>
      </c>
      <c r="O834" s="75">
        <v>389</v>
      </c>
      <c r="P834" s="74">
        <v>5806.6600000000153</v>
      </c>
      <c r="Q834" s="74">
        <v>710.85000000000025</v>
      </c>
      <c r="R834" s="53">
        <f t="shared" si="38"/>
        <v>6567.4000000000005</v>
      </c>
      <c r="S834" s="73">
        <v>51710.459999999992</v>
      </c>
    </row>
    <row r="835" spans="1:19" x14ac:dyDescent="0.25">
      <c r="A835" s="28"/>
      <c r="B835" s="45" t="str">
        <f t="shared" si="36"/>
        <v>Mar-2025</v>
      </c>
      <c r="C835" s="57">
        <v>45725</v>
      </c>
      <c r="D835" s="43">
        <f t="shared" si="37"/>
        <v>387</v>
      </c>
      <c r="E835" s="76">
        <v>229</v>
      </c>
      <c r="F835" s="50">
        <v>476</v>
      </c>
      <c r="G835" s="49">
        <v>109439</v>
      </c>
      <c r="H835" s="73">
        <v>473</v>
      </c>
      <c r="I835" s="77">
        <v>476</v>
      </c>
      <c r="J835" s="73">
        <v>39369.030000000006</v>
      </c>
      <c r="K835" s="52">
        <v>13</v>
      </c>
      <c r="L835" s="51">
        <v>732.65999999999985</v>
      </c>
      <c r="M835" s="77">
        <v>383</v>
      </c>
      <c r="N835" s="76">
        <v>74428.42</v>
      </c>
      <c r="O835" s="75">
        <v>349</v>
      </c>
      <c r="P835" s="74">
        <v>4358.4499999999953</v>
      </c>
      <c r="Q835" s="74">
        <v>489.57</v>
      </c>
      <c r="R835" s="53">
        <f t="shared" si="38"/>
        <v>5471.9500000000007</v>
      </c>
      <c r="S835" s="73">
        <v>39369.03</v>
      </c>
    </row>
    <row r="836" spans="1:19" x14ac:dyDescent="0.25">
      <c r="A836" s="28"/>
      <c r="B836" s="45" t="str">
        <f t="shared" si="36"/>
        <v>Mar-2025</v>
      </c>
      <c r="C836" s="57">
        <v>45726</v>
      </c>
      <c r="D836" s="43">
        <f t="shared" si="37"/>
        <v>386</v>
      </c>
      <c r="E836" s="76">
        <v>245</v>
      </c>
      <c r="F836" s="50">
        <v>433</v>
      </c>
      <c r="G836" s="49">
        <v>94695</v>
      </c>
      <c r="H836" s="73">
        <v>424</v>
      </c>
      <c r="I836" s="77">
        <v>433</v>
      </c>
      <c r="J836" s="73">
        <v>39119.969999999994</v>
      </c>
      <c r="K836" s="52">
        <v>20</v>
      </c>
      <c r="L836" s="51">
        <v>2210.41</v>
      </c>
      <c r="M836" s="77">
        <v>340</v>
      </c>
      <c r="N836" s="76">
        <v>59866.73</v>
      </c>
      <c r="O836" s="75">
        <v>309</v>
      </c>
      <c r="P836" s="74">
        <v>4291.6999999999962</v>
      </c>
      <c r="Q836" s="74">
        <v>451.45999999999987</v>
      </c>
      <c r="R836" s="53">
        <f t="shared" si="38"/>
        <v>4734.75</v>
      </c>
      <c r="S836" s="73">
        <v>39119.97</v>
      </c>
    </row>
    <row r="837" spans="1:19" x14ac:dyDescent="0.25">
      <c r="A837" s="28"/>
      <c r="B837" s="45" t="str">
        <f t="shared" si="36"/>
        <v>Mar-2025</v>
      </c>
      <c r="C837" s="57">
        <v>45727</v>
      </c>
      <c r="D837" s="43">
        <f t="shared" si="37"/>
        <v>385</v>
      </c>
      <c r="E837" s="76">
        <v>231</v>
      </c>
      <c r="F837" s="50">
        <v>434</v>
      </c>
      <c r="G837" s="49">
        <v>98900</v>
      </c>
      <c r="H837" s="73">
        <v>426</v>
      </c>
      <c r="I837" s="77">
        <v>434</v>
      </c>
      <c r="J837" s="73">
        <v>33451.490000000013</v>
      </c>
      <c r="K837" s="52">
        <v>17</v>
      </c>
      <c r="L837" s="51">
        <v>3320.7099999999996</v>
      </c>
      <c r="M837" s="77">
        <v>351</v>
      </c>
      <c r="N837" s="76">
        <v>69288.06</v>
      </c>
      <c r="O837" s="75">
        <v>320</v>
      </c>
      <c r="P837" s="74">
        <v>3839.5499999999965</v>
      </c>
      <c r="Q837" s="74">
        <v>641.59999999999991</v>
      </c>
      <c r="R837" s="53">
        <f t="shared" si="38"/>
        <v>4945</v>
      </c>
      <c r="S837" s="73">
        <v>33451.490000000005</v>
      </c>
    </row>
    <row r="838" spans="1:19" x14ac:dyDescent="0.25">
      <c r="A838" s="28"/>
      <c r="B838" s="45" t="str">
        <f t="shared" si="36"/>
        <v>Mar-2025</v>
      </c>
      <c r="C838" s="57">
        <v>45728</v>
      </c>
      <c r="D838" s="43">
        <f t="shared" si="37"/>
        <v>384</v>
      </c>
      <c r="E838" s="76">
        <v>254</v>
      </c>
      <c r="F838" s="50">
        <v>510</v>
      </c>
      <c r="G838" s="49">
        <v>120210</v>
      </c>
      <c r="H838" s="73">
        <v>508</v>
      </c>
      <c r="I838" s="77">
        <v>510</v>
      </c>
      <c r="J838" s="73">
        <v>49614.499999999993</v>
      </c>
      <c r="K838" s="52">
        <v>13</v>
      </c>
      <c r="L838" s="51">
        <v>2327.4500000000003</v>
      </c>
      <c r="M838" s="77">
        <v>358</v>
      </c>
      <c r="N838" s="76">
        <v>75975.95</v>
      </c>
      <c r="O838" s="75">
        <v>323</v>
      </c>
      <c r="P838" s="74">
        <v>5380.450000000008</v>
      </c>
      <c r="Q838" s="74">
        <v>530.94999999999993</v>
      </c>
      <c r="R838" s="53">
        <f t="shared" si="38"/>
        <v>6010.5</v>
      </c>
      <c r="S838" s="73">
        <v>49614.499999999985</v>
      </c>
    </row>
    <row r="839" spans="1:19" x14ac:dyDescent="0.25">
      <c r="A839" s="28"/>
      <c r="B839" s="45" t="str">
        <f t="shared" ref="B839:B902" si="39">TEXT(C839,"MMM-YYYY")</f>
        <v>Mar-2025</v>
      </c>
      <c r="C839" s="57">
        <v>45729</v>
      </c>
      <c r="D839" s="43">
        <f t="shared" ref="D839:D902" si="40">$A$1-C839</f>
        <v>383</v>
      </c>
      <c r="E839" s="76">
        <v>238</v>
      </c>
      <c r="F839" s="50">
        <v>537</v>
      </c>
      <c r="G839" s="49">
        <v>127260</v>
      </c>
      <c r="H839" s="73">
        <v>514</v>
      </c>
      <c r="I839" s="77">
        <v>537</v>
      </c>
      <c r="J839" s="73">
        <v>47807.249999999971</v>
      </c>
      <c r="K839" s="52">
        <v>31</v>
      </c>
      <c r="L839" s="51">
        <v>7370.2900000000072</v>
      </c>
      <c r="M839" s="77">
        <v>434</v>
      </c>
      <c r="N839" s="76">
        <v>84850.02</v>
      </c>
      <c r="O839" s="75">
        <v>411</v>
      </c>
      <c r="P839" s="74">
        <v>5397.2700000000104</v>
      </c>
      <c r="Q839" s="74">
        <v>741.86999999999966</v>
      </c>
      <c r="R839" s="53">
        <f t="shared" ref="R839:R902" si="41">G839*5%</f>
        <v>6363</v>
      </c>
      <c r="S839" s="73">
        <v>47807.249999999985</v>
      </c>
    </row>
    <row r="840" spans="1:19" x14ac:dyDescent="0.25">
      <c r="A840" s="28"/>
      <c r="B840" s="45" t="str">
        <f t="shared" si="39"/>
        <v>Mar-2025</v>
      </c>
      <c r="C840" s="57">
        <v>45730</v>
      </c>
      <c r="D840" s="43">
        <f t="shared" si="40"/>
        <v>382</v>
      </c>
      <c r="E840" s="76">
        <v>217</v>
      </c>
      <c r="F840" s="50">
        <v>525</v>
      </c>
      <c r="G840" s="49">
        <v>136071</v>
      </c>
      <c r="H840" s="73">
        <v>515</v>
      </c>
      <c r="I840" s="77">
        <v>525</v>
      </c>
      <c r="J840" s="73">
        <v>44945.530000000013</v>
      </c>
      <c r="K840" s="52">
        <v>21</v>
      </c>
      <c r="L840" s="51">
        <v>2033.1799999999998</v>
      </c>
      <c r="M840" s="77">
        <v>432</v>
      </c>
      <c r="N840" s="76">
        <v>96232.72</v>
      </c>
      <c r="O840" s="75">
        <v>393</v>
      </c>
      <c r="P840" s="74">
        <v>5107.2500000000118</v>
      </c>
      <c r="Q840" s="74">
        <v>761.35999999999967</v>
      </c>
      <c r="R840" s="53">
        <f t="shared" si="41"/>
        <v>6803.55</v>
      </c>
      <c r="S840" s="73">
        <v>44945.530000000013</v>
      </c>
    </row>
    <row r="841" spans="1:19" x14ac:dyDescent="0.25">
      <c r="A841" s="28"/>
      <c r="B841" s="45" t="str">
        <f t="shared" si="39"/>
        <v>Mar-2025</v>
      </c>
      <c r="C841" s="57">
        <v>45731</v>
      </c>
      <c r="D841" s="43">
        <f t="shared" si="40"/>
        <v>381</v>
      </c>
      <c r="E841" s="76">
        <v>217</v>
      </c>
      <c r="F841" s="50">
        <v>480</v>
      </c>
      <c r="G841" s="49">
        <v>122849</v>
      </c>
      <c r="H841" s="73">
        <v>471</v>
      </c>
      <c r="I841" s="77">
        <v>480</v>
      </c>
      <c r="J841" s="73">
        <v>37289.06</v>
      </c>
      <c r="K841" s="52">
        <v>20</v>
      </c>
      <c r="L841" s="51">
        <v>3212.3799999999997</v>
      </c>
      <c r="M841" s="77">
        <v>387</v>
      </c>
      <c r="N841" s="76">
        <v>89783.93</v>
      </c>
      <c r="O841" s="75">
        <v>355</v>
      </c>
      <c r="P841" s="74">
        <v>4223.9900000000007</v>
      </c>
      <c r="Q841" s="74">
        <v>635.80000000000007</v>
      </c>
      <c r="R841" s="53">
        <f t="shared" si="41"/>
        <v>6142.4500000000007</v>
      </c>
      <c r="S841" s="73">
        <v>37289.06</v>
      </c>
    </row>
    <row r="842" spans="1:19" x14ac:dyDescent="0.25">
      <c r="A842" s="28"/>
      <c r="B842" s="45" t="str">
        <f t="shared" si="39"/>
        <v>Mar-2025</v>
      </c>
      <c r="C842" s="57">
        <v>45732</v>
      </c>
      <c r="D842" s="43">
        <f t="shared" si="40"/>
        <v>380</v>
      </c>
      <c r="E842" s="76">
        <v>225</v>
      </c>
      <c r="F842" s="50">
        <v>507</v>
      </c>
      <c r="G842" s="49">
        <v>113933</v>
      </c>
      <c r="H842" s="73">
        <v>501</v>
      </c>
      <c r="I842" s="77">
        <v>507</v>
      </c>
      <c r="J842" s="73">
        <v>38274.000000000007</v>
      </c>
      <c r="K842" s="52">
        <v>12</v>
      </c>
      <c r="L842" s="51">
        <v>876.13999999999987</v>
      </c>
      <c r="M842" s="77">
        <v>420</v>
      </c>
      <c r="N842" s="76">
        <v>80173.570000000007</v>
      </c>
      <c r="O842" s="75">
        <v>385</v>
      </c>
      <c r="P842" s="74">
        <v>4514.5699999999988</v>
      </c>
      <c r="Q842" s="74">
        <v>830.83000000000038</v>
      </c>
      <c r="R842" s="53">
        <f t="shared" si="41"/>
        <v>5696.6500000000005</v>
      </c>
      <c r="S842" s="73">
        <v>38274</v>
      </c>
    </row>
    <row r="843" spans="1:19" x14ac:dyDescent="0.25">
      <c r="A843" s="28"/>
      <c r="B843" s="45" t="str">
        <f t="shared" si="39"/>
        <v>Mar-2025</v>
      </c>
      <c r="C843" s="57">
        <v>45733</v>
      </c>
      <c r="D843" s="43">
        <f t="shared" si="40"/>
        <v>379</v>
      </c>
      <c r="E843" s="76">
        <v>220</v>
      </c>
      <c r="F843" s="50">
        <v>450</v>
      </c>
      <c r="G843" s="49">
        <v>110742</v>
      </c>
      <c r="H843" s="73">
        <v>443</v>
      </c>
      <c r="I843" s="77">
        <v>450</v>
      </c>
      <c r="J843" s="73">
        <v>38916.07</v>
      </c>
      <c r="K843" s="52">
        <v>14</v>
      </c>
      <c r="L843" s="51">
        <v>1041.6199999999999</v>
      </c>
      <c r="M843" s="77">
        <v>352</v>
      </c>
      <c r="N843" s="76">
        <v>76112.67</v>
      </c>
      <c r="O843" s="75">
        <v>324</v>
      </c>
      <c r="P843" s="74">
        <v>4286.7399999999934</v>
      </c>
      <c r="Q843" s="74">
        <v>501.55000000000007</v>
      </c>
      <c r="R843" s="53">
        <f t="shared" si="41"/>
        <v>5537.1</v>
      </c>
      <c r="S843" s="73">
        <v>38916.069999999992</v>
      </c>
    </row>
    <row r="844" spans="1:19" x14ac:dyDescent="0.25">
      <c r="A844" s="28"/>
      <c r="B844" s="45" t="str">
        <f t="shared" si="39"/>
        <v>Mar-2025</v>
      </c>
      <c r="C844" s="57">
        <v>45734</v>
      </c>
      <c r="D844" s="43">
        <f t="shared" si="40"/>
        <v>378</v>
      </c>
      <c r="E844" s="76">
        <v>282</v>
      </c>
      <c r="F844" s="50">
        <v>506</v>
      </c>
      <c r="G844" s="49">
        <v>125317.98999999999</v>
      </c>
      <c r="H844" s="73">
        <v>496</v>
      </c>
      <c r="I844" s="77">
        <v>506</v>
      </c>
      <c r="J844" s="73">
        <v>36099.649999999994</v>
      </c>
      <c r="K844" s="52">
        <v>24</v>
      </c>
      <c r="L844" s="51">
        <v>2501.46</v>
      </c>
      <c r="M844" s="77">
        <v>428</v>
      </c>
      <c r="N844" s="76">
        <v>93566.37</v>
      </c>
      <c r="O844" s="75">
        <v>396</v>
      </c>
      <c r="P844" s="74">
        <v>4348.03</v>
      </c>
      <c r="Q844" s="74">
        <v>886.11999999999989</v>
      </c>
      <c r="R844" s="53">
        <f t="shared" si="41"/>
        <v>6265.8994999999995</v>
      </c>
      <c r="S844" s="73">
        <v>36099.650000000009</v>
      </c>
    </row>
    <row r="845" spans="1:19" x14ac:dyDescent="0.25">
      <c r="A845" s="28"/>
      <c r="B845" s="45" t="str">
        <f t="shared" si="39"/>
        <v>Mar-2025</v>
      </c>
      <c r="C845" s="57">
        <v>45735</v>
      </c>
      <c r="D845" s="43">
        <f t="shared" si="40"/>
        <v>377</v>
      </c>
      <c r="E845" s="76">
        <v>331</v>
      </c>
      <c r="F845" s="50">
        <v>583</v>
      </c>
      <c r="G845" s="49">
        <v>122820</v>
      </c>
      <c r="H845" s="73">
        <v>577</v>
      </c>
      <c r="I845" s="77">
        <v>583</v>
      </c>
      <c r="J845" s="73">
        <v>55141.629999999976</v>
      </c>
      <c r="K845" s="52">
        <v>16</v>
      </c>
      <c r="L845" s="51">
        <v>3631.94</v>
      </c>
      <c r="M845" s="77">
        <v>367</v>
      </c>
      <c r="N845" s="76">
        <v>73719.8</v>
      </c>
      <c r="O845" s="75">
        <v>345</v>
      </c>
      <c r="P845" s="74">
        <v>6041.4300000000203</v>
      </c>
      <c r="Q845" s="74">
        <v>749.24999999999977</v>
      </c>
      <c r="R845" s="53">
        <f t="shared" si="41"/>
        <v>6141</v>
      </c>
      <c r="S845" s="73">
        <v>55141.629999999976</v>
      </c>
    </row>
    <row r="846" spans="1:19" x14ac:dyDescent="0.25">
      <c r="A846" s="28"/>
      <c r="B846" s="45" t="str">
        <f t="shared" si="39"/>
        <v>Mar-2025</v>
      </c>
      <c r="C846" s="57">
        <v>45736</v>
      </c>
      <c r="D846" s="43">
        <f t="shared" si="40"/>
        <v>376</v>
      </c>
      <c r="E846" s="76">
        <v>285</v>
      </c>
      <c r="F846" s="50">
        <v>514</v>
      </c>
      <c r="G846" s="49">
        <v>116740</v>
      </c>
      <c r="H846" s="73">
        <v>510</v>
      </c>
      <c r="I846" s="77">
        <v>514</v>
      </c>
      <c r="J846" s="73">
        <v>48325.609999999986</v>
      </c>
      <c r="K846" s="52">
        <v>13</v>
      </c>
      <c r="L846" s="51">
        <v>2255.46</v>
      </c>
      <c r="M846" s="77">
        <v>328</v>
      </c>
      <c r="N846" s="76">
        <v>73553.48</v>
      </c>
      <c r="O846" s="75">
        <v>298</v>
      </c>
      <c r="P846" s="74">
        <v>5139.0900000000047</v>
      </c>
      <c r="Q846" s="74">
        <v>470.88999999999987</v>
      </c>
      <c r="R846" s="53">
        <f t="shared" si="41"/>
        <v>5837</v>
      </c>
      <c r="S846" s="73">
        <v>48325.609999999993</v>
      </c>
    </row>
    <row r="847" spans="1:19" x14ac:dyDescent="0.25">
      <c r="A847" s="28"/>
      <c r="B847" s="45" t="str">
        <f t="shared" si="39"/>
        <v>Mar-2025</v>
      </c>
      <c r="C847" s="57">
        <v>45737</v>
      </c>
      <c r="D847" s="43">
        <f t="shared" si="40"/>
        <v>375</v>
      </c>
      <c r="E847" s="76">
        <v>350</v>
      </c>
      <c r="F847" s="50">
        <v>615</v>
      </c>
      <c r="G847" s="49">
        <v>142447</v>
      </c>
      <c r="H847" s="73">
        <v>609</v>
      </c>
      <c r="I847" s="77">
        <v>615</v>
      </c>
      <c r="J847" s="73">
        <v>54437.14</v>
      </c>
      <c r="K847" s="52">
        <v>18</v>
      </c>
      <c r="L847" s="51">
        <v>1782.35</v>
      </c>
      <c r="M847" s="77">
        <v>413</v>
      </c>
      <c r="N847" s="76">
        <v>94026.13</v>
      </c>
      <c r="O847" s="75">
        <v>378</v>
      </c>
      <c r="P847" s="74">
        <v>6016.2700000000068</v>
      </c>
      <c r="Q847" s="74">
        <v>776.68000000000063</v>
      </c>
      <c r="R847" s="53">
        <f t="shared" si="41"/>
        <v>7122.35</v>
      </c>
      <c r="S847" s="73">
        <v>54437.140000000014</v>
      </c>
    </row>
    <row r="848" spans="1:19" x14ac:dyDescent="0.25">
      <c r="A848" s="28"/>
      <c r="B848" s="45" t="str">
        <f t="shared" si="39"/>
        <v>Mar-2025</v>
      </c>
      <c r="C848" s="57">
        <v>45738</v>
      </c>
      <c r="D848" s="43">
        <f t="shared" si="40"/>
        <v>374</v>
      </c>
      <c r="E848" s="76">
        <v>295</v>
      </c>
      <c r="F848" s="50">
        <v>583</v>
      </c>
      <c r="G848" s="49">
        <v>136668</v>
      </c>
      <c r="H848" s="73">
        <v>576</v>
      </c>
      <c r="I848" s="77">
        <v>583</v>
      </c>
      <c r="J848" s="73">
        <v>46672.930000000008</v>
      </c>
      <c r="K848" s="52">
        <v>20</v>
      </c>
      <c r="L848" s="51">
        <v>1220.18</v>
      </c>
      <c r="M848" s="77">
        <v>448</v>
      </c>
      <c r="N848" s="76">
        <v>95525.94</v>
      </c>
      <c r="O848" s="75">
        <v>418</v>
      </c>
      <c r="P848" s="74">
        <v>5530.8700000000081</v>
      </c>
      <c r="Q848" s="74">
        <v>1044.76</v>
      </c>
      <c r="R848" s="53">
        <f t="shared" si="41"/>
        <v>6833.4000000000005</v>
      </c>
      <c r="S848" s="73">
        <v>46672.930000000008</v>
      </c>
    </row>
    <row r="849" spans="1:19" x14ac:dyDescent="0.25">
      <c r="A849" s="28"/>
      <c r="B849" s="45" t="str">
        <f t="shared" si="39"/>
        <v>Mar-2025</v>
      </c>
      <c r="C849" s="57">
        <v>45739</v>
      </c>
      <c r="D849" s="43">
        <f t="shared" si="40"/>
        <v>373</v>
      </c>
      <c r="E849" s="76">
        <v>248</v>
      </c>
      <c r="F849" s="50">
        <v>542</v>
      </c>
      <c r="G849" s="49">
        <v>119445</v>
      </c>
      <c r="H849" s="73">
        <v>534</v>
      </c>
      <c r="I849" s="77">
        <v>542</v>
      </c>
      <c r="J849" s="73">
        <v>45187.620000000017</v>
      </c>
      <c r="K849" s="52">
        <v>20</v>
      </c>
      <c r="L849" s="51">
        <v>2184.38</v>
      </c>
      <c r="M849" s="77">
        <v>381</v>
      </c>
      <c r="N849" s="76">
        <v>79100.31</v>
      </c>
      <c r="O849" s="75">
        <v>359</v>
      </c>
      <c r="P849" s="74">
        <v>4842.9300000000167</v>
      </c>
      <c r="Q849" s="74">
        <v>522.15999999999974</v>
      </c>
      <c r="R849" s="53">
        <f t="shared" si="41"/>
        <v>5972.25</v>
      </c>
      <c r="S849" s="73">
        <v>45187.62</v>
      </c>
    </row>
    <row r="850" spans="1:19" x14ac:dyDescent="0.25">
      <c r="A850" s="28"/>
      <c r="B850" s="45" t="str">
        <f t="shared" si="39"/>
        <v>Mar-2025</v>
      </c>
      <c r="C850" s="57">
        <v>45740</v>
      </c>
      <c r="D850" s="43">
        <f t="shared" si="40"/>
        <v>372</v>
      </c>
      <c r="E850" s="76">
        <v>364</v>
      </c>
      <c r="F850" s="50">
        <v>623</v>
      </c>
      <c r="G850" s="49">
        <v>125539</v>
      </c>
      <c r="H850" s="73">
        <v>617</v>
      </c>
      <c r="I850" s="77">
        <v>623</v>
      </c>
      <c r="J850" s="73">
        <v>59954.890000000007</v>
      </c>
      <c r="K850" s="52">
        <v>20</v>
      </c>
      <c r="L850" s="51">
        <v>2867.47</v>
      </c>
      <c r="M850" s="77">
        <v>387</v>
      </c>
      <c r="N850" s="76">
        <v>71843.320000000007</v>
      </c>
      <c r="O850" s="75">
        <v>357</v>
      </c>
      <c r="P850" s="74">
        <v>6259.2100000000082</v>
      </c>
      <c r="Q850" s="74">
        <v>475.69000000000005</v>
      </c>
      <c r="R850" s="53">
        <f t="shared" si="41"/>
        <v>6276.9500000000007</v>
      </c>
      <c r="S850" s="73">
        <v>59954.890000000014</v>
      </c>
    </row>
    <row r="851" spans="1:19" x14ac:dyDescent="0.25">
      <c r="A851" s="28"/>
      <c r="B851" s="45" t="str">
        <f t="shared" si="39"/>
        <v>Mar-2025</v>
      </c>
      <c r="C851" s="57">
        <v>45741</v>
      </c>
      <c r="D851" s="43">
        <f t="shared" si="40"/>
        <v>371</v>
      </c>
      <c r="E851" s="76">
        <v>258</v>
      </c>
      <c r="F851" s="50">
        <v>491</v>
      </c>
      <c r="G851" s="49">
        <v>126383.9</v>
      </c>
      <c r="H851" s="73">
        <v>486</v>
      </c>
      <c r="I851" s="77">
        <v>491</v>
      </c>
      <c r="J851" s="73">
        <v>47836.44000000001</v>
      </c>
      <c r="K851" s="52">
        <v>23</v>
      </c>
      <c r="L851" s="51">
        <v>2051.06</v>
      </c>
      <c r="M851" s="77">
        <v>375</v>
      </c>
      <c r="N851" s="76">
        <v>83748.429999999993</v>
      </c>
      <c r="O851" s="75">
        <v>342</v>
      </c>
      <c r="P851" s="74">
        <v>5200.9700000000075</v>
      </c>
      <c r="Q851" s="74">
        <v>780.73</v>
      </c>
      <c r="R851" s="53">
        <f t="shared" si="41"/>
        <v>6319.1949999999997</v>
      </c>
      <c r="S851" s="73">
        <v>47836.44000000001</v>
      </c>
    </row>
    <row r="852" spans="1:19" x14ac:dyDescent="0.25">
      <c r="A852" s="28"/>
      <c r="B852" s="45" t="str">
        <f t="shared" si="39"/>
        <v>Mar-2025</v>
      </c>
      <c r="C852" s="57">
        <v>45742</v>
      </c>
      <c r="D852" s="43">
        <f t="shared" si="40"/>
        <v>370</v>
      </c>
      <c r="E852" s="76">
        <v>296</v>
      </c>
      <c r="F852" s="50">
        <v>519</v>
      </c>
      <c r="G852" s="49">
        <v>101945</v>
      </c>
      <c r="H852" s="73">
        <v>512</v>
      </c>
      <c r="I852" s="77">
        <v>519</v>
      </c>
      <c r="J852" s="73">
        <v>42981.139999999992</v>
      </c>
      <c r="K852" s="52">
        <v>22</v>
      </c>
      <c r="L852" s="51">
        <v>2472.0200000000004</v>
      </c>
      <c r="M852" s="77">
        <v>353</v>
      </c>
      <c r="N852" s="76">
        <v>63638.68</v>
      </c>
      <c r="O852" s="75">
        <v>319</v>
      </c>
      <c r="P852" s="74">
        <v>4674.8200000000097</v>
      </c>
      <c r="Q852" s="74">
        <v>572.8000000000003</v>
      </c>
      <c r="R852" s="53">
        <f t="shared" si="41"/>
        <v>5097.25</v>
      </c>
      <c r="S852" s="73">
        <v>42981.14</v>
      </c>
    </row>
    <row r="853" spans="1:19" x14ac:dyDescent="0.25">
      <c r="A853" s="28"/>
      <c r="B853" s="45" t="str">
        <f t="shared" si="39"/>
        <v>Mar-2025</v>
      </c>
      <c r="C853" s="57">
        <v>45743</v>
      </c>
      <c r="D853" s="43">
        <f t="shared" si="40"/>
        <v>369</v>
      </c>
      <c r="E853" s="76">
        <v>272</v>
      </c>
      <c r="F853" s="50">
        <v>495</v>
      </c>
      <c r="G853" s="49">
        <v>109495</v>
      </c>
      <c r="H853" s="73">
        <v>488</v>
      </c>
      <c r="I853" s="77">
        <v>495</v>
      </c>
      <c r="J853" s="73">
        <v>49971.76999999999</v>
      </c>
      <c r="K853" s="52">
        <v>16</v>
      </c>
      <c r="L853" s="51">
        <v>2255.54</v>
      </c>
      <c r="M853" s="77">
        <v>357</v>
      </c>
      <c r="N853" s="76">
        <v>64776.33</v>
      </c>
      <c r="O853" s="75">
        <v>322</v>
      </c>
      <c r="P853" s="74">
        <v>5253.1000000000131</v>
      </c>
      <c r="Q853" s="74">
        <v>570.25999999999988</v>
      </c>
      <c r="R853" s="53">
        <f t="shared" si="41"/>
        <v>5474.75</v>
      </c>
      <c r="S853" s="73">
        <v>49971.769999999982</v>
      </c>
    </row>
    <row r="854" spans="1:19" x14ac:dyDescent="0.25">
      <c r="A854" s="28"/>
      <c r="B854" s="45" t="str">
        <f t="shared" si="39"/>
        <v>Mar-2025</v>
      </c>
      <c r="C854" s="57">
        <v>45744</v>
      </c>
      <c r="D854" s="43">
        <f t="shared" si="40"/>
        <v>368</v>
      </c>
      <c r="E854" s="76">
        <v>300</v>
      </c>
      <c r="F854" s="50">
        <v>519</v>
      </c>
      <c r="G854" s="49">
        <v>119209</v>
      </c>
      <c r="H854" s="73">
        <v>514</v>
      </c>
      <c r="I854" s="77">
        <v>519</v>
      </c>
      <c r="J854" s="73">
        <v>43885.730000000018</v>
      </c>
      <c r="K854" s="52">
        <v>9</v>
      </c>
      <c r="L854" s="51">
        <v>2091.4499999999998</v>
      </c>
      <c r="M854" s="77">
        <v>337</v>
      </c>
      <c r="N854" s="76">
        <v>80133.78</v>
      </c>
      <c r="O854" s="75">
        <v>319</v>
      </c>
      <c r="P854" s="74">
        <v>4810.5100000000057</v>
      </c>
      <c r="Q854" s="74">
        <v>659.51</v>
      </c>
      <c r="R854" s="53">
        <f t="shared" si="41"/>
        <v>5960.4500000000007</v>
      </c>
      <c r="S854" s="73">
        <v>43885.729999999996</v>
      </c>
    </row>
    <row r="855" spans="1:19" x14ac:dyDescent="0.25">
      <c r="A855" s="28"/>
      <c r="B855" s="45" t="str">
        <f t="shared" si="39"/>
        <v>Mar-2025</v>
      </c>
      <c r="C855" s="57">
        <v>45745</v>
      </c>
      <c r="D855" s="43">
        <f t="shared" si="40"/>
        <v>367</v>
      </c>
      <c r="E855" s="76">
        <v>211</v>
      </c>
      <c r="F855" s="50">
        <v>483</v>
      </c>
      <c r="G855" s="49">
        <v>108761</v>
      </c>
      <c r="H855" s="73">
        <v>480</v>
      </c>
      <c r="I855" s="77">
        <v>483</v>
      </c>
      <c r="J855" s="73">
        <v>57446.600000000006</v>
      </c>
      <c r="K855" s="52">
        <v>14</v>
      </c>
      <c r="L855" s="51">
        <v>496.07999999999993</v>
      </c>
      <c r="M855" s="77">
        <v>323</v>
      </c>
      <c r="N855" s="76">
        <v>57429.01</v>
      </c>
      <c r="O855" s="75">
        <v>300</v>
      </c>
      <c r="P855" s="74">
        <v>6114.610000000006</v>
      </c>
      <c r="Q855" s="74">
        <v>882.29999999999973</v>
      </c>
      <c r="R855" s="53">
        <f t="shared" si="41"/>
        <v>5438.05</v>
      </c>
      <c r="S855" s="73">
        <v>57446.599999999991</v>
      </c>
    </row>
    <row r="856" spans="1:19" x14ac:dyDescent="0.25">
      <c r="A856" s="28"/>
      <c r="B856" s="45" t="str">
        <f t="shared" si="39"/>
        <v>Mar-2025</v>
      </c>
      <c r="C856" s="57">
        <v>45746</v>
      </c>
      <c r="D856" s="43">
        <f t="shared" si="40"/>
        <v>366</v>
      </c>
      <c r="E856" s="76">
        <v>214</v>
      </c>
      <c r="F856" s="50">
        <v>498</v>
      </c>
      <c r="G856" s="49">
        <v>104664</v>
      </c>
      <c r="H856" s="73">
        <v>496</v>
      </c>
      <c r="I856" s="77">
        <v>498</v>
      </c>
      <c r="J856" s="73">
        <v>57496.899999999994</v>
      </c>
      <c r="K856" s="52">
        <v>19</v>
      </c>
      <c r="L856" s="51">
        <v>583.54</v>
      </c>
      <c r="M856" s="77">
        <v>381</v>
      </c>
      <c r="N856" s="76">
        <v>53423.31</v>
      </c>
      <c r="O856" s="75">
        <v>340</v>
      </c>
      <c r="P856" s="74">
        <v>6256.2099999999991</v>
      </c>
      <c r="Q856" s="74">
        <v>920.61999999999989</v>
      </c>
      <c r="R856" s="53">
        <f t="shared" si="41"/>
        <v>5233.2000000000007</v>
      </c>
      <c r="S856" s="73">
        <v>57496.899999999994</v>
      </c>
    </row>
    <row r="857" spans="1:19" x14ac:dyDescent="0.25">
      <c r="A857" s="28"/>
      <c r="B857" s="45" t="str">
        <f t="shared" si="39"/>
        <v>Mar-2025</v>
      </c>
      <c r="C857" s="57">
        <v>45747</v>
      </c>
      <c r="D857" s="43">
        <f t="shared" si="40"/>
        <v>365</v>
      </c>
      <c r="E857" s="76">
        <v>208</v>
      </c>
      <c r="F857" s="50">
        <v>476</v>
      </c>
      <c r="G857" s="49">
        <v>109560</v>
      </c>
      <c r="H857" s="73">
        <v>472</v>
      </c>
      <c r="I857" s="77">
        <v>476</v>
      </c>
      <c r="J857" s="73">
        <v>56154.230000000018</v>
      </c>
      <c r="K857" s="52">
        <v>15</v>
      </c>
      <c r="L857" s="51">
        <v>469.7299999999999</v>
      </c>
      <c r="M857" s="77">
        <v>354</v>
      </c>
      <c r="N857" s="76">
        <v>59573.79</v>
      </c>
      <c r="O857" s="75">
        <v>281</v>
      </c>
      <c r="P857" s="74">
        <v>6168.020000000005</v>
      </c>
      <c r="Q857" s="74">
        <v>941.38000000000022</v>
      </c>
      <c r="R857" s="53">
        <f t="shared" si="41"/>
        <v>5478</v>
      </c>
      <c r="S857" s="73">
        <v>56154.230000000032</v>
      </c>
    </row>
    <row r="858" spans="1:19" x14ac:dyDescent="0.25">
      <c r="A858" s="28"/>
      <c r="B858" s="45" t="str">
        <f t="shared" si="39"/>
        <v>Apr-2025</v>
      </c>
      <c r="C858" s="57">
        <v>45748</v>
      </c>
      <c r="D858" s="43">
        <f t="shared" si="40"/>
        <v>364</v>
      </c>
      <c r="E858" s="76">
        <v>174</v>
      </c>
      <c r="F858" s="50">
        <v>398</v>
      </c>
      <c r="G858" s="49">
        <v>102071</v>
      </c>
      <c r="H858" s="73">
        <v>397</v>
      </c>
      <c r="I858" s="77">
        <v>398</v>
      </c>
      <c r="J858" s="73">
        <v>44939.290000000008</v>
      </c>
      <c r="K858" s="52">
        <v>12</v>
      </c>
      <c r="L858" s="51">
        <v>1803.34</v>
      </c>
      <c r="M858" s="77">
        <v>296</v>
      </c>
      <c r="N858" s="76">
        <v>62121.24</v>
      </c>
      <c r="O858" s="75">
        <v>264</v>
      </c>
      <c r="P858" s="74">
        <v>4989.5300000000016</v>
      </c>
      <c r="Q858" s="74">
        <v>875.62999999999965</v>
      </c>
      <c r="R858" s="53">
        <f t="shared" si="41"/>
        <v>5103.55</v>
      </c>
      <c r="S858" s="73">
        <v>44939.290000000008</v>
      </c>
    </row>
    <row r="859" spans="1:19" x14ac:dyDescent="0.25">
      <c r="A859" s="28"/>
      <c r="B859" s="45" t="str">
        <f t="shared" si="39"/>
        <v>Apr-2025</v>
      </c>
      <c r="C859" s="57">
        <v>45749</v>
      </c>
      <c r="D859" s="43">
        <f t="shared" si="40"/>
        <v>363</v>
      </c>
      <c r="E859" s="76">
        <v>242</v>
      </c>
      <c r="F859" s="50">
        <v>491</v>
      </c>
      <c r="G859" s="49">
        <v>132060</v>
      </c>
      <c r="H859" s="73">
        <v>490</v>
      </c>
      <c r="I859" s="77">
        <v>491</v>
      </c>
      <c r="J859" s="73">
        <v>61471.63</v>
      </c>
      <c r="K859" s="52">
        <v>14</v>
      </c>
      <c r="L859" s="51">
        <v>426.04999999999995</v>
      </c>
      <c r="M859" s="77">
        <v>343</v>
      </c>
      <c r="N859" s="76">
        <v>77248.62</v>
      </c>
      <c r="O859" s="75">
        <v>313</v>
      </c>
      <c r="P859" s="74">
        <v>6660.2499999999955</v>
      </c>
      <c r="Q859" s="74">
        <v>1072.6499999999999</v>
      </c>
      <c r="R859" s="53">
        <f t="shared" si="41"/>
        <v>6603</v>
      </c>
      <c r="S859" s="73">
        <v>61471.63</v>
      </c>
    </row>
    <row r="860" spans="1:19" x14ac:dyDescent="0.25">
      <c r="A860" s="28"/>
      <c r="B860" s="45" t="str">
        <f t="shared" si="39"/>
        <v>Apr-2025</v>
      </c>
      <c r="C860" s="57">
        <v>45750</v>
      </c>
      <c r="D860" s="43">
        <f t="shared" si="40"/>
        <v>362</v>
      </c>
      <c r="E860" s="76">
        <v>249</v>
      </c>
      <c r="F860" s="50">
        <v>462</v>
      </c>
      <c r="G860" s="49">
        <v>114031</v>
      </c>
      <c r="H860" s="73">
        <v>451</v>
      </c>
      <c r="I860" s="77">
        <v>462</v>
      </c>
      <c r="J860" s="73">
        <v>40665.78</v>
      </c>
      <c r="K860" s="52">
        <v>19</v>
      </c>
      <c r="L860" s="51">
        <v>3848.46</v>
      </c>
      <c r="M860" s="77">
        <v>360</v>
      </c>
      <c r="N860" s="76">
        <v>77797.56</v>
      </c>
      <c r="O860" s="75">
        <v>339</v>
      </c>
      <c r="P860" s="74">
        <v>4432.340000000002</v>
      </c>
      <c r="Q860" s="74">
        <v>659.90999999999985</v>
      </c>
      <c r="R860" s="53">
        <f t="shared" si="41"/>
        <v>5701.55</v>
      </c>
      <c r="S860" s="73">
        <v>40665.78</v>
      </c>
    </row>
    <row r="861" spans="1:19" x14ac:dyDescent="0.25">
      <c r="A861" s="28"/>
      <c r="B861" s="45" t="str">
        <f t="shared" si="39"/>
        <v>Apr-2025</v>
      </c>
      <c r="C861" s="57">
        <v>45751</v>
      </c>
      <c r="D861" s="43">
        <f t="shared" si="40"/>
        <v>361</v>
      </c>
      <c r="E861" s="76">
        <v>241</v>
      </c>
      <c r="F861" s="50">
        <v>471</v>
      </c>
      <c r="G861" s="49">
        <v>99284</v>
      </c>
      <c r="H861" s="73">
        <v>465</v>
      </c>
      <c r="I861" s="77">
        <v>471</v>
      </c>
      <c r="J861" s="73">
        <v>40986.930000000008</v>
      </c>
      <c r="K861" s="52">
        <v>14</v>
      </c>
      <c r="L861" s="51">
        <v>1442.27</v>
      </c>
      <c r="M861" s="77">
        <v>348</v>
      </c>
      <c r="N861" s="76">
        <v>62615.25</v>
      </c>
      <c r="O861" s="75">
        <v>319</v>
      </c>
      <c r="P861" s="74">
        <v>4318.1799999999994</v>
      </c>
      <c r="Q861" s="74">
        <v>533.0500000000003</v>
      </c>
      <c r="R861" s="53">
        <f t="shared" si="41"/>
        <v>4964.2000000000007</v>
      </c>
      <c r="S861" s="73">
        <v>40986.93</v>
      </c>
    </row>
    <row r="862" spans="1:19" x14ac:dyDescent="0.25">
      <c r="A862" s="28"/>
      <c r="B862" s="45" t="str">
        <f t="shared" si="39"/>
        <v>Apr-2025</v>
      </c>
      <c r="C862" s="57">
        <v>45752</v>
      </c>
      <c r="D862" s="43">
        <f t="shared" si="40"/>
        <v>360</v>
      </c>
      <c r="E862" s="76">
        <v>255</v>
      </c>
      <c r="F862" s="50">
        <v>538</v>
      </c>
      <c r="G862" s="49">
        <v>141379</v>
      </c>
      <c r="H862" s="73">
        <v>529</v>
      </c>
      <c r="I862" s="77">
        <v>538</v>
      </c>
      <c r="J862" s="73">
        <v>47153.630000000012</v>
      </c>
      <c r="K862" s="52">
        <v>20</v>
      </c>
      <c r="L862" s="51">
        <v>4961.95</v>
      </c>
      <c r="M862" s="77">
        <v>356</v>
      </c>
      <c r="N862" s="76">
        <v>99630.77</v>
      </c>
      <c r="O862" s="75">
        <v>337</v>
      </c>
      <c r="P862" s="74">
        <v>5405.4000000000087</v>
      </c>
      <c r="Q862" s="74">
        <v>1049.0699999999997</v>
      </c>
      <c r="R862" s="53">
        <f t="shared" si="41"/>
        <v>7068.9500000000007</v>
      </c>
      <c r="S862" s="73">
        <v>47153.630000000005</v>
      </c>
    </row>
    <row r="863" spans="1:19" x14ac:dyDescent="0.25">
      <c r="A863" s="28"/>
      <c r="B863" s="45" t="str">
        <f t="shared" si="39"/>
        <v>Apr-2025</v>
      </c>
      <c r="C863" s="57">
        <v>45753</v>
      </c>
      <c r="D863" s="43">
        <f t="shared" si="40"/>
        <v>359</v>
      </c>
      <c r="E863" s="76">
        <v>193</v>
      </c>
      <c r="F863" s="50">
        <v>415</v>
      </c>
      <c r="G863" s="49">
        <v>97781</v>
      </c>
      <c r="H863" s="73">
        <v>409</v>
      </c>
      <c r="I863" s="77">
        <v>415</v>
      </c>
      <c r="J863" s="73">
        <v>27637.449999999993</v>
      </c>
      <c r="K863" s="52">
        <v>13</v>
      </c>
      <c r="L863" s="51">
        <v>1607.31</v>
      </c>
      <c r="M863" s="77">
        <v>311</v>
      </c>
      <c r="N863" s="76">
        <v>73294.600000000006</v>
      </c>
      <c r="O863" s="75">
        <v>283</v>
      </c>
      <c r="P863" s="74">
        <v>3151.0499999999943</v>
      </c>
      <c r="Q863" s="74">
        <v>581.75</v>
      </c>
      <c r="R863" s="53">
        <f t="shared" si="41"/>
        <v>4889.05</v>
      </c>
      <c r="S863" s="73">
        <v>27637.449999999997</v>
      </c>
    </row>
    <row r="864" spans="1:19" x14ac:dyDescent="0.25">
      <c r="A864" s="28"/>
      <c r="B864" s="45" t="str">
        <f t="shared" si="39"/>
        <v>Apr-2025</v>
      </c>
      <c r="C864" s="57">
        <v>45754</v>
      </c>
      <c r="D864" s="43">
        <f t="shared" si="40"/>
        <v>358</v>
      </c>
      <c r="E864" s="76">
        <v>242</v>
      </c>
      <c r="F864" s="50">
        <v>441</v>
      </c>
      <c r="G864" s="49">
        <v>108015</v>
      </c>
      <c r="H864" s="73">
        <v>436</v>
      </c>
      <c r="I864" s="77">
        <v>441</v>
      </c>
      <c r="J864" s="73">
        <v>43359.949999999983</v>
      </c>
      <c r="K864" s="52">
        <v>14</v>
      </c>
      <c r="L864" s="51">
        <v>2033.38</v>
      </c>
      <c r="M864" s="77">
        <v>296</v>
      </c>
      <c r="N864" s="76">
        <v>69163.039999999994</v>
      </c>
      <c r="O864" s="75">
        <v>269</v>
      </c>
      <c r="P864" s="74">
        <v>4507.989999999998</v>
      </c>
      <c r="Q864" s="74">
        <v>596.60999999999979</v>
      </c>
      <c r="R864" s="53">
        <f t="shared" si="41"/>
        <v>5400.75</v>
      </c>
      <c r="S864" s="73">
        <v>43359.949999999983</v>
      </c>
    </row>
    <row r="865" spans="1:19" x14ac:dyDescent="0.25">
      <c r="A865" s="28"/>
      <c r="B865" s="45" t="str">
        <f t="shared" si="39"/>
        <v>Apr-2025</v>
      </c>
      <c r="C865" s="57">
        <v>45755</v>
      </c>
      <c r="D865" s="43">
        <f t="shared" si="40"/>
        <v>357</v>
      </c>
      <c r="E865" s="76">
        <v>242</v>
      </c>
      <c r="F865" s="50">
        <v>450</v>
      </c>
      <c r="G865" s="49">
        <v>103752</v>
      </c>
      <c r="H865" s="73">
        <v>441</v>
      </c>
      <c r="I865" s="77">
        <v>450</v>
      </c>
      <c r="J865" s="73">
        <v>41001.850000000013</v>
      </c>
      <c r="K865" s="52">
        <v>22</v>
      </c>
      <c r="L865" s="51">
        <v>2003.2299999999998</v>
      </c>
      <c r="M865" s="77">
        <v>347</v>
      </c>
      <c r="N865" s="76">
        <v>67054.929999999993</v>
      </c>
      <c r="O865" s="75">
        <v>305</v>
      </c>
      <c r="P865" s="74">
        <v>4304.7799999999934</v>
      </c>
      <c r="Q865" s="74">
        <v>557.33999999999992</v>
      </c>
      <c r="R865" s="53">
        <f t="shared" si="41"/>
        <v>5187.6000000000004</v>
      </c>
      <c r="S865" s="73">
        <v>41001.85000000002</v>
      </c>
    </row>
    <row r="866" spans="1:19" x14ac:dyDescent="0.25">
      <c r="A866" s="28"/>
      <c r="B866" s="45" t="str">
        <f t="shared" si="39"/>
        <v>Apr-2025</v>
      </c>
      <c r="C866" s="57">
        <v>45756</v>
      </c>
      <c r="D866" s="43">
        <f t="shared" si="40"/>
        <v>356</v>
      </c>
      <c r="E866" s="76">
        <v>223</v>
      </c>
      <c r="F866" s="50">
        <v>494</v>
      </c>
      <c r="G866" s="49">
        <v>114982</v>
      </c>
      <c r="H866" s="73">
        <v>483</v>
      </c>
      <c r="I866" s="77">
        <v>494</v>
      </c>
      <c r="J866" s="73">
        <v>50582.090000000004</v>
      </c>
      <c r="K866" s="52">
        <v>18</v>
      </c>
      <c r="L866" s="51">
        <v>2165.0099999999998</v>
      </c>
      <c r="M866" s="77">
        <v>357</v>
      </c>
      <c r="N866" s="76">
        <v>69638.78</v>
      </c>
      <c r="O866" s="75">
        <v>331</v>
      </c>
      <c r="P866" s="74">
        <v>5246.8700000000099</v>
      </c>
      <c r="Q866" s="74">
        <v>657.48000000000013</v>
      </c>
      <c r="R866" s="53">
        <f t="shared" si="41"/>
        <v>5749.1</v>
      </c>
      <c r="S866" s="73">
        <v>50582.09</v>
      </c>
    </row>
    <row r="867" spans="1:19" x14ac:dyDescent="0.25">
      <c r="A867" s="28"/>
      <c r="B867" s="45" t="str">
        <f t="shared" si="39"/>
        <v>Apr-2025</v>
      </c>
      <c r="C867" s="57">
        <v>45757</v>
      </c>
      <c r="D867" s="43">
        <f t="shared" si="40"/>
        <v>355</v>
      </c>
      <c r="E867" s="76">
        <v>278</v>
      </c>
      <c r="F867" s="50">
        <v>472</v>
      </c>
      <c r="G867" s="49">
        <v>103615</v>
      </c>
      <c r="H867" s="73">
        <v>464</v>
      </c>
      <c r="I867" s="77">
        <v>472</v>
      </c>
      <c r="J867" s="73">
        <v>42945.47</v>
      </c>
      <c r="K867" s="52">
        <v>20</v>
      </c>
      <c r="L867" s="51">
        <v>1553.2399999999998</v>
      </c>
      <c r="M867" s="77">
        <v>359</v>
      </c>
      <c r="N867" s="76">
        <v>65152.89</v>
      </c>
      <c r="O867" s="75">
        <v>331</v>
      </c>
      <c r="P867" s="74">
        <v>4536.529999999997</v>
      </c>
      <c r="Q867" s="74">
        <v>603.38999999999987</v>
      </c>
      <c r="R867" s="53">
        <f t="shared" si="41"/>
        <v>5180.75</v>
      </c>
      <c r="S867" s="73">
        <v>42945.47</v>
      </c>
    </row>
    <row r="868" spans="1:19" x14ac:dyDescent="0.25">
      <c r="A868" s="28"/>
      <c r="B868" s="45" t="str">
        <f t="shared" si="39"/>
        <v>Apr-2025</v>
      </c>
      <c r="C868" s="57">
        <v>45758</v>
      </c>
      <c r="D868" s="43">
        <f t="shared" si="40"/>
        <v>354</v>
      </c>
      <c r="E868" s="76">
        <v>153</v>
      </c>
      <c r="F868" s="50">
        <v>376</v>
      </c>
      <c r="G868" s="49">
        <v>97649</v>
      </c>
      <c r="H868" s="73">
        <v>371</v>
      </c>
      <c r="I868" s="77">
        <v>376</v>
      </c>
      <c r="J868" s="73">
        <v>36612.69</v>
      </c>
      <c r="K868" s="52">
        <v>9</v>
      </c>
      <c r="L868" s="51">
        <v>845.17</v>
      </c>
      <c r="M868" s="77">
        <v>292</v>
      </c>
      <c r="N868" s="76">
        <v>64837.31</v>
      </c>
      <c r="O868" s="75">
        <v>268</v>
      </c>
      <c r="P868" s="74">
        <v>3801</v>
      </c>
      <c r="Q868" s="74">
        <v>515.7099999999997</v>
      </c>
      <c r="R868" s="53">
        <f t="shared" si="41"/>
        <v>4882.45</v>
      </c>
      <c r="S868" s="73">
        <v>36612.689999999995</v>
      </c>
    </row>
    <row r="869" spans="1:19" x14ac:dyDescent="0.25">
      <c r="A869" s="28"/>
      <c r="B869" s="45" t="str">
        <f t="shared" si="39"/>
        <v>Apr-2025</v>
      </c>
      <c r="C869" s="57">
        <v>45759</v>
      </c>
      <c r="D869" s="43">
        <f t="shared" si="40"/>
        <v>353</v>
      </c>
      <c r="E869" s="76">
        <v>215</v>
      </c>
      <c r="F869" s="50">
        <v>479</v>
      </c>
      <c r="G869" s="49">
        <v>96212</v>
      </c>
      <c r="H869" s="73">
        <v>467</v>
      </c>
      <c r="I869" s="77">
        <v>479</v>
      </c>
      <c r="J869" s="73">
        <v>35712.75</v>
      </c>
      <c r="K869" s="52">
        <v>21</v>
      </c>
      <c r="L869" s="51">
        <v>1790.78</v>
      </c>
      <c r="M869" s="77">
        <v>397</v>
      </c>
      <c r="N869" s="76">
        <v>64330.559999999998</v>
      </c>
      <c r="O869" s="75">
        <v>364</v>
      </c>
      <c r="P869" s="74">
        <v>3831.3099999999977</v>
      </c>
      <c r="Q869" s="74">
        <v>566.8599999999999</v>
      </c>
      <c r="R869" s="53">
        <f t="shared" si="41"/>
        <v>4810.6000000000004</v>
      </c>
      <c r="S869" s="73">
        <v>35712.750000000015</v>
      </c>
    </row>
    <row r="870" spans="1:19" x14ac:dyDescent="0.25">
      <c r="A870" s="28"/>
      <c r="B870" s="45" t="str">
        <f t="shared" si="39"/>
        <v>Apr-2025</v>
      </c>
      <c r="C870" s="57">
        <v>45760</v>
      </c>
      <c r="D870" s="43">
        <f t="shared" si="40"/>
        <v>352</v>
      </c>
      <c r="E870" s="76">
        <v>223</v>
      </c>
      <c r="F870" s="50">
        <v>474</v>
      </c>
      <c r="G870" s="49">
        <v>114265</v>
      </c>
      <c r="H870" s="73">
        <v>465</v>
      </c>
      <c r="I870" s="77">
        <v>474</v>
      </c>
      <c r="J870" s="73">
        <v>46028.629999999983</v>
      </c>
      <c r="K870" s="52">
        <v>22</v>
      </c>
      <c r="L870" s="51">
        <v>2232.2799999999997</v>
      </c>
      <c r="M870" s="77">
        <v>352</v>
      </c>
      <c r="N870" s="76">
        <v>72998.97</v>
      </c>
      <c r="O870" s="75">
        <v>316</v>
      </c>
      <c r="P870" s="74">
        <v>4762.6000000000067</v>
      </c>
      <c r="Q870" s="74">
        <v>625.27</v>
      </c>
      <c r="R870" s="53">
        <f t="shared" si="41"/>
        <v>5713.25</v>
      </c>
      <c r="S870" s="73">
        <v>46028.629999999983</v>
      </c>
    </row>
    <row r="871" spans="1:19" x14ac:dyDescent="0.25">
      <c r="A871" s="28"/>
      <c r="B871" s="45" t="str">
        <f t="shared" si="39"/>
        <v>Apr-2025</v>
      </c>
      <c r="C871" s="57">
        <v>45761</v>
      </c>
      <c r="D871" s="43">
        <f t="shared" si="40"/>
        <v>351</v>
      </c>
      <c r="E871" s="76">
        <v>259</v>
      </c>
      <c r="F871" s="50">
        <v>510</v>
      </c>
      <c r="G871" s="49">
        <v>114049</v>
      </c>
      <c r="H871" s="73">
        <v>506</v>
      </c>
      <c r="I871" s="77">
        <v>510</v>
      </c>
      <c r="J871" s="73">
        <v>42093.919999999991</v>
      </c>
      <c r="K871" s="52">
        <v>16</v>
      </c>
      <c r="L871" s="51">
        <v>1236.1000000000001</v>
      </c>
      <c r="M871" s="77">
        <v>362</v>
      </c>
      <c r="N871" s="76">
        <v>76517.320000000007</v>
      </c>
      <c r="O871" s="75">
        <v>334</v>
      </c>
      <c r="P871" s="74">
        <v>4562.2399999999952</v>
      </c>
      <c r="Q871" s="74">
        <v>752.83999999999969</v>
      </c>
      <c r="R871" s="53">
        <f t="shared" si="41"/>
        <v>5702.4500000000007</v>
      </c>
      <c r="S871" s="73">
        <v>42093.919999999991</v>
      </c>
    </row>
    <row r="872" spans="1:19" x14ac:dyDescent="0.25">
      <c r="A872" s="28"/>
      <c r="B872" s="45" t="str">
        <f t="shared" si="39"/>
        <v>Apr-2025</v>
      </c>
      <c r="C872" s="57">
        <v>45762</v>
      </c>
      <c r="D872" s="43">
        <f t="shared" si="40"/>
        <v>350</v>
      </c>
      <c r="E872" s="76">
        <v>273</v>
      </c>
      <c r="F872" s="50">
        <v>543</v>
      </c>
      <c r="G872" s="49">
        <v>125738</v>
      </c>
      <c r="H872" s="73">
        <v>532</v>
      </c>
      <c r="I872" s="77">
        <v>543</v>
      </c>
      <c r="J872" s="73">
        <v>50789.300000000017</v>
      </c>
      <c r="K872" s="52">
        <v>24</v>
      </c>
      <c r="L872" s="51">
        <v>2980.65</v>
      </c>
      <c r="M872" s="77">
        <v>417</v>
      </c>
      <c r="N872" s="76">
        <v>80344.789999999994</v>
      </c>
      <c r="O872" s="75">
        <v>387</v>
      </c>
      <c r="P872" s="74">
        <v>5396.0900000000147</v>
      </c>
      <c r="Q872" s="74">
        <v>1030.5499999999997</v>
      </c>
      <c r="R872" s="53">
        <f t="shared" si="41"/>
        <v>6286.9000000000005</v>
      </c>
      <c r="S872" s="73">
        <v>50789.300000000017</v>
      </c>
    </row>
    <row r="873" spans="1:19" x14ac:dyDescent="0.25">
      <c r="A873" s="28"/>
      <c r="B873" s="45" t="str">
        <f t="shared" si="39"/>
        <v>Apr-2025</v>
      </c>
      <c r="C873" s="57">
        <v>45763</v>
      </c>
      <c r="D873" s="43">
        <f t="shared" si="40"/>
        <v>349</v>
      </c>
      <c r="E873" s="76">
        <v>242</v>
      </c>
      <c r="F873" s="50">
        <v>477</v>
      </c>
      <c r="G873" s="49">
        <v>107170</v>
      </c>
      <c r="H873" s="73">
        <v>470</v>
      </c>
      <c r="I873" s="77">
        <v>477</v>
      </c>
      <c r="J873" s="73">
        <v>36110.370000000003</v>
      </c>
      <c r="K873" s="52">
        <v>13</v>
      </c>
      <c r="L873" s="51">
        <v>2263.3799999999997</v>
      </c>
      <c r="M873" s="77">
        <v>373</v>
      </c>
      <c r="N873" s="76">
        <v>75005.17</v>
      </c>
      <c r="O873" s="75">
        <v>346</v>
      </c>
      <c r="P873" s="74">
        <v>3945.5399999999936</v>
      </c>
      <c r="Q873" s="74">
        <v>664.18999999999994</v>
      </c>
      <c r="R873" s="53">
        <f t="shared" si="41"/>
        <v>5358.5</v>
      </c>
      <c r="S873" s="73">
        <v>36110.370000000003</v>
      </c>
    </row>
    <row r="874" spans="1:19" x14ac:dyDescent="0.25">
      <c r="A874" s="28"/>
      <c r="B874" s="45" t="str">
        <f t="shared" si="39"/>
        <v>Apr-2025</v>
      </c>
      <c r="C874" s="57">
        <v>45764</v>
      </c>
      <c r="D874" s="43">
        <f t="shared" si="40"/>
        <v>348</v>
      </c>
      <c r="E874" s="76">
        <v>227</v>
      </c>
      <c r="F874" s="50">
        <v>469</v>
      </c>
      <c r="G874" s="49">
        <v>110031</v>
      </c>
      <c r="H874" s="73">
        <v>461</v>
      </c>
      <c r="I874" s="77">
        <v>469</v>
      </c>
      <c r="J874" s="73">
        <v>40646.30000000001</v>
      </c>
      <c r="K874" s="52">
        <v>19</v>
      </c>
      <c r="L874" s="51">
        <v>1809.33</v>
      </c>
      <c r="M874" s="77">
        <v>358</v>
      </c>
      <c r="N874" s="76">
        <v>73564.56</v>
      </c>
      <c r="O874" s="75">
        <v>329</v>
      </c>
      <c r="P874" s="74">
        <v>4179.8599999999969</v>
      </c>
      <c r="Q874" s="74">
        <v>561.02999999999963</v>
      </c>
      <c r="R874" s="53">
        <f t="shared" si="41"/>
        <v>5501.55</v>
      </c>
      <c r="S874" s="73">
        <v>40646.300000000003</v>
      </c>
    </row>
    <row r="875" spans="1:19" x14ac:dyDescent="0.25">
      <c r="A875" s="28"/>
      <c r="B875" s="45" t="str">
        <f t="shared" si="39"/>
        <v>Apr-2025</v>
      </c>
      <c r="C875" s="57">
        <v>45765</v>
      </c>
      <c r="D875" s="43">
        <f t="shared" si="40"/>
        <v>347</v>
      </c>
      <c r="E875" s="76">
        <v>273</v>
      </c>
      <c r="F875" s="50">
        <v>526</v>
      </c>
      <c r="G875" s="49">
        <v>109534</v>
      </c>
      <c r="H875" s="73">
        <v>516</v>
      </c>
      <c r="I875" s="77">
        <v>526</v>
      </c>
      <c r="J875" s="73">
        <v>46838.649999999994</v>
      </c>
      <c r="K875" s="52">
        <v>26</v>
      </c>
      <c r="L875" s="51">
        <v>2833.52</v>
      </c>
      <c r="M875" s="77">
        <v>359</v>
      </c>
      <c r="N875" s="76">
        <v>67532.77</v>
      </c>
      <c r="O875" s="75">
        <v>329</v>
      </c>
      <c r="P875" s="74">
        <v>4837.4200000000083</v>
      </c>
      <c r="Q875" s="74">
        <v>727.34</v>
      </c>
      <c r="R875" s="53">
        <f t="shared" si="41"/>
        <v>5476.7000000000007</v>
      </c>
      <c r="S875" s="73">
        <v>46838.650000000009</v>
      </c>
    </row>
    <row r="876" spans="1:19" x14ac:dyDescent="0.25">
      <c r="A876" s="28"/>
      <c r="B876" s="45" t="str">
        <f t="shared" si="39"/>
        <v>Apr-2025</v>
      </c>
      <c r="C876" s="57">
        <v>45766</v>
      </c>
      <c r="D876" s="43">
        <f t="shared" si="40"/>
        <v>346</v>
      </c>
      <c r="E876" s="76">
        <v>219</v>
      </c>
      <c r="F876" s="50">
        <v>487</v>
      </c>
      <c r="G876" s="49">
        <v>108841</v>
      </c>
      <c r="H876" s="73">
        <v>476</v>
      </c>
      <c r="I876" s="77">
        <v>487</v>
      </c>
      <c r="J876" s="73">
        <v>37790.579999999994</v>
      </c>
      <c r="K876" s="52">
        <v>27</v>
      </c>
      <c r="L876" s="51">
        <v>2476.09</v>
      </c>
      <c r="M876" s="77">
        <v>372</v>
      </c>
      <c r="N876" s="76">
        <v>75085.58</v>
      </c>
      <c r="O876" s="75">
        <v>343</v>
      </c>
      <c r="P876" s="74">
        <v>4035.159999999998</v>
      </c>
      <c r="Q876" s="74">
        <v>669.03</v>
      </c>
      <c r="R876" s="53">
        <f t="shared" si="41"/>
        <v>5442.05</v>
      </c>
      <c r="S876" s="73">
        <v>37790.58</v>
      </c>
    </row>
    <row r="877" spans="1:19" x14ac:dyDescent="0.25">
      <c r="A877" s="28"/>
      <c r="B877" s="45" t="str">
        <f t="shared" si="39"/>
        <v>Apr-2025</v>
      </c>
      <c r="C877" s="57">
        <v>45767</v>
      </c>
      <c r="D877" s="43">
        <f t="shared" si="40"/>
        <v>345</v>
      </c>
      <c r="E877" s="76">
        <v>261</v>
      </c>
      <c r="F877" s="50">
        <v>502</v>
      </c>
      <c r="G877" s="49">
        <v>112717</v>
      </c>
      <c r="H877" s="73">
        <v>493</v>
      </c>
      <c r="I877" s="77">
        <v>502</v>
      </c>
      <c r="J877" s="73">
        <v>40096.79</v>
      </c>
      <c r="K877" s="52">
        <v>18</v>
      </c>
      <c r="L877" s="51">
        <v>1974.2999999999997</v>
      </c>
      <c r="M877" s="77">
        <v>344</v>
      </c>
      <c r="N877" s="76">
        <v>76776.87</v>
      </c>
      <c r="O877" s="75">
        <v>325</v>
      </c>
      <c r="P877" s="74">
        <v>4156.6599999999917</v>
      </c>
      <c r="Q877" s="74">
        <v>570.48</v>
      </c>
      <c r="R877" s="53">
        <f t="shared" si="41"/>
        <v>5635.85</v>
      </c>
      <c r="S877" s="73">
        <v>40096.789999999994</v>
      </c>
    </row>
    <row r="878" spans="1:19" x14ac:dyDescent="0.25">
      <c r="A878" s="28"/>
      <c r="B878" s="45" t="str">
        <f t="shared" si="39"/>
        <v>Apr-2025</v>
      </c>
      <c r="C878" s="57">
        <v>45768</v>
      </c>
      <c r="D878" s="43">
        <f t="shared" si="40"/>
        <v>344</v>
      </c>
      <c r="E878" s="76">
        <v>243</v>
      </c>
      <c r="F878" s="50">
        <v>458</v>
      </c>
      <c r="G878" s="49">
        <v>88713</v>
      </c>
      <c r="H878" s="73">
        <v>444</v>
      </c>
      <c r="I878" s="77">
        <v>458</v>
      </c>
      <c r="J878" s="73">
        <v>34673.500000000007</v>
      </c>
      <c r="K878" s="52">
        <v>22</v>
      </c>
      <c r="L878" s="51">
        <v>2525.5</v>
      </c>
      <c r="M878" s="77">
        <v>315</v>
      </c>
      <c r="N878" s="76">
        <v>57663.39</v>
      </c>
      <c r="O878" s="75">
        <v>296</v>
      </c>
      <c r="P878" s="74">
        <v>3623.8899999999953</v>
      </c>
      <c r="Q878" s="74">
        <v>524.36000000000013</v>
      </c>
      <c r="R878" s="53">
        <f t="shared" si="41"/>
        <v>4435.6500000000005</v>
      </c>
      <c r="S878" s="73">
        <v>34673.500000000007</v>
      </c>
    </row>
    <row r="879" spans="1:19" x14ac:dyDescent="0.25">
      <c r="A879" s="28"/>
      <c r="B879" s="45" t="str">
        <f t="shared" si="39"/>
        <v>Apr-2025</v>
      </c>
      <c r="C879" s="57">
        <v>45769</v>
      </c>
      <c r="D879" s="43">
        <f t="shared" si="40"/>
        <v>343</v>
      </c>
      <c r="E879" s="76">
        <v>274</v>
      </c>
      <c r="F879" s="50">
        <v>519</v>
      </c>
      <c r="G879" s="49">
        <v>108725</v>
      </c>
      <c r="H879" s="73">
        <v>507</v>
      </c>
      <c r="I879" s="77">
        <v>519</v>
      </c>
      <c r="J879" s="73">
        <v>45491.400000000023</v>
      </c>
      <c r="K879" s="52">
        <v>28</v>
      </c>
      <c r="L879" s="51">
        <v>2856.16</v>
      </c>
      <c r="M879" s="77">
        <v>394</v>
      </c>
      <c r="N879" s="76">
        <v>67885.279999999999</v>
      </c>
      <c r="O879" s="75">
        <v>357</v>
      </c>
      <c r="P879" s="74">
        <v>4651.680000000013</v>
      </c>
      <c r="Q879" s="74">
        <v>630.97</v>
      </c>
      <c r="R879" s="53">
        <f t="shared" si="41"/>
        <v>5436.25</v>
      </c>
      <c r="S879" s="73">
        <v>45491.400000000009</v>
      </c>
    </row>
    <row r="880" spans="1:19" x14ac:dyDescent="0.25">
      <c r="A880" s="28"/>
      <c r="B880" s="45" t="str">
        <f t="shared" si="39"/>
        <v>Apr-2025</v>
      </c>
      <c r="C880" s="57">
        <v>45770</v>
      </c>
      <c r="D880" s="43">
        <f t="shared" si="40"/>
        <v>342</v>
      </c>
      <c r="E880" s="76">
        <v>233</v>
      </c>
      <c r="F880" s="50">
        <v>491</v>
      </c>
      <c r="G880" s="49">
        <v>107151</v>
      </c>
      <c r="H880" s="73">
        <v>483</v>
      </c>
      <c r="I880" s="77">
        <v>491</v>
      </c>
      <c r="J880" s="73">
        <v>33617.25</v>
      </c>
      <c r="K880" s="52">
        <v>21</v>
      </c>
      <c r="L880" s="51">
        <v>1338.1999999999998</v>
      </c>
      <c r="M880" s="77">
        <v>405</v>
      </c>
      <c r="N880" s="76">
        <v>77076.81</v>
      </c>
      <c r="O880" s="75">
        <v>366</v>
      </c>
      <c r="P880" s="74">
        <v>3543.0599999999954</v>
      </c>
      <c r="Q880" s="74">
        <v>542.03999999999962</v>
      </c>
      <c r="R880" s="53">
        <f t="shared" si="41"/>
        <v>5357.55</v>
      </c>
      <c r="S880" s="73">
        <v>33617.25</v>
      </c>
    </row>
    <row r="881" spans="1:19" x14ac:dyDescent="0.25">
      <c r="A881" s="28"/>
      <c r="B881" s="45" t="str">
        <f t="shared" si="39"/>
        <v>Apr-2025</v>
      </c>
      <c r="C881" s="57">
        <v>45771</v>
      </c>
      <c r="D881" s="43">
        <f t="shared" si="40"/>
        <v>341</v>
      </c>
      <c r="E881" s="76">
        <v>222</v>
      </c>
      <c r="F881" s="50">
        <v>403</v>
      </c>
      <c r="G881" s="49">
        <v>82521</v>
      </c>
      <c r="H881" s="73">
        <v>398</v>
      </c>
      <c r="I881" s="77">
        <v>403</v>
      </c>
      <c r="J881" s="73">
        <v>36222.81</v>
      </c>
      <c r="K881" s="52">
        <v>12</v>
      </c>
      <c r="L881" s="51">
        <v>551.69000000000005</v>
      </c>
      <c r="M881" s="77">
        <v>285</v>
      </c>
      <c r="N881" s="76">
        <v>49898.36</v>
      </c>
      <c r="O881" s="75">
        <v>250</v>
      </c>
      <c r="P881" s="74">
        <v>3600.1699999999983</v>
      </c>
      <c r="Q881" s="74">
        <v>383.48999999999984</v>
      </c>
      <c r="R881" s="53">
        <f t="shared" si="41"/>
        <v>4126.05</v>
      </c>
      <c r="S881" s="73">
        <v>36222.80999999999</v>
      </c>
    </row>
    <row r="882" spans="1:19" x14ac:dyDescent="0.25">
      <c r="A882" s="28"/>
      <c r="B882" s="45" t="str">
        <f t="shared" si="39"/>
        <v>Apr-2025</v>
      </c>
      <c r="C882" s="57">
        <v>45772</v>
      </c>
      <c r="D882" s="43">
        <f t="shared" si="40"/>
        <v>340</v>
      </c>
      <c r="E882" s="76">
        <v>291</v>
      </c>
      <c r="F882" s="50">
        <v>511</v>
      </c>
      <c r="G882" s="49">
        <v>94720</v>
      </c>
      <c r="H882" s="73">
        <v>504</v>
      </c>
      <c r="I882" s="77">
        <v>511</v>
      </c>
      <c r="J882" s="73">
        <v>37758.589999999982</v>
      </c>
      <c r="K882" s="52">
        <v>12</v>
      </c>
      <c r="L882" s="51">
        <v>1061.1499999999999</v>
      </c>
      <c r="M882" s="77">
        <v>369</v>
      </c>
      <c r="N882" s="76">
        <v>60992.91</v>
      </c>
      <c r="O882" s="75">
        <v>330</v>
      </c>
      <c r="P882" s="74">
        <v>4031.4999999999968</v>
      </c>
      <c r="Q882" s="74">
        <v>638.34000000000015</v>
      </c>
      <c r="R882" s="53">
        <f t="shared" si="41"/>
        <v>4736</v>
      </c>
      <c r="S882" s="73">
        <v>37758.590000000004</v>
      </c>
    </row>
    <row r="883" spans="1:19" x14ac:dyDescent="0.25">
      <c r="A883" s="28"/>
      <c r="B883" s="45" t="str">
        <f t="shared" si="39"/>
        <v>Apr-2025</v>
      </c>
      <c r="C883" s="57">
        <v>45773</v>
      </c>
      <c r="D883" s="43">
        <f t="shared" si="40"/>
        <v>339</v>
      </c>
      <c r="E883" s="76">
        <v>252</v>
      </c>
      <c r="F883" s="50">
        <v>440</v>
      </c>
      <c r="G883" s="49">
        <v>84126</v>
      </c>
      <c r="H883" s="73">
        <v>430</v>
      </c>
      <c r="I883" s="77">
        <v>440</v>
      </c>
      <c r="J883" s="73">
        <v>32412.879999999994</v>
      </c>
      <c r="K883" s="52">
        <v>15</v>
      </c>
      <c r="L883" s="51">
        <v>1077.21</v>
      </c>
      <c r="M883" s="77">
        <v>328</v>
      </c>
      <c r="N883" s="76">
        <v>55046.6</v>
      </c>
      <c r="O883" s="75">
        <v>295</v>
      </c>
      <c r="P883" s="74">
        <v>3333.4799999999927</v>
      </c>
      <c r="Q883" s="74">
        <v>447.77000000000015</v>
      </c>
      <c r="R883" s="53">
        <f t="shared" si="41"/>
        <v>4206.3</v>
      </c>
      <c r="S883" s="73">
        <v>32412.880000000001</v>
      </c>
    </row>
    <row r="884" spans="1:19" x14ac:dyDescent="0.25">
      <c r="A884" s="28"/>
      <c r="B884" s="45" t="str">
        <f t="shared" si="39"/>
        <v>Apr-2025</v>
      </c>
      <c r="C884" s="57">
        <v>45774</v>
      </c>
      <c r="D884" s="43">
        <f t="shared" si="40"/>
        <v>338</v>
      </c>
      <c r="E884" s="76">
        <v>238</v>
      </c>
      <c r="F884" s="50">
        <v>477</v>
      </c>
      <c r="G884" s="49">
        <v>99220</v>
      </c>
      <c r="H884" s="73">
        <v>471</v>
      </c>
      <c r="I884" s="77">
        <v>477</v>
      </c>
      <c r="J884" s="73">
        <v>37707.549999999996</v>
      </c>
      <c r="K884" s="52">
        <v>15</v>
      </c>
      <c r="L884" s="51">
        <v>1501.03</v>
      </c>
      <c r="M884" s="77">
        <v>335</v>
      </c>
      <c r="N884" s="76">
        <v>65306.64</v>
      </c>
      <c r="O884" s="75">
        <v>314</v>
      </c>
      <c r="P884" s="74">
        <v>3794.1899999999978</v>
      </c>
      <c r="Q884" s="74">
        <v>531.01999999999975</v>
      </c>
      <c r="R884" s="53">
        <f t="shared" si="41"/>
        <v>4961</v>
      </c>
      <c r="S884" s="73">
        <v>37707.549999999996</v>
      </c>
    </row>
    <row r="885" spans="1:19" x14ac:dyDescent="0.25">
      <c r="A885" s="28"/>
      <c r="B885" s="45" t="str">
        <f t="shared" si="39"/>
        <v>Apr-2025</v>
      </c>
      <c r="C885" s="57">
        <v>45775</v>
      </c>
      <c r="D885" s="43">
        <f t="shared" si="40"/>
        <v>337</v>
      </c>
      <c r="E885" s="76">
        <v>299</v>
      </c>
      <c r="F885" s="50">
        <v>479</v>
      </c>
      <c r="G885" s="49">
        <v>95471</v>
      </c>
      <c r="H885" s="73">
        <v>466</v>
      </c>
      <c r="I885" s="77">
        <v>479</v>
      </c>
      <c r="J885" s="73">
        <v>39877.810000000005</v>
      </c>
      <c r="K885" s="52">
        <v>25</v>
      </c>
      <c r="L885" s="51">
        <v>3042.5600000000009</v>
      </c>
      <c r="M885" s="77">
        <v>345</v>
      </c>
      <c r="N885" s="76">
        <v>59564.04</v>
      </c>
      <c r="O885" s="75">
        <v>315</v>
      </c>
      <c r="P885" s="74">
        <v>3970.8499999999958</v>
      </c>
      <c r="Q885" s="74">
        <v>457.38000000000005</v>
      </c>
      <c r="R885" s="53">
        <f t="shared" si="41"/>
        <v>4773.55</v>
      </c>
      <c r="S885" s="73">
        <v>39877.81</v>
      </c>
    </row>
    <row r="886" spans="1:19" x14ac:dyDescent="0.25">
      <c r="A886" s="28"/>
      <c r="B886" s="45" t="str">
        <f t="shared" si="39"/>
        <v>Apr-2025</v>
      </c>
      <c r="C886" s="57">
        <v>45776</v>
      </c>
      <c r="D886" s="43">
        <f t="shared" si="40"/>
        <v>336</v>
      </c>
      <c r="E886" s="76">
        <v>255</v>
      </c>
      <c r="F886" s="50">
        <v>496</v>
      </c>
      <c r="G886" s="49">
        <v>118346</v>
      </c>
      <c r="H886" s="73">
        <v>485</v>
      </c>
      <c r="I886" s="77">
        <v>496</v>
      </c>
      <c r="J886" s="73">
        <v>42483.91</v>
      </c>
      <c r="K886" s="52">
        <v>27</v>
      </c>
      <c r="L886" s="51">
        <v>2640.42</v>
      </c>
      <c r="M886" s="77">
        <v>354</v>
      </c>
      <c r="N886" s="76">
        <v>80274.149999999994</v>
      </c>
      <c r="O886" s="75">
        <v>330</v>
      </c>
      <c r="P886" s="74">
        <v>4412.0599999999968</v>
      </c>
      <c r="Q886" s="74">
        <v>728.43</v>
      </c>
      <c r="R886" s="53">
        <f t="shared" si="41"/>
        <v>5917.3</v>
      </c>
      <c r="S886" s="73">
        <v>42483.909999999989</v>
      </c>
    </row>
    <row r="887" spans="1:19" x14ac:dyDescent="0.25">
      <c r="A887" s="28"/>
      <c r="B887" s="45" t="str">
        <f t="shared" si="39"/>
        <v>Apr-2025</v>
      </c>
      <c r="C887" s="57">
        <v>45777</v>
      </c>
      <c r="D887" s="43">
        <f t="shared" si="40"/>
        <v>335</v>
      </c>
      <c r="E887" s="76">
        <v>262</v>
      </c>
      <c r="F887" s="50">
        <v>452</v>
      </c>
      <c r="G887" s="49">
        <v>90639</v>
      </c>
      <c r="H887" s="73">
        <v>445</v>
      </c>
      <c r="I887" s="77">
        <v>452</v>
      </c>
      <c r="J887" s="73">
        <v>39925.62000000001</v>
      </c>
      <c r="K887" s="52">
        <v>22</v>
      </c>
      <c r="L887" s="51">
        <v>3092.6499999999996</v>
      </c>
      <c r="M887" s="77">
        <v>326</v>
      </c>
      <c r="N887" s="76">
        <v>54640.05</v>
      </c>
      <c r="O887" s="75">
        <v>292</v>
      </c>
      <c r="P887" s="74">
        <v>3926.6699999999951</v>
      </c>
      <c r="Q887" s="74">
        <v>490.83000000000004</v>
      </c>
      <c r="R887" s="53">
        <f t="shared" si="41"/>
        <v>4531.95</v>
      </c>
      <c r="S887" s="73">
        <v>39925.62000000001</v>
      </c>
    </row>
    <row r="888" spans="1:19" x14ac:dyDescent="0.25">
      <c r="A888" s="28"/>
      <c r="B888" s="45" t="str">
        <f t="shared" si="39"/>
        <v>May-2025</v>
      </c>
      <c r="C888" s="57">
        <v>45778</v>
      </c>
      <c r="D888" s="43">
        <f t="shared" si="40"/>
        <v>334</v>
      </c>
      <c r="E888" s="76">
        <v>205</v>
      </c>
      <c r="F888" s="50">
        <v>452</v>
      </c>
      <c r="G888" s="49">
        <v>96603</v>
      </c>
      <c r="H888" s="73">
        <v>442</v>
      </c>
      <c r="I888" s="77">
        <v>452</v>
      </c>
      <c r="J888" s="73">
        <v>38432.12999999999</v>
      </c>
      <c r="K888" s="52">
        <v>20</v>
      </c>
      <c r="L888" s="51">
        <v>2417.62</v>
      </c>
      <c r="M888" s="77">
        <v>332</v>
      </c>
      <c r="N888" s="76">
        <v>62117.53</v>
      </c>
      <c r="O888" s="75">
        <v>301</v>
      </c>
      <c r="P888" s="74">
        <v>3946.6599999999962</v>
      </c>
      <c r="Q888" s="74">
        <v>640.35999999999967</v>
      </c>
      <c r="R888" s="53">
        <f t="shared" si="41"/>
        <v>4830.1500000000005</v>
      </c>
      <c r="S888" s="73">
        <v>38432.12999999999</v>
      </c>
    </row>
    <row r="889" spans="1:19" x14ac:dyDescent="0.25">
      <c r="A889" s="28"/>
      <c r="B889" s="45" t="str">
        <f t="shared" si="39"/>
        <v>May-2025</v>
      </c>
      <c r="C889" s="57">
        <v>45779</v>
      </c>
      <c r="D889" s="43">
        <f t="shared" si="40"/>
        <v>333</v>
      </c>
      <c r="E889" s="76">
        <v>192</v>
      </c>
      <c r="F889" s="50">
        <v>440</v>
      </c>
      <c r="G889" s="49">
        <v>101875</v>
      </c>
      <c r="H889" s="73">
        <v>429</v>
      </c>
      <c r="I889" s="77">
        <v>440</v>
      </c>
      <c r="J889" s="73">
        <v>38482.509999999987</v>
      </c>
      <c r="K889" s="52">
        <v>21</v>
      </c>
      <c r="L889" s="51">
        <v>1935.37</v>
      </c>
      <c r="M889" s="77">
        <v>340</v>
      </c>
      <c r="N889" s="76">
        <v>67342.179999999993</v>
      </c>
      <c r="O889" s="75">
        <v>315</v>
      </c>
      <c r="P889" s="74">
        <v>3949.6899999999928</v>
      </c>
      <c r="Q889" s="74">
        <v>651.2199999999998</v>
      </c>
      <c r="R889" s="53">
        <f t="shared" si="41"/>
        <v>5093.75</v>
      </c>
      <c r="S889" s="73">
        <v>38482.509999999987</v>
      </c>
    </row>
    <row r="890" spans="1:19" x14ac:dyDescent="0.25">
      <c r="A890" s="28"/>
      <c r="B890" s="45" t="str">
        <f t="shared" si="39"/>
        <v>May-2025</v>
      </c>
      <c r="C890" s="57">
        <v>45780</v>
      </c>
      <c r="D890" s="43">
        <f t="shared" si="40"/>
        <v>332</v>
      </c>
      <c r="E890" s="76">
        <v>155</v>
      </c>
      <c r="F890" s="50">
        <v>367</v>
      </c>
      <c r="G890" s="49">
        <v>86643</v>
      </c>
      <c r="H890" s="73">
        <v>363</v>
      </c>
      <c r="I890" s="77">
        <v>367</v>
      </c>
      <c r="J890" s="73">
        <v>24842.240000000002</v>
      </c>
      <c r="K890" s="52">
        <v>14</v>
      </c>
      <c r="L890" s="51">
        <v>1460.19</v>
      </c>
      <c r="M890" s="77">
        <v>317</v>
      </c>
      <c r="N890" s="76">
        <v>64529.04</v>
      </c>
      <c r="O890" s="75">
        <v>287</v>
      </c>
      <c r="P890" s="74">
        <v>2728.2799999999929</v>
      </c>
      <c r="Q890" s="74">
        <v>571.72999999999979</v>
      </c>
      <c r="R890" s="53">
        <f t="shared" si="41"/>
        <v>4332.1500000000005</v>
      </c>
      <c r="S890" s="73">
        <v>24842.240000000002</v>
      </c>
    </row>
    <row r="891" spans="1:19" x14ac:dyDescent="0.25">
      <c r="A891" s="28"/>
      <c r="B891" s="45" t="str">
        <f t="shared" si="39"/>
        <v>May-2025</v>
      </c>
      <c r="C891" s="57">
        <v>45781</v>
      </c>
      <c r="D891" s="43">
        <f t="shared" si="40"/>
        <v>331</v>
      </c>
      <c r="E891" s="76"/>
      <c r="F891" s="50">
        <v>147</v>
      </c>
      <c r="G891" s="49">
        <v>42980</v>
      </c>
      <c r="H891" s="73">
        <v>146</v>
      </c>
      <c r="I891" s="77">
        <v>147</v>
      </c>
      <c r="J891" s="73">
        <v>8674.2099999999973</v>
      </c>
      <c r="K891" s="52">
        <v>3</v>
      </c>
      <c r="L891" s="51">
        <v>109.02</v>
      </c>
      <c r="M891" s="77">
        <v>150</v>
      </c>
      <c r="N891" s="76">
        <v>35276.46</v>
      </c>
      <c r="O891" s="75">
        <v>139</v>
      </c>
      <c r="P891" s="74">
        <v>970.66999999999985</v>
      </c>
      <c r="Q891" s="74">
        <v>242.57000000000002</v>
      </c>
      <c r="R891" s="53">
        <f t="shared" si="41"/>
        <v>2149</v>
      </c>
      <c r="S891" s="73">
        <v>8674.2099999999991</v>
      </c>
    </row>
    <row r="892" spans="1:19" x14ac:dyDescent="0.25">
      <c r="A892" s="28"/>
      <c r="B892" s="45" t="str">
        <f t="shared" si="39"/>
        <v>May-2025</v>
      </c>
      <c r="C892" s="57">
        <v>45782</v>
      </c>
      <c r="D892" s="43">
        <f t="shared" si="40"/>
        <v>330</v>
      </c>
      <c r="E892" s="76">
        <v>1</v>
      </c>
      <c r="F892" s="50">
        <v>255</v>
      </c>
      <c r="G892" s="49">
        <v>81785</v>
      </c>
      <c r="H892" s="73">
        <v>252</v>
      </c>
      <c r="I892" s="77">
        <v>255</v>
      </c>
      <c r="J892" s="73">
        <v>24091.080000000024</v>
      </c>
      <c r="K892" s="52">
        <v>5</v>
      </c>
      <c r="L892" s="51">
        <v>490.09999999999997</v>
      </c>
      <c r="M892" s="77">
        <v>251</v>
      </c>
      <c r="N892" s="76">
        <v>60232.05</v>
      </c>
      <c r="O892" s="75">
        <v>234</v>
      </c>
      <c r="P892" s="74">
        <v>2538.1299999999937</v>
      </c>
      <c r="Q892" s="74">
        <v>551.69000000000005</v>
      </c>
      <c r="R892" s="53">
        <f t="shared" si="41"/>
        <v>4089.25</v>
      </c>
      <c r="S892" s="73">
        <v>24091.08000000002</v>
      </c>
    </row>
    <row r="893" spans="1:19" x14ac:dyDescent="0.25">
      <c r="A893" s="28"/>
      <c r="B893" s="45" t="str">
        <f t="shared" si="39"/>
        <v>May-2025</v>
      </c>
      <c r="C893" s="57">
        <v>45783</v>
      </c>
      <c r="D893" s="43">
        <f t="shared" si="40"/>
        <v>329</v>
      </c>
      <c r="E893" s="76"/>
      <c r="F893" s="50">
        <v>265</v>
      </c>
      <c r="G893" s="49">
        <v>76514</v>
      </c>
      <c r="H893" s="73">
        <v>257</v>
      </c>
      <c r="I893" s="77">
        <v>265</v>
      </c>
      <c r="J893" s="73">
        <v>24617.429999999964</v>
      </c>
      <c r="K893" s="52">
        <v>14</v>
      </c>
      <c r="L893" s="51">
        <v>1328.26</v>
      </c>
      <c r="M893" s="77">
        <v>271</v>
      </c>
      <c r="N893" s="76">
        <v>54432.86</v>
      </c>
      <c r="O893" s="75">
        <v>245</v>
      </c>
      <c r="P893" s="74">
        <v>2536.2899999999954</v>
      </c>
      <c r="Q893" s="74">
        <v>545.82999999999993</v>
      </c>
      <c r="R893" s="53">
        <f t="shared" si="41"/>
        <v>3825.7000000000003</v>
      </c>
      <c r="S893" s="73">
        <v>24617.429999999978</v>
      </c>
    </row>
    <row r="894" spans="1:19" x14ac:dyDescent="0.25">
      <c r="A894" s="28"/>
      <c r="B894" s="45" t="str">
        <f t="shared" si="39"/>
        <v>May-2025</v>
      </c>
      <c r="C894" s="57">
        <v>45784</v>
      </c>
      <c r="D894" s="43">
        <f t="shared" si="40"/>
        <v>328</v>
      </c>
      <c r="E894" s="76"/>
      <c r="F894" s="50">
        <v>259</v>
      </c>
      <c r="G894" s="49">
        <v>83706</v>
      </c>
      <c r="H894" s="73">
        <v>254</v>
      </c>
      <c r="I894" s="77">
        <v>259</v>
      </c>
      <c r="J894" s="73">
        <v>20721.580000000024</v>
      </c>
      <c r="K894" s="52">
        <v>12</v>
      </c>
      <c r="L894" s="51">
        <v>2050.4299999999998</v>
      </c>
      <c r="M894" s="77">
        <v>286</v>
      </c>
      <c r="N894" s="76">
        <v>65185.48</v>
      </c>
      <c r="O894" s="75">
        <v>261</v>
      </c>
      <c r="P894" s="74">
        <v>2201.059999999999</v>
      </c>
      <c r="Q894" s="74">
        <v>501.17</v>
      </c>
      <c r="R894" s="53">
        <f t="shared" si="41"/>
        <v>4185.3</v>
      </c>
      <c r="S894" s="73">
        <v>20721.580000000024</v>
      </c>
    </row>
    <row r="895" spans="1:19" x14ac:dyDescent="0.25">
      <c r="A895" s="28"/>
      <c r="B895" s="45" t="str">
        <f t="shared" si="39"/>
        <v>May-2025</v>
      </c>
      <c r="C895" s="57">
        <v>45785</v>
      </c>
      <c r="D895" s="43">
        <f t="shared" si="40"/>
        <v>327</v>
      </c>
      <c r="E895" s="76"/>
      <c r="F895" s="50">
        <v>292</v>
      </c>
      <c r="G895" s="49">
        <v>84052</v>
      </c>
      <c r="H895" s="73">
        <v>290</v>
      </c>
      <c r="I895" s="77">
        <v>292</v>
      </c>
      <c r="J895" s="73">
        <v>34490.759999999987</v>
      </c>
      <c r="K895" s="52">
        <v>11</v>
      </c>
      <c r="L895" s="51">
        <v>857.11999999999989</v>
      </c>
      <c r="M895" s="77">
        <v>267</v>
      </c>
      <c r="N895" s="76">
        <v>52782.29</v>
      </c>
      <c r="O895" s="75">
        <v>238</v>
      </c>
      <c r="P895" s="74">
        <v>3221.0499999999956</v>
      </c>
      <c r="Q895" s="74">
        <v>410.25999999999988</v>
      </c>
      <c r="R895" s="53">
        <f t="shared" si="41"/>
        <v>4202.6000000000004</v>
      </c>
      <c r="S895" s="73">
        <v>34490.759999999987</v>
      </c>
    </row>
    <row r="896" spans="1:19" x14ac:dyDescent="0.25">
      <c r="A896" s="28"/>
      <c r="B896" s="45" t="str">
        <f t="shared" si="39"/>
        <v>May-2025</v>
      </c>
      <c r="C896" s="57">
        <v>45786</v>
      </c>
      <c r="D896" s="43">
        <f t="shared" si="40"/>
        <v>326</v>
      </c>
      <c r="E896" s="76"/>
      <c r="F896" s="50">
        <v>275</v>
      </c>
      <c r="G896" s="49">
        <v>82811</v>
      </c>
      <c r="H896" s="73">
        <v>266</v>
      </c>
      <c r="I896" s="77">
        <v>275</v>
      </c>
      <c r="J896" s="73">
        <v>24060.689999999955</v>
      </c>
      <c r="K896" s="52">
        <v>19</v>
      </c>
      <c r="L896" s="51">
        <v>4059.7799999999997</v>
      </c>
      <c r="M896" s="77">
        <v>240</v>
      </c>
      <c r="N896" s="76">
        <v>61224.76</v>
      </c>
      <c r="O896" s="75">
        <v>226</v>
      </c>
      <c r="P896" s="74">
        <v>2474.4500000000012</v>
      </c>
      <c r="Q896" s="74">
        <v>477.30000000000018</v>
      </c>
      <c r="R896" s="53">
        <f t="shared" si="41"/>
        <v>4140.55</v>
      </c>
      <c r="S896" s="73">
        <v>24060.690000000002</v>
      </c>
    </row>
    <row r="897" spans="1:19" x14ac:dyDescent="0.25">
      <c r="A897" s="28"/>
      <c r="B897" s="45" t="str">
        <f t="shared" si="39"/>
        <v>May-2025</v>
      </c>
      <c r="C897" s="57">
        <v>45787</v>
      </c>
      <c r="D897" s="43">
        <f t="shared" si="40"/>
        <v>325</v>
      </c>
      <c r="E897" s="76"/>
      <c r="F897" s="50">
        <v>248</v>
      </c>
      <c r="G897" s="49">
        <v>80811</v>
      </c>
      <c r="H897" s="73">
        <v>245</v>
      </c>
      <c r="I897" s="77">
        <v>248</v>
      </c>
      <c r="J897" s="73">
        <v>18984.490000000013</v>
      </c>
      <c r="K897" s="52">
        <v>12</v>
      </c>
      <c r="L897" s="51">
        <v>1720.21</v>
      </c>
      <c r="M897" s="77">
        <v>229</v>
      </c>
      <c r="N897" s="76">
        <v>63921.3</v>
      </c>
      <c r="O897" s="75">
        <v>203</v>
      </c>
      <c r="P897" s="74">
        <v>2094.7899999999995</v>
      </c>
      <c r="Q897" s="74">
        <v>526.82000000000005</v>
      </c>
      <c r="R897" s="53">
        <f t="shared" si="41"/>
        <v>4040.55</v>
      </c>
      <c r="S897" s="73">
        <v>18984.490000000013</v>
      </c>
    </row>
    <row r="898" spans="1:19" x14ac:dyDescent="0.25">
      <c r="A898" s="28"/>
      <c r="B898" s="45" t="str">
        <f t="shared" si="39"/>
        <v>May-2025</v>
      </c>
      <c r="C898" s="57">
        <v>45788</v>
      </c>
      <c r="D898" s="43">
        <f t="shared" si="40"/>
        <v>324</v>
      </c>
      <c r="E898" s="76"/>
      <c r="F898" s="50">
        <v>283</v>
      </c>
      <c r="G898" s="49">
        <v>80176</v>
      </c>
      <c r="H898" s="73">
        <v>278</v>
      </c>
      <c r="I898" s="77">
        <v>283</v>
      </c>
      <c r="J898" s="73">
        <v>16767.149999999994</v>
      </c>
      <c r="K898" s="52">
        <v>11</v>
      </c>
      <c r="L898" s="51">
        <v>1419.28</v>
      </c>
      <c r="M898" s="77">
        <v>279</v>
      </c>
      <c r="N898" s="76">
        <v>65298.19</v>
      </c>
      <c r="O898" s="75">
        <v>246</v>
      </c>
      <c r="P898" s="74">
        <v>1889.3399999999983</v>
      </c>
      <c r="Q898" s="74">
        <v>503.73999999999995</v>
      </c>
      <c r="R898" s="53">
        <f t="shared" si="41"/>
        <v>4008.8</v>
      </c>
      <c r="S898" s="73">
        <v>16767.149999999987</v>
      </c>
    </row>
    <row r="899" spans="1:19" x14ac:dyDescent="0.25">
      <c r="A899" s="28"/>
      <c r="B899" s="45" t="str">
        <f t="shared" si="39"/>
        <v>May-2025</v>
      </c>
      <c r="C899" s="57">
        <v>45789</v>
      </c>
      <c r="D899" s="43">
        <f t="shared" si="40"/>
        <v>323</v>
      </c>
      <c r="E899" s="76"/>
      <c r="F899" s="50">
        <v>263</v>
      </c>
      <c r="G899" s="49">
        <v>89262</v>
      </c>
      <c r="H899" s="73">
        <v>257</v>
      </c>
      <c r="I899" s="77">
        <v>263</v>
      </c>
      <c r="J899" s="73">
        <v>22044.870000000017</v>
      </c>
      <c r="K899" s="52">
        <v>14</v>
      </c>
      <c r="L899" s="51">
        <v>1622.27</v>
      </c>
      <c r="M899" s="77">
        <v>320</v>
      </c>
      <c r="N899" s="76">
        <v>69644.210000000006</v>
      </c>
      <c r="O899" s="75">
        <v>276</v>
      </c>
      <c r="P899" s="74">
        <v>2427.0799999999963</v>
      </c>
      <c r="Q899" s="74">
        <v>624.08999999999992</v>
      </c>
      <c r="R899" s="53">
        <f t="shared" si="41"/>
        <v>4463.1000000000004</v>
      </c>
      <c r="S899" s="73">
        <v>22044.87</v>
      </c>
    </row>
    <row r="900" spans="1:19" x14ac:dyDescent="0.25">
      <c r="A900" s="28"/>
      <c r="B900" s="45" t="str">
        <f t="shared" si="39"/>
        <v>May-2025</v>
      </c>
      <c r="C900" s="57">
        <v>45790</v>
      </c>
      <c r="D900" s="43">
        <f t="shared" si="40"/>
        <v>322</v>
      </c>
      <c r="E900" s="76"/>
      <c r="F900" s="50">
        <v>230</v>
      </c>
      <c r="G900" s="49">
        <v>72906</v>
      </c>
      <c r="H900" s="73">
        <v>228</v>
      </c>
      <c r="I900" s="77">
        <v>230</v>
      </c>
      <c r="J900" s="73">
        <v>22524.500000000015</v>
      </c>
      <c r="K900" s="52">
        <v>7</v>
      </c>
      <c r="L900" s="51">
        <v>1254.1500000000001</v>
      </c>
      <c r="M900" s="77">
        <v>203</v>
      </c>
      <c r="N900" s="76">
        <v>52679.61</v>
      </c>
      <c r="O900" s="75">
        <v>193</v>
      </c>
      <c r="P900" s="74">
        <v>2298.1099999999983</v>
      </c>
      <c r="Q900" s="74">
        <v>467.18000000000006</v>
      </c>
      <c r="R900" s="53">
        <f t="shared" si="41"/>
        <v>3645.3</v>
      </c>
      <c r="S900" s="73">
        <v>22524.500000000011</v>
      </c>
    </row>
    <row r="901" spans="1:19" x14ac:dyDescent="0.25">
      <c r="A901" s="28"/>
      <c r="B901" s="45" t="str">
        <f t="shared" si="39"/>
        <v>May-2025</v>
      </c>
      <c r="C901" s="57">
        <v>45791</v>
      </c>
      <c r="D901" s="43">
        <f t="shared" si="40"/>
        <v>321</v>
      </c>
      <c r="E901" s="76"/>
      <c r="F901" s="50">
        <v>254</v>
      </c>
      <c r="G901" s="49">
        <v>100324</v>
      </c>
      <c r="H901" s="73">
        <v>250</v>
      </c>
      <c r="I901" s="77">
        <v>254</v>
      </c>
      <c r="J901" s="73">
        <v>27974.360000000041</v>
      </c>
      <c r="K901" s="52">
        <v>11</v>
      </c>
      <c r="L901" s="51">
        <v>2624.53</v>
      </c>
      <c r="M901" s="77">
        <v>225</v>
      </c>
      <c r="N901" s="76">
        <v>75214.16</v>
      </c>
      <c r="O901" s="75">
        <v>205</v>
      </c>
      <c r="P901" s="74">
        <v>2864.5199999999927</v>
      </c>
      <c r="Q901" s="74">
        <v>617.4899999999999</v>
      </c>
      <c r="R901" s="53">
        <f t="shared" si="41"/>
        <v>5016.2000000000007</v>
      </c>
      <c r="S901" s="73">
        <v>27974.360000000033</v>
      </c>
    </row>
    <row r="902" spans="1:19" x14ac:dyDescent="0.25">
      <c r="A902" s="28"/>
      <c r="B902" s="45" t="str">
        <f t="shared" si="39"/>
        <v>May-2025</v>
      </c>
      <c r="C902" s="57">
        <v>45792</v>
      </c>
      <c r="D902" s="43">
        <f t="shared" si="40"/>
        <v>320</v>
      </c>
      <c r="E902" s="76"/>
      <c r="F902" s="50">
        <v>262</v>
      </c>
      <c r="G902" s="49">
        <v>85305</v>
      </c>
      <c r="H902" s="73">
        <v>260</v>
      </c>
      <c r="I902" s="77">
        <v>262</v>
      </c>
      <c r="J902" s="73">
        <v>22981.679999999978</v>
      </c>
      <c r="K902" s="52">
        <v>13</v>
      </c>
      <c r="L902" s="51">
        <v>1291.22</v>
      </c>
      <c r="M902" s="77">
        <v>260</v>
      </c>
      <c r="N902" s="76">
        <v>64700.72</v>
      </c>
      <c r="O902" s="75">
        <v>240</v>
      </c>
      <c r="P902" s="74">
        <v>2377.3999999999983</v>
      </c>
      <c r="Q902" s="74">
        <v>535.61999999999989</v>
      </c>
      <c r="R902" s="53">
        <f t="shared" si="41"/>
        <v>4265.25</v>
      </c>
      <c r="S902" s="73">
        <v>22981.679999999989</v>
      </c>
    </row>
    <row r="903" spans="1:19" x14ac:dyDescent="0.25">
      <c r="A903" s="28"/>
      <c r="B903" s="45" t="str">
        <f t="shared" ref="B903:B966" si="42">TEXT(C903,"MMM-YYYY")</f>
        <v>May-2025</v>
      </c>
      <c r="C903" s="57">
        <v>45793</v>
      </c>
      <c r="D903" s="43">
        <f t="shared" ref="D903:D966" si="43">$A$1-C903</f>
        <v>319</v>
      </c>
      <c r="E903" s="76"/>
      <c r="F903" s="50">
        <v>269</v>
      </c>
      <c r="G903" s="49">
        <v>82612</v>
      </c>
      <c r="H903" s="73">
        <v>263</v>
      </c>
      <c r="I903" s="77">
        <v>269</v>
      </c>
      <c r="J903" s="73">
        <v>20683.189999999995</v>
      </c>
      <c r="K903" s="52">
        <v>17</v>
      </c>
      <c r="L903" s="51">
        <v>2323.3399999999997</v>
      </c>
      <c r="M903" s="77">
        <v>269</v>
      </c>
      <c r="N903" s="76">
        <v>64169.99</v>
      </c>
      <c r="O903" s="75">
        <v>235</v>
      </c>
      <c r="P903" s="74">
        <v>2241.1800000000003</v>
      </c>
      <c r="Q903" s="74">
        <v>574.22</v>
      </c>
      <c r="R903" s="53">
        <f t="shared" ref="R903:R966" si="44">G903*5%</f>
        <v>4130.6000000000004</v>
      </c>
      <c r="S903" s="73">
        <v>20683.189999999995</v>
      </c>
    </row>
    <row r="904" spans="1:19" x14ac:dyDescent="0.25">
      <c r="A904" s="28"/>
      <c r="B904" s="45" t="str">
        <f t="shared" si="42"/>
        <v>May-2025</v>
      </c>
      <c r="C904" s="57">
        <v>45794</v>
      </c>
      <c r="D904" s="43">
        <f t="shared" si="43"/>
        <v>318</v>
      </c>
      <c r="E904" s="76"/>
      <c r="F904" s="50">
        <v>225</v>
      </c>
      <c r="G904" s="49">
        <v>74699</v>
      </c>
      <c r="H904" s="73">
        <v>222</v>
      </c>
      <c r="I904" s="77">
        <v>225</v>
      </c>
      <c r="J904" s="73">
        <v>21884.930000000008</v>
      </c>
      <c r="K904" s="52">
        <v>7</v>
      </c>
      <c r="L904" s="51">
        <v>1099.21</v>
      </c>
      <c r="M904" s="77">
        <v>220</v>
      </c>
      <c r="N904" s="76">
        <v>55025.63</v>
      </c>
      <c r="O904" s="75">
        <v>199</v>
      </c>
      <c r="P904" s="74">
        <v>2211.5600000000018</v>
      </c>
      <c r="Q904" s="74">
        <v>461.77</v>
      </c>
      <c r="R904" s="53">
        <f t="shared" si="44"/>
        <v>3734.9500000000003</v>
      </c>
      <c r="S904" s="73">
        <v>21884.930000000011</v>
      </c>
    </row>
    <row r="905" spans="1:19" x14ac:dyDescent="0.25">
      <c r="A905" s="28"/>
      <c r="B905" s="45" t="str">
        <f t="shared" si="42"/>
        <v>May-2025</v>
      </c>
      <c r="C905" s="57">
        <v>45795</v>
      </c>
      <c r="D905" s="43">
        <f t="shared" si="43"/>
        <v>317</v>
      </c>
      <c r="E905" s="76"/>
      <c r="F905" s="50">
        <v>225</v>
      </c>
      <c r="G905" s="49">
        <v>70475</v>
      </c>
      <c r="H905" s="73">
        <v>218</v>
      </c>
      <c r="I905" s="77">
        <v>225</v>
      </c>
      <c r="J905" s="73">
        <v>20823.690000000002</v>
      </c>
      <c r="K905" s="52">
        <v>12</v>
      </c>
      <c r="L905" s="51">
        <v>1977.29</v>
      </c>
      <c r="M905" s="77">
        <v>246</v>
      </c>
      <c r="N905" s="76">
        <v>51730.59</v>
      </c>
      <c r="O905" s="75">
        <v>217</v>
      </c>
      <c r="P905" s="74">
        <v>2079.2800000000034</v>
      </c>
      <c r="Q905" s="74">
        <v>424.8599999999999</v>
      </c>
      <c r="R905" s="53">
        <f t="shared" si="44"/>
        <v>3523.75</v>
      </c>
      <c r="S905" s="73">
        <v>20823.689999999988</v>
      </c>
    </row>
    <row r="906" spans="1:19" x14ac:dyDescent="0.25">
      <c r="A906" s="28"/>
      <c r="B906" s="45" t="str">
        <f t="shared" si="42"/>
        <v>May-2025</v>
      </c>
      <c r="C906" s="57">
        <v>45796</v>
      </c>
      <c r="D906" s="43">
        <f t="shared" si="43"/>
        <v>316</v>
      </c>
      <c r="E906" s="76"/>
      <c r="F906" s="50">
        <v>203</v>
      </c>
      <c r="G906" s="49">
        <v>72513</v>
      </c>
      <c r="H906" s="73">
        <v>202</v>
      </c>
      <c r="I906" s="77">
        <v>203</v>
      </c>
      <c r="J906" s="73">
        <v>18073.599999999991</v>
      </c>
      <c r="K906" s="52">
        <v>11</v>
      </c>
      <c r="L906" s="51">
        <v>3055.6499999999996</v>
      </c>
      <c r="M906" s="77">
        <v>236</v>
      </c>
      <c r="N906" s="76">
        <v>56230.74</v>
      </c>
      <c r="O906" s="75">
        <v>197</v>
      </c>
      <c r="P906" s="74">
        <v>1791.339999999997</v>
      </c>
      <c r="Q906" s="74">
        <v>352.03000000000009</v>
      </c>
      <c r="R906" s="53">
        <f t="shared" si="44"/>
        <v>3625.65</v>
      </c>
      <c r="S906" s="73">
        <v>18073.599999999988</v>
      </c>
    </row>
    <row r="907" spans="1:19" x14ac:dyDescent="0.25">
      <c r="A907" s="28"/>
      <c r="B907" s="45" t="str">
        <f t="shared" si="42"/>
        <v>May-2025</v>
      </c>
      <c r="C907" s="57">
        <v>45797</v>
      </c>
      <c r="D907" s="43">
        <f t="shared" si="43"/>
        <v>315</v>
      </c>
      <c r="E907" s="76">
        <v>2</v>
      </c>
      <c r="F907" s="50">
        <v>245</v>
      </c>
      <c r="G907" s="49">
        <v>80585</v>
      </c>
      <c r="H907" s="73">
        <v>242</v>
      </c>
      <c r="I907" s="77">
        <v>245</v>
      </c>
      <c r="J907" s="73">
        <v>28517.230000000036</v>
      </c>
      <c r="K907" s="52">
        <v>7</v>
      </c>
      <c r="L907" s="51">
        <v>957.18999999999994</v>
      </c>
      <c r="M907" s="77">
        <v>212</v>
      </c>
      <c r="N907" s="76">
        <v>54705.45</v>
      </c>
      <c r="O907" s="75">
        <v>193</v>
      </c>
      <c r="P907" s="74">
        <v>2637.6800000000017</v>
      </c>
      <c r="Q907" s="74">
        <v>404</v>
      </c>
      <c r="R907" s="53">
        <f t="shared" si="44"/>
        <v>4029.25</v>
      </c>
      <c r="S907" s="73">
        <v>28517.230000000036</v>
      </c>
    </row>
    <row r="908" spans="1:19" x14ac:dyDescent="0.25">
      <c r="A908" s="28"/>
      <c r="B908" s="45" t="str">
        <f t="shared" si="42"/>
        <v>May-2025</v>
      </c>
      <c r="C908" s="57">
        <v>45798</v>
      </c>
      <c r="D908" s="43">
        <f t="shared" si="43"/>
        <v>314</v>
      </c>
      <c r="E908" s="76"/>
      <c r="F908" s="50">
        <v>266</v>
      </c>
      <c r="G908" s="49">
        <v>95997</v>
      </c>
      <c r="H908" s="73">
        <v>264</v>
      </c>
      <c r="I908" s="77">
        <v>266</v>
      </c>
      <c r="J908" s="73">
        <v>31299.099999999984</v>
      </c>
      <c r="K908" s="52">
        <v>11</v>
      </c>
      <c r="L908" s="51">
        <v>607.1</v>
      </c>
      <c r="M908" s="77">
        <v>270</v>
      </c>
      <c r="N908" s="76">
        <v>67706.429999999993</v>
      </c>
      <c r="O908" s="75">
        <v>250</v>
      </c>
      <c r="P908" s="74">
        <v>3008.5299999999984</v>
      </c>
      <c r="Q908" s="74">
        <v>544.65000000000009</v>
      </c>
      <c r="R908" s="53">
        <f t="shared" si="44"/>
        <v>4799.8500000000004</v>
      </c>
      <c r="S908" s="73">
        <v>31299.099999999991</v>
      </c>
    </row>
    <row r="909" spans="1:19" x14ac:dyDescent="0.25">
      <c r="A909" s="28"/>
      <c r="B909" s="45" t="str">
        <f t="shared" si="42"/>
        <v>May-2025</v>
      </c>
      <c r="C909" s="57">
        <v>45799</v>
      </c>
      <c r="D909" s="43">
        <f t="shared" si="43"/>
        <v>313</v>
      </c>
      <c r="E909" s="76"/>
      <c r="F909" s="50">
        <v>265</v>
      </c>
      <c r="G909" s="49">
        <v>91334</v>
      </c>
      <c r="H909" s="73">
        <v>265</v>
      </c>
      <c r="I909" s="77">
        <v>265</v>
      </c>
      <c r="J909" s="73">
        <v>25481.979999999981</v>
      </c>
      <c r="K909" s="52">
        <v>5</v>
      </c>
      <c r="L909" s="51">
        <v>886.17</v>
      </c>
      <c r="M909" s="77">
        <v>266</v>
      </c>
      <c r="N909" s="76">
        <v>68493.899999999994</v>
      </c>
      <c r="O909" s="75">
        <v>248</v>
      </c>
      <c r="P909" s="74">
        <v>2641.8799999999969</v>
      </c>
      <c r="Q909" s="74">
        <v>694.6600000000002</v>
      </c>
      <c r="R909" s="53">
        <f t="shared" si="44"/>
        <v>4566.7</v>
      </c>
      <c r="S909" s="73">
        <v>25481.979999999981</v>
      </c>
    </row>
    <row r="910" spans="1:19" x14ac:dyDescent="0.25">
      <c r="A910" s="28"/>
      <c r="B910" s="45" t="str">
        <f t="shared" si="42"/>
        <v>May-2025</v>
      </c>
      <c r="C910" s="57">
        <v>45800</v>
      </c>
      <c r="D910" s="43">
        <f t="shared" si="43"/>
        <v>312</v>
      </c>
      <c r="E910" s="76"/>
      <c r="F910" s="50">
        <v>257</v>
      </c>
      <c r="G910" s="49">
        <v>86365</v>
      </c>
      <c r="H910" s="73">
        <v>253</v>
      </c>
      <c r="I910" s="77">
        <v>257</v>
      </c>
      <c r="J910" s="73">
        <v>25298.610000000019</v>
      </c>
      <c r="K910" s="52">
        <v>12</v>
      </c>
      <c r="L910" s="51">
        <v>3150.69</v>
      </c>
      <c r="M910" s="77">
        <v>284</v>
      </c>
      <c r="N910" s="76">
        <v>63500.35</v>
      </c>
      <c r="O910" s="75">
        <v>249</v>
      </c>
      <c r="P910" s="74">
        <v>2433.9599999999973</v>
      </c>
      <c r="Q910" s="74">
        <v>468.71000000000015</v>
      </c>
      <c r="R910" s="53">
        <f t="shared" si="44"/>
        <v>4318.25</v>
      </c>
      <c r="S910" s="73">
        <v>25298.610000000022</v>
      </c>
    </row>
    <row r="911" spans="1:19" x14ac:dyDescent="0.25">
      <c r="A911" s="28"/>
      <c r="B911" s="45" t="str">
        <f t="shared" si="42"/>
        <v>May-2025</v>
      </c>
      <c r="C911" s="57">
        <v>45801</v>
      </c>
      <c r="D911" s="43">
        <f t="shared" si="43"/>
        <v>311</v>
      </c>
      <c r="E911" s="76"/>
      <c r="F911" s="50">
        <v>211</v>
      </c>
      <c r="G911" s="49">
        <v>72149</v>
      </c>
      <c r="H911" s="73">
        <v>204</v>
      </c>
      <c r="I911" s="77">
        <v>211</v>
      </c>
      <c r="J911" s="73">
        <v>19136.109999999993</v>
      </c>
      <c r="K911" s="52">
        <v>14</v>
      </c>
      <c r="L911" s="51">
        <v>3990.8500000000004</v>
      </c>
      <c r="M911" s="77">
        <v>199</v>
      </c>
      <c r="N911" s="76">
        <v>54881.75</v>
      </c>
      <c r="O911" s="75">
        <v>179</v>
      </c>
      <c r="P911" s="74">
        <v>1868.8599999999972</v>
      </c>
      <c r="Q911" s="74">
        <v>365.30999999999989</v>
      </c>
      <c r="R911" s="53">
        <f t="shared" si="44"/>
        <v>3607.4500000000003</v>
      </c>
      <c r="S911" s="73">
        <v>19136.109999999986</v>
      </c>
    </row>
    <row r="912" spans="1:19" x14ac:dyDescent="0.25">
      <c r="A912" s="28"/>
      <c r="B912" s="45" t="str">
        <f t="shared" si="42"/>
        <v>May-2025</v>
      </c>
      <c r="C912" s="57">
        <v>45802</v>
      </c>
      <c r="D912" s="43">
        <f t="shared" si="43"/>
        <v>310</v>
      </c>
      <c r="E912" s="76"/>
      <c r="F912" s="50">
        <v>222</v>
      </c>
      <c r="G912" s="49">
        <v>72820</v>
      </c>
      <c r="H912" s="73">
        <v>220</v>
      </c>
      <c r="I912" s="77">
        <v>222</v>
      </c>
      <c r="J912" s="73">
        <v>20719.399999999991</v>
      </c>
      <c r="K912" s="52">
        <v>10</v>
      </c>
      <c r="L912" s="51">
        <v>1274.1199999999999</v>
      </c>
      <c r="M912" s="77">
        <v>196</v>
      </c>
      <c r="N912" s="76">
        <v>54072.98</v>
      </c>
      <c r="O912" s="75">
        <v>181</v>
      </c>
      <c r="P912" s="74">
        <v>1972.3800000000006</v>
      </c>
      <c r="Q912" s="74">
        <v>349.01999999999992</v>
      </c>
      <c r="R912" s="53">
        <f t="shared" si="44"/>
        <v>3641</v>
      </c>
      <c r="S912" s="73">
        <v>20719.399999999991</v>
      </c>
    </row>
    <row r="913" spans="1:19" x14ac:dyDescent="0.25">
      <c r="A913" s="28"/>
      <c r="B913" s="45" t="str">
        <f t="shared" si="42"/>
        <v>May-2025</v>
      </c>
      <c r="C913" s="57">
        <v>45803</v>
      </c>
      <c r="D913" s="43">
        <f t="shared" si="43"/>
        <v>309</v>
      </c>
      <c r="E913" s="76"/>
      <c r="F913" s="50">
        <v>180</v>
      </c>
      <c r="G913" s="49">
        <v>65257</v>
      </c>
      <c r="H913" s="73">
        <v>178</v>
      </c>
      <c r="I913" s="77">
        <v>180</v>
      </c>
      <c r="J913" s="73">
        <v>18303.860000000004</v>
      </c>
      <c r="K913" s="52">
        <v>5</v>
      </c>
      <c r="L913" s="51">
        <v>3050.67</v>
      </c>
      <c r="M913" s="77">
        <v>198</v>
      </c>
      <c r="N913" s="76">
        <v>48827.21</v>
      </c>
      <c r="O913" s="75">
        <v>177</v>
      </c>
      <c r="P913" s="74">
        <v>1874.0700000000006</v>
      </c>
      <c r="Q913" s="74">
        <v>449.86999999999989</v>
      </c>
      <c r="R913" s="53">
        <f t="shared" si="44"/>
        <v>3262.8500000000004</v>
      </c>
      <c r="S913" s="73">
        <v>18303.86</v>
      </c>
    </row>
    <row r="914" spans="1:19" x14ac:dyDescent="0.25">
      <c r="A914" s="28"/>
      <c r="B914" s="45" t="str">
        <f t="shared" si="42"/>
        <v>May-2025</v>
      </c>
      <c r="C914" s="57">
        <v>45804</v>
      </c>
      <c r="D914" s="43">
        <f t="shared" si="43"/>
        <v>308</v>
      </c>
      <c r="E914" s="76"/>
      <c r="F914" s="50">
        <v>181</v>
      </c>
      <c r="G914" s="49">
        <v>67719</v>
      </c>
      <c r="H914" s="73">
        <v>180</v>
      </c>
      <c r="I914" s="77">
        <v>181</v>
      </c>
      <c r="J914" s="73">
        <v>16261.43</v>
      </c>
      <c r="K914" s="52">
        <v>6</v>
      </c>
      <c r="L914" s="51">
        <v>1495.3</v>
      </c>
      <c r="M914" s="77">
        <v>178</v>
      </c>
      <c r="N914" s="76">
        <v>53124.75</v>
      </c>
      <c r="O914" s="75">
        <v>165</v>
      </c>
      <c r="P914" s="74">
        <v>1667.1799999999989</v>
      </c>
      <c r="Q914" s="74">
        <v>397.15</v>
      </c>
      <c r="R914" s="53">
        <f t="shared" si="44"/>
        <v>3385.9500000000003</v>
      </c>
      <c r="S914" s="73">
        <v>16261.430000000002</v>
      </c>
    </row>
    <row r="915" spans="1:19" x14ac:dyDescent="0.25">
      <c r="A915" s="28"/>
      <c r="B915" s="45" t="str">
        <f t="shared" si="42"/>
        <v>May-2025</v>
      </c>
      <c r="C915" s="57">
        <v>45805</v>
      </c>
      <c r="D915" s="43">
        <f t="shared" si="43"/>
        <v>307</v>
      </c>
      <c r="E915" s="76"/>
      <c r="F915" s="50">
        <v>222</v>
      </c>
      <c r="G915" s="49">
        <v>80530</v>
      </c>
      <c r="H915" s="73">
        <v>219</v>
      </c>
      <c r="I915" s="77">
        <v>222</v>
      </c>
      <c r="J915" s="73">
        <v>22789.900000000005</v>
      </c>
      <c r="K915" s="52">
        <v>9</v>
      </c>
      <c r="L915" s="51">
        <v>1629.34</v>
      </c>
      <c r="M915" s="77">
        <v>240</v>
      </c>
      <c r="N915" s="76">
        <v>60001.97</v>
      </c>
      <c r="O915" s="75">
        <v>211</v>
      </c>
      <c r="P915" s="74">
        <v>2261.8700000000022</v>
      </c>
      <c r="Q915" s="74">
        <v>536.11999999999978</v>
      </c>
      <c r="R915" s="53">
        <f t="shared" si="44"/>
        <v>4026.5</v>
      </c>
      <c r="S915" s="73">
        <v>22789.900000000005</v>
      </c>
    </row>
    <row r="916" spans="1:19" x14ac:dyDescent="0.25">
      <c r="A916" s="28"/>
      <c r="B916" s="45" t="str">
        <f t="shared" si="42"/>
        <v>May-2025</v>
      </c>
      <c r="C916" s="57">
        <v>45806</v>
      </c>
      <c r="D916" s="43">
        <f t="shared" si="43"/>
        <v>306</v>
      </c>
      <c r="E916" s="76">
        <v>1</v>
      </c>
      <c r="F916" s="50">
        <v>247</v>
      </c>
      <c r="G916" s="49">
        <v>102965</v>
      </c>
      <c r="H916" s="73">
        <v>245</v>
      </c>
      <c r="I916" s="77">
        <v>247</v>
      </c>
      <c r="J916" s="73">
        <v>38125.520000000033</v>
      </c>
      <c r="K916" s="52">
        <v>7</v>
      </c>
      <c r="L916" s="51">
        <v>1687.2599999999998</v>
      </c>
      <c r="M916" s="77">
        <v>224</v>
      </c>
      <c r="N916" s="76">
        <v>68232.160000000003</v>
      </c>
      <c r="O916" s="75">
        <v>199</v>
      </c>
      <c r="P916" s="74">
        <v>3392.6799999999994</v>
      </c>
      <c r="Q916" s="74">
        <v>497.24999999999994</v>
      </c>
      <c r="R916" s="53">
        <f t="shared" si="44"/>
        <v>5148.25</v>
      </c>
      <c r="S916" s="73">
        <v>38125.520000000026</v>
      </c>
    </row>
    <row r="917" spans="1:19" x14ac:dyDescent="0.25">
      <c r="A917" s="28"/>
      <c r="B917" s="45" t="str">
        <f t="shared" si="42"/>
        <v>May-2025</v>
      </c>
      <c r="C917" s="57">
        <v>45807</v>
      </c>
      <c r="D917" s="43">
        <f t="shared" si="43"/>
        <v>305</v>
      </c>
      <c r="E917" s="76"/>
      <c r="F917" s="50">
        <v>307</v>
      </c>
      <c r="G917" s="49">
        <v>110346</v>
      </c>
      <c r="H917" s="73">
        <v>306</v>
      </c>
      <c r="I917" s="77">
        <v>307</v>
      </c>
      <c r="J917" s="73">
        <v>46577.22</v>
      </c>
      <c r="K917" s="52">
        <v>9</v>
      </c>
      <c r="L917" s="51">
        <v>3350.7200000000003</v>
      </c>
      <c r="M917" s="77">
        <v>285</v>
      </c>
      <c r="N917" s="76">
        <v>67931.710000000006</v>
      </c>
      <c r="O917" s="75">
        <v>248</v>
      </c>
      <c r="P917" s="74">
        <v>4162.9299999999921</v>
      </c>
      <c r="Q917" s="74">
        <v>665.22000000000014</v>
      </c>
      <c r="R917" s="53">
        <f t="shared" si="44"/>
        <v>5517.3</v>
      </c>
      <c r="S917" s="73">
        <v>46577.220000000008</v>
      </c>
    </row>
    <row r="918" spans="1:19" x14ac:dyDescent="0.25">
      <c r="A918" s="28"/>
      <c r="B918" s="45" t="str">
        <f t="shared" si="42"/>
        <v>May-2025</v>
      </c>
      <c r="C918" s="57">
        <v>45808</v>
      </c>
      <c r="D918" s="43">
        <f t="shared" si="43"/>
        <v>304</v>
      </c>
      <c r="E918" s="76"/>
      <c r="F918" s="50">
        <v>261</v>
      </c>
      <c r="G918" s="49">
        <v>82224</v>
      </c>
      <c r="H918" s="73">
        <v>260</v>
      </c>
      <c r="I918" s="77">
        <v>261</v>
      </c>
      <c r="J918" s="73">
        <v>31924.979999999996</v>
      </c>
      <c r="K918" s="52">
        <v>7</v>
      </c>
      <c r="L918" s="51">
        <v>1921.37</v>
      </c>
      <c r="M918" s="77">
        <v>267</v>
      </c>
      <c r="N918" s="76">
        <v>53264.55</v>
      </c>
      <c r="O918" s="75">
        <v>223</v>
      </c>
      <c r="P918" s="74">
        <v>2965.5300000000016</v>
      </c>
      <c r="Q918" s="74">
        <v>541</v>
      </c>
      <c r="R918" s="53">
        <f t="shared" si="44"/>
        <v>4111.2</v>
      </c>
      <c r="S918" s="73">
        <v>31924.980000000007</v>
      </c>
    </row>
    <row r="919" spans="1:19" x14ac:dyDescent="0.25">
      <c r="A919" s="28"/>
      <c r="B919" s="45" t="str">
        <f t="shared" si="42"/>
        <v>Jun-2025</v>
      </c>
      <c r="C919" s="57">
        <v>45809</v>
      </c>
      <c r="D919" s="43">
        <f t="shared" si="43"/>
        <v>303</v>
      </c>
      <c r="E919" s="76"/>
      <c r="F919" s="50">
        <v>283</v>
      </c>
      <c r="G919" s="49">
        <v>97233</v>
      </c>
      <c r="H919" s="73">
        <v>280</v>
      </c>
      <c r="I919" s="77">
        <v>283</v>
      </c>
      <c r="J919" s="73">
        <v>34354.900000000016</v>
      </c>
      <c r="K919" s="52">
        <v>8</v>
      </c>
      <c r="L919" s="51">
        <v>1215.1999999999998</v>
      </c>
      <c r="M919" s="77">
        <v>272</v>
      </c>
      <c r="N919" s="76">
        <v>66069.149999999994</v>
      </c>
      <c r="O919" s="75">
        <v>249</v>
      </c>
      <c r="P919" s="74">
        <v>3191.0499999999988</v>
      </c>
      <c r="Q919" s="74">
        <v>585.34</v>
      </c>
      <c r="R919" s="53">
        <f t="shared" si="44"/>
        <v>4861.6500000000005</v>
      </c>
      <c r="S919" s="73">
        <v>34354.900000000016</v>
      </c>
    </row>
    <row r="920" spans="1:19" x14ac:dyDescent="0.25">
      <c r="A920" s="28"/>
      <c r="B920" s="45" t="str">
        <f t="shared" si="42"/>
        <v>Jun-2025</v>
      </c>
      <c r="C920" s="57">
        <v>45810</v>
      </c>
      <c r="D920" s="43">
        <f t="shared" si="43"/>
        <v>302</v>
      </c>
      <c r="E920" s="76"/>
      <c r="F920" s="50">
        <v>229</v>
      </c>
      <c r="G920" s="49">
        <v>79492</v>
      </c>
      <c r="H920" s="73">
        <v>226</v>
      </c>
      <c r="I920" s="77">
        <v>229</v>
      </c>
      <c r="J920" s="73">
        <v>21144.509999999995</v>
      </c>
      <c r="K920" s="52">
        <v>8</v>
      </c>
      <c r="L920" s="51">
        <v>1100.21</v>
      </c>
      <c r="M920" s="77">
        <v>213</v>
      </c>
      <c r="N920" s="76">
        <v>60294.23</v>
      </c>
      <c r="O920" s="75">
        <v>194</v>
      </c>
      <c r="P920" s="74">
        <v>1946.7399999999998</v>
      </c>
      <c r="Q920" s="74">
        <v>352.32000000000011</v>
      </c>
      <c r="R920" s="53">
        <f t="shared" si="44"/>
        <v>3974.6000000000004</v>
      </c>
      <c r="S920" s="73">
        <v>21144.509999999995</v>
      </c>
    </row>
    <row r="921" spans="1:19" x14ac:dyDescent="0.25">
      <c r="A921" s="28"/>
      <c r="B921" s="45" t="str">
        <f t="shared" si="42"/>
        <v>Jun-2025</v>
      </c>
      <c r="C921" s="57">
        <v>45811</v>
      </c>
      <c r="D921" s="43">
        <f t="shared" si="43"/>
        <v>301</v>
      </c>
      <c r="E921" s="76">
        <v>1</v>
      </c>
      <c r="F921" s="50">
        <v>185</v>
      </c>
      <c r="G921" s="49">
        <v>63460</v>
      </c>
      <c r="H921" s="73">
        <v>184</v>
      </c>
      <c r="I921" s="77">
        <v>185</v>
      </c>
      <c r="J921" s="73">
        <v>15078.879999999996</v>
      </c>
      <c r="K921" s="52">
        <v>5</v>
      </c>
      <c r="L921" s="51">
        <v>900.18999999999994</v>
      </c>
      <c r="M921" s="77">
        <v>190</v>
      </c>
      <c r="N921" s="76">
        <v>49888.5</v>
      </c>
      <c r="O921" s="75">
        <v>157</v>
      </c>
      <c r="P921" s="74">
        <v>1507.3800000000008</v>
      </c>
      <c r="Q921" s="74">
        <v>353.4</v>
      </c>
      <c r="R921" s="53">
        <f t="shared" si="44"/>
        <v>3173</v>
      </c>
      <c r="S921" s="73">
        <v>15078.879999999985</v>
      </c>
    </row>
    <row r="922" spans="1:19" x14ac:dyDescent="0.25">
      <c r="A922" s="28"/>
      <c r="B922" s="45" t="str">
        <f t="shared" si="42"/>
        <v>Jun-2025</v>
      </c>
      <c r="C922" s="57">
        <v>45812</v>
      </c>
      <c r="D922" s="43">
        <f t="shared" si="43"/>
        <v>300</v>
      </c>
      <c r="E922" s="76"/>
      <c r="F922" s="50">
        <v>206</v>
      </c>
      <c r="G922" s="49">
        <v>81600</v>
      </c>
      <c r="H922" s="73">
        <v>202</v>
      </c>
      <c r="I922" s="77">
        <v>206</v>
      </c>
      <c r="J922" s="73">
        <v>18634.34</v>
      </c>
      <c r="K922" s="52">
        <v>10</v>
      </c>
      <c r="L922" s="51">
        <v>4525.82</v>
      </c>
      <c r="M922" s="77">
        <v>212</v>
      </c>
      <c r="N922" s="76">
        <v>64987.45</v>
      </c>
      <c r="O922" s="75">
        <v>193</v>
      </c>
      <c r="P922" s="74">
        <v>2021.7899999999995</v>
      </c>
      <c r="Q922" s="74">
        <v>609.55000000000007</v>
      </c>
      <c r="R922" s="53">
        <f t="shared" si="44"/>
        <v>4080</v>
      </c>
      <c r="S922" s="73">
        <v>18634.34</v>
      </c>
    </row>
    <row r="923" spans="1:19" x14ac:dyDescent="0.25">
      <c r="A923" s="28"/>
      <c r="B923" s="45" t="str">
        <f t="shared" si="42"/>
        <v>Jun-2025</v>
      </c>
      <c r="C923" s="57">
        <v>45813</v>
      </c>
      <c r="D923" s="43">
        <f t="shared" si="43"/>
        <v>299</v>
      </c>
      <c r="E923" s="76"/>
      <c r="F923" s="50">
        <v>233</v>
      </c>
      <c r="G923" s="49">
        <v>84282</v>
      </c>
      <c r="H923" s="73">
        <v>227</v>
      </c>
      <c r="I923" s="77">
        <v>233</v>
      </c>
      <c r="J923" s="73">
        <v>17899.059999999994</v>
      </c>
      <c r="K923" s="52">
        <v>8</v>
      </c>
      <c r="L923" s="51">
        <v>1300.23</v>
      </c>
      <c r="M923" s="77">
        <v>249</v>
      </c>
      <c r="N923" s="76">
        <v>68275.89</v>
      </c>
      <c r="O923" s="75">
        <v>231</v>
      </c>
      <c r="P923" s="74">
        <v>1892.95</v>
      </c>
      <c r="Q923" s="74">
        <v>560.95999999999992</v>
      </c>
      <c r="R923" s="53">
        <f t="shared" si="44"/>
        <v>4214.1000000000004</v>
      </c>
      <c r="S923" s="73">
        <v>17899.060000000001</v>
      </c>
    </row>
    <row r="924" spans="1:19" x14ac:dyDescent="0.25">
      <c r="A924" s="28"/>
      <c r="B924" s="45" t="str">
        <f t="shared" si="42"/>
        <v>Jun-2025</v>
      </c>
      <c r="C924" s="57">
        <v>45814</v>
      </c>
      <c r="D924" s="43">
        <f t="shared" si="43"/>
        <v>298</v>
      </c>
      <c r="E924" s="76"/>
      <c r="F924" s="50">
        <v>223</v>
      </c>
      <c r="G924" s="49">
        <v>83985</v>
      </c>
      <c r="H924" s="73">
        <v>222</v>
      </c>
      <c r="I924" s="77">
        <v>223</v>
      </c>
      <c r="J924" s="73">
        <v>17473.610000000008</v>
      </c>
      <c r="K924" s="52">
        <v>7</v>
      </c>
      <c r="L924" s="51">
        <v>1340.14</v>
      </c>
      <c r="M924" s="77">
        <v>245</v>
      </c>
      <c r="N924" s="76">
        <v>68407.649999999994</v>
      </c>
      <c r="O924" s="75">
        <v>222</v>
      </c>
      <c r="P924" s="74">
        <v>1896.2599999999979</v>
      </c>
      <c r="Q924" s="74">
        <v>561.82999999999993</v>
      </c>
      <c r="R924" s="53">
        <f t="shared" si="44"/>
        <v>4199.25</v>
      </c>
      <c r="S924" s="73">
        <v>17473.610000000022</v>
      </c>
    </row>
    <row r="925" spans="1:19" x14ac:dyDescent="0.25">
      <c r="A925" s="28"/>
      <c r="B925" s="45" t="str">
        <f t="shared" si="42"/>
        <v>Jun-2025</v>
      </c>
      <c r="C925" s="57">
        <v>45815</v>
      </c>
      <c r="D925" s="43">
        <f t="shared" si="43"/>
        <v>297</v>
      </c>
      <c r="E925" s="76">
        <v>1</v>
      </c>
      <c r="F925" s="50">
        <v>206</v>
      </c>
      <c r="G925" s="49">
        <v>70045</v>
      </c>
      <c r="H925" s="73">
        <v>202</v>
      </c>
      <c r="I925" s="77">
        <v>206</v>
      </c>
      <c r="J925" s="73">
        <v>17493.710000000003</v>
      </c>
      <c r="K925" s="52">
        <v>13</v>
      </c>
      <c r="L925" s="51">
        <v>1255.22</v>
      </c>
      <c r="M925" s="77">
        <v>216</v>
      </c>
      <c r="N925" s="76">
        <v>54214.68</v>
      </c>
      <c r="O925" s="75">
        <v>188</v>
      </c>
      <c r="P925" s="74">
        <v>1663.39</v>
      </c>
      <c r="Q925" s="74">
        <v>343.97000000000008</v>
      </c>
      <c r="R925" s="53">
        <f t="shared" si="44"/>
        <v>3502.25</v>
      </c>
      <c r="S925" s="73">
        <v>17493.71</v>
      </c>
    </row>
    <row r="926" spans="1:19" x14ac:dyDescent="0.25">
      <c r="A926" s="28"/>
      <c r="B926" s="45" t="str">
        <f t="shared" si="42"/>
        <v>Jun-2025</v>
      </c>
      <c r="C926" s="57">
        <v>45816</v>
      </c>
      <c r="D926" s="43">
        <f t="shared" si="43"/>
        <v>296</v>
      </c>
      <c r="E926" s="76"/>
      <c r="F926" s="50">
        <v>226</v>
      </c>
      <c r="G926" s="49">
        <v>75601</v>
      </c>
      <c r="H926" s="73">
        <v>223</v>
      </c>
      <c r="I926" s="77">
        <v>226</v>
      </c>
      <c r="J926" s="73">
        <v>18698.490000000005</v>
      </c>
      <c r="K926" s="52">
        <v>6</v>
      </c>
      <c r="L926" s="51">
        <v>1400.1999999999998</v>
      </c>
      <c r="M926" s="77">
        <v>247</v>
      </c>
      <c r="N926" s="76">
        <v>58767.21</v>
      </c>
      <c r="O926" s="75">
        <v>232</v>
      </c>
      <c r="P926" s="74">
        <v>1864.6999999999982</v>
      </c>
      <c r="Q926" s="74">
        <v>513.04999999999995</v>
      </c>
      <c r="R926" s="53">
        <f t="shared" si="44"/>
        <v>3780.05</v>
      </c>
      <c r="S926" s="73">
        <v>18698.490000000002</v>
      </c>
    </row>
    <row r="927" spans="1:19" x14ac:dyDescent="0.25">
      <c r="A927" s="28"/>
      <c r="B927" s="45" t="str">
        <f t="shared" si="42"/>
        <v>Jun-2025</v>
      </c>
      <c r="C927" s="57">
        <v>45817</v>
      </c>
      <c r="D927" s="43">
        <f t="shared" si="43"/>
        <v>295</v>
      </c>
      <c r="E927" s="76"/>
      <c r="F927" s="50">
        <v>268</v>
      </c>
      <c r="G927" s="49">
        <v>96627</v>
      </c>
      <c r="H927" s="73">
        <v>260</v>
      </c>
      <c r="I927" s="77">
        <v>268</v>
      </c>
      <c r="J927" s="73">
        <v>32756.129999999968</v>
      </c>
      <c r="K927" s="52">
        <v>13</v>
      </c>
      <c r="L927" s="51">
        <v>2092.37</v>
      </c>
      <c r="M927" s="77">
        <v>288</v>
      </c>
      <c r="N927" s="76">
        <v>66826.649999999994</v>
      </c>
      <c r="O927" s="75">
        <v>250</v>
      </c>
      <c r="P927" s="74">
        <v>2955.779999999997</v>
      </c>
      <c r="Q927" s="74">
        <v>554.09999999999968</v>
      </c>
      <c r="R927" s="53">
        <f t="shared" si="44"/>
        <v>4831.3500000000004</v>
      </c>
      <c r="S927" s="73">
        <v>32756.129999999954</v>
      </c>
    </row>
    <row r="928" spans="1:19" x14ac:dyDescent="0.25">
      <c r="A928" s="28"/>
      <c r="B928" s="45" t="str">
        <f t="shared" si="42"/>
        <v>Jun-2025</v>
      </c>
      <c r="C928" s="57">
        <v>45818</v>
      </c>
      <c r="D928" s="43">
        <f t="shared" si="43"/>
        <v>294</v>
      </c>
      <c r="E928" s="76"/>
      <c r="F928" s="50">
        <v>230</v>
      </c>
      <c r="G928" s="49">
        <v>82408</v>
      </c>
      <c r="H928" s="73">
        <v>227</v>
      </c>
      <c r="I928" s="77">
        <v>230</v>
      </c>
      <c r="J928" s="73">
        <v>24339.979999999992</v>
      </c>
      <c r="K928" s="52">
        <v>6</v>
      </c>
      <c r="L928" s="51">
        <v>1278.27</v>
      </c>
      <c r="M928" s="77">
        <v>256</v>
      </c>
      <c r="N928" s="76">
        <v>60394.81</v>
      </c>
      <c r="O928" s="75">
        <v>236</v>
      </c>
      <c r="P928" s="74">
        <v>2326.7899999999991</v>
      </c>
      <c r="Q928" s="74">
        <v>542.52999999999986</v>
      </c>
      <c r="R928" s="53">
        <f t="shared" si="44"/>
        <v>4120.4000000000005</v>
      </c>
      <c r="S928" s="73">
        <v>24339.979999999992</v>
      </c>
    </row>
    <row r="929" spans="1:19" x14ac:dyDescent="0.25">
      <c r="A929" s="28"/>
      <c r="B929" s="45" t="str">
        <f t="shared" si="42"/>
        <v>Jun-2025</v>
      </c>
      <c r="C929" s="57">
        <v>45819</v>
      </c>
      <c r="D929" s="43">
        <f t="shared" si="43"/>
        <v>293</v>
      </c>
      <c r="E929" s="76"/>
      <c r="F929" s="50">
        <v>202</v>
      </c>
      <c r="G929" s="49">
        <v>78248</v>
      </c>
      <c r="H929" s="73">
        <v>201</v>
      </c>
      <c r="I929" s="77">
        <v>202</v>
      </c>
      <c r="J929" s="73">
        <v>22892.210000000014</v>
      </c>
      <c r="K929" s="52">
        <v>5</v>
      </c>
      <c r="L929" s="51">
        <v>1155.21</v>
      </c>
      <c r="M929" s="77">
        <v>188</v>
      </c>
      <c r="N929" s="76">
        <v>57373.14</v>
      </c>
      <c r="O929" s="75">
        <v>168</v>
      </c>
      <c r="P929" s="74">
        <v>2017.35</v>
      </c>
      <c r="Q929" s="74">
        <v>342.42000000000013</v>
      </c>
      <c r="R929" s="53">
        <f t="shared" si="44"/>
        <v>3912.4</v>
      </c>
      <c r="S929" s="73">
        <v>22892.210000000017</v>
      </c>
    </row>
    <row r="930" spans="1:19" x14ac:dyDescent="0.25">
      <c r="A930" s="28"/>
      <c r="B930" s="45" t="str">
        <f t="shared" si="42"/>
        <v>Jun-2025</v>
      </c>
      <c r="C930" s="57">
        <v>45820</v>
      </c>
      <c r="D930" s="43">
        <f t="shared" si="43"/>
        <v>292</v>
      </c>
      <c r="E930" s="76">
        <v>1</v>
      </c>
      <c r="F930" s="50">
        <v>204</v>
      </c>
      <c r="G930" s="49">
        <v>65580</v>
      </c>
      <c r="H930" s="73">
        <v>201</v>
      </c>
      <c r="I930" s="77">
        <v>204</v>
      </c>
      <c r="J930" s="73">
        <v>19782.259999999998</v>
      </c>
      <c r="K930" s="52">
        <v>8</v>
      </c>
      <c r="L930" s="51">
        <v>3150.6899999999996</v>
      </c>
      <c r="M930" s="77">
        <v>216</v>
      </c>
      <c r="N930" s="76">
        <v>47662.41</v>
      </c>
      <c r="O930" s="75">
        <v>190</v>
      </c>
      <c r="P930" s="74">
        <v>1876.6699999999998</v>
      </c>
      <c r="Q930" s="74">
        <v>407.30000000000007</v>
      </c>
      <c r="R930" s="53">
        <f t="shared" si="44"/>
        <v>3279</v>
      </c>
      <c r="S930" s="73">
        <v>19782.259999999991</v>
      </c>
    </row>
    <row r="931" spans="1:19" x14ac:dyDescent="0.25">
      <c r="A931" s="28"/>
      <c r="B931" s="45" t="str">
        <f t="shared" si="42"/>
        <v>Jun-2025</v>
      </c>
      <c r="C931" s="57">
        <v>45821</v>
      </c>
      <c r="D931" s="43">
        <f t="shared" si="43"/>
        <v>291</v>
      </c>
      <c r="E931" s="76"/>
      <c r="F931" s="50">
        <v>222</v>
      </c>
      <c r="G931" s="49">
        <v>76650</v>
      </c>
      <c r="H931" s="73">
        <v>221</v>
      </c>
      <c r="I931" s="77">
        <v>222</v>
      </c>
      <c r="J931" s="73">
        <v>22466.839999999982</v>
      </c>
      <c r="K931" s="52">
        <v>6</v>
      </c>
      <c r="L931" s="51">
        <v>1280.26</v>
      </c>
      <c r="M931" s="77">
        <v>251</v>
      </c>
      <c r="N931" s="76">
        <v>56270.77</v>
      </c>
      <c r="O931" s="75">
        <v>213</v>
      </c>
      <c r="P931" s="74">
        <v>2087.610000000001</v>
      </c>
      <c r="Q931" s="74">
        <v>435.63000000000005</v>
      </c>
      <c r="R931" s="53">
        <f t="shared" si="44"/>
        <v>3832.5</v>
      </c>
      <c r="S931" s="73">
        <v>22466.839999999978</v>
      </c>
    </row>
    <row r="932" spans="1:19" x14ac:dyDescent="0.25">
      <c r="A932" s="28"/>
      <c r="B932" s="45" t="str">
        <f t="shared" si="42"/>
        <v>Jun-2025</v>
      </c>
      <c r="C932" s="57">
        <v>45822</v>
      </c>
      <c r="D932" s="43">
        <f t="shared" si="43"/>
        <v>290</v>
      </c>
      <c r="E932" s="76"/>
      <c r="F932" s="50">
        <v>194</v>
      </c>
      <c r="G932" s="49">
        <v>74936</v>
      </c>
      <c r="H932" s="73">
        <v>192</v>
      </c>
      <c r="I932" s="77">
        <v>194</v>
      </c>
      <c r="J932" s="73">
        <v>20767.670000000006</v>
      </c>
      <c r="K932" s="52">
        <v>8</v>
      </c>
      <c r="L932" s="51">
        <v>950.18999999999994</v>
      </c>
      <c r="M932" s="77">
        <v>157</v>
      </c>
      <c r="N932" s="76">
        <v>56072.06</v>
      </c>
      <c r="O932" s="75">
        <v>151</v>
      </c>
      <c r="P932" s="74">
        <v>1903.7300000000018</v>
      </c>
      <c r="Q932" s="74">
        <v>377.82999999999993</v>
      </c>
      <c r="R932" s="53">
        <f t="shared" si="44"/>
        <v>3746.8</v>
      </c>
      <c r="S932" s="73">
        <v>20767.670000000013</v>
      </c>
    </row>
    <row r="933" spans="1:19" x14ac:dyDescent="0.25">
      <c r="A933" s="28"/>
      <c r="B933" s="45" t="str">
        <f t="shared" si="42"/>
        <v>Jun-2025</v>
      </c>
      <c r="C933" s="57">
        <v>45823</v>
      </c>
      <c r="D933" s="43">
        <f t="shared" si="43"/>
        <v>289</v>
      </c>
      <c r="E933" s="76"/>
      <c r="F933" s="50">
        <v>196</v>
      </c>
      <c r="G933" s="49">
        <v>66855</v>
      </c>
      <c r="H933" s="73">
        <v>193</v>
      </c>
      <c r="I933" s="77">
        <v>196</v>
      </c>
      <c r="J933" s="73">
        <v>18739.37000000001</v>
      </c>
      <c r="K933" s="52">
        <v>8</v>
      </c>
      <c r="L933" s="51">
        <v>1926.3899999999999</v>
      </c>
      <c r="M933" s="77">
        <v>209</v>
      </c>
      <c r="N933" s="76">
        <v>49930.94</v>
      </c>
      <c r="O933" s="75">
        <v>184</v>
      </c>
      <c r="P933" s="74">
        <v>1815.3099999999993</v>
      </c>
      <c r="Q933" s="74">
        <v>425.49999999999977</v>
      </c>
      <c r="R933" s="53">
        <f t="shared" si="44"/>
        <v>3342.75</v>
      </c>
      <c r="S933" s="73">
        <v>18739.37000000001</v>
      </c>
    </row>
    <row r="934" spans="1:19" x14ac:dyDescent="0.25">
      <c r="A934" s="28"/>
      <c r="B934" s="45" t="str">
        <f t="shared" si="42"/>
        <v>Jun-2025</v>
      </c>
      <c r="C934" s="57">
        <v>45824</v>
      </c>
      <c r="D934" s="43">
        <f t="shared" si="43"/>
        <v>288</v>
      </c>
      <c r="E934" s="76"/>
      <c r="F934" s="50">
        <v>187</v>
      </c>
      <c r="G934" s="49">
        <v>72869</v>
      </c>
      <c r="H934" s="73">
        <v>182</v>
      </c>
      <c r="I934" s="77">
        <v>187</v>
      </c>
      <c r="J934" s="73">
        <v>22465.869999999988</v>
      </c>
      <c r="K934" s="52">
        <v>9</v>
      </c>
      <c r="L934" s="51">
        <v>587.08999999999992</v>
      </c>
      <c r="M934" s="77">
        <v>165</v>
      </c>
      <c r="N934" s="76">
        <v>52340.24</v>
      </c>
      <c r="O934" s="75">
        <v>151</v>
      </c>
      <c r="P934" s="74">
        <v>1937.1100000000013</v>
      </c>
      <c r="Q934" s="74">
        <v>345.6699999999999</v>
      </c>
      <c r="R934" s="53">
        <f t="shared" si="44"/>
        <v>3643.4500000000003</v>
      </c>
      <c r="S934" s="73">
        <v>22465.869999999988</v>
      </c>
    </row>
    <row r="935" spans="1:19" x14ac:dyDescent="0.25">
      <c r="A935" s="28"/>
      <c r="B935" s="45" t="str">
        <f t="shared" si="42"/>
        <v>Jun-2025</v>
      </c>
      <c r="C935" s="57">
        <v>45825</v>
      </c>
      <c r="D935" s="43">
        <f t="shared" si="43"/>
        <v>287</v>
      </c>
      <c r="E935" s="76"/>
      <c r="F935" s="50">
        <v>188</v>
      </c>
      <c r="G935" s="49">
        <v>67049</v>
      </c>
      <c r="H935" s="73">
        <v>182</v>
      </c>
      <c r="I935" s="77">
        <v>188</v>
      </c>
      <c r="J935" s="73">
        <v>17697.940000000024</v>
      </c>
      <c r="K935" s="52">
        <v>14</v>
      </c>
      <c r="L935" s="51">
        <v>2228.4299999999998</v>
      </c>
      <c r="M935" s="77">
        <v>207</v>
      </c>
      <c r="N935" s="76">
        <v>50969.97</v>
      </c>
      <c r="O935" s="75">
        <v>182</v>
      </c>
      <c r="P935" s="74">
        <v>1618.9099999999987</v>
      </c>
      <c r="Q935" s="74">
        <v>325.96999999999997</v>
      </c>
      <c r="R935" s="53">
        <f t="shared" si="44"/>
        <v>3352.4500000000003</v>
      </c>
      <c r="S935" s="73">
        <v>17697.940000000021</v>
      </c>
    </row>
    <row r="936" spans="1:19" x14ac:dyDescent="0.25">
      <c r="A936" s="28"/>
      <c r="B936" s="45" t="str">
        <f t="shared" si="42"/>
        <v>Jun-2025</v>
      </c>
      <c r="C936" s="57">
        <v>45826</v>
      </c>
      <c r="D936" s="43">
        <f t="shared" si="43"/>
        <v>286</v>
      </c>
      <c r="E936" s="76"/>
      <c r="F936" s="50">
        <v>171</v>
      </c>
      <c r="G936" s="49">
        <v>63920</v>
      </c>
      <c r="H936" s="73">
        <v>170</v>
      </c>
      <c r="I936" s="77">
        <v>171</v>
      </c>
      <c r="J936" s="73">
        <v>10846.890000000001</v>
      </c>
      <c r="K936" s="52">
        <v>4</v>
      </c>
      <c r="L936" s="51">
        <v>1301.28</v>
      </c>
      <c r="M936" s="77">
        <v>185</v>
      </c>
      <c r="N936" s="76">
        <v>54234.68</v>
      </c>
      <c r="O936" s="75">
        <v>168</v>
      </c>
      <c r="P936" s="74">
        <v>1161.5699999999993</v>
      </c>
      <c r="Q936" s="74">
        <v>367.18000000000012</v>
      </c>
      <c r="R936" s="53">
        <f t="shared" si="44"/>
        <v>3196</v>
      </c>
      <c r="S936" s="73">
        <v>10846.890000000003</v>
      </c>
    </row>
    <row r="937" spans="1:19" x14ac:dyDescent="0.25">
      <c r="A937" s="28"/>
      <c r="B937" s="45" t="str">
        <f t="shared" si="42"/>
        <v>Jun-2025</v>
      </c>
      <c r="C937" s="57">
        <v>45827</v>
      </c>
      <c r="D937" s="43">
        <f t="shared" si="43"/>
        <v>285</v>
      </c>
      <c r="E937" s="76"/>
      <c r="F937" s="50">
        <v>174</v>
      </c>
      <c r="G937" s="49">
        <v>68865</v>
      </c>
      <c r="H937" s="73">
        <v>172</v>
      </c>
      <c r="I937" s="77">
        <v>174</v>
      </c>
      <c r="J937" s="73">
        <v>18787.809999999994</v>
      </c>
      <c r="K937" s="52">
        <v>3</v>
      </c>
      <c r="L937" s="51">
        <v>1050.1300000000001</v>
      </c>
      <c r="M937" s="77">
        <v>158</v>
      </c>
      <c r="N937" s="76">
        <v>51808.91</v>
      </c>
      <c r="O937" s="75">
        <v>151</v>
      </c>
      <c r="P937" s="74">
        <v>1731.7199999999987</v>
      </c>
      <c r="Q937" s="74">
        <v>377.87</v>
      </c>
      <c r="R937" s="53">
        <f t="shared" si="44"/>
        <v>3443.25</v>
      </c>
      <c r="S937" s="73">
        <v>18787.80999999999</v>
      </c>
    </row>
    <row r="938" spans="1:19" x14ac:dyDescent="0.25">
      <c r="A938" s="28"/>
      <c r="B938" s="45" t="str">
        <f t="shared" si="42"/>
        <v>Jun-2025</v>
      </c>
      <c r="C938" s="57">
        <v>45828</v>
      </c>
      <c r="D938" s="43">
        <f t="shared" si="43"/>
        <v>284</v>
      </c>
      <c r="E938" s="76"/>
      <c r="F938" s="50">
        <v>185</v>
      </c>
      <c r="G938" s="49">
        <v>75834</v>
      </c>
      <c r="H938" s="73">
        <v>181</v>
      </c>
      <c r="I938" s="77">
        <v>185</v>
      </c>
      <c r="J938" s="73">
        <v>19048.280000000006</v>
      </c>
      <c r="K938" s="52">
        <v>11</v>
      </c>
      <c r="L938" s="51">
        <v>3174.45</v>
      </c>
      <c r="M938" s="77">
        <v>202</v>
      </c>
      <c r="N938" s="76">
        <v>58653.89</v>
      </c>
      <c r="O938" s="75">
        <v>183</v>
      </c>
      <c r="P938" s="74">
        <v>1868.1700000000014</v>
      </c>
      <c r="Q938" s="74">
        <v>498.77</v>
      </c>
      <c r="R938" s="53">
        <f t="shared" si="44"/>
        <v>3791.7000000000003</v>
      </c>
      <c r="S938" s="73">
        <v>19048.280000000006</v>
      </c>
    </row>
    <row r="939" spans="1:19" x14ac:dyDescent="0.25">
      <c r="A939" s="28"/>
      <c r="B939" s="45" t="str">
        <f t="shared" si="42"/>
        <v>Jun-2025</v>
      </c>
      <c r="C939" s="57">
        <v>45829</v>
      </c>
      <c r="D939" s="43">
        <f t="shared" si="43"/>
        <v>283</v>
      </c>
      <c r="E939" s="76"/>
      <c r="F939" s="50">
        <v>181</v>
      </c>
      <c r="G939" s="49">
        <v>74476</v>
      </c>
      <c r="H939" s="73">
        <v>181</v>
      </c>
      <c r="I939" s="77">
        <v>181</v>
      </c>
      <c r="J939" s="73">
        <v>16435.969999999998</v>
      </c>
      <c r="K939" s="52">
        <v>3</v>
      </c>
      <c r="L939" s="51">
        <v>1270.17</v>
      </c>
      <c r="M939" s="77">
        <v>211</v>
      </c>
      <c r="N939" s="76">
        <v>59682.02</v>
      </c>
      <c r="O939" s="75">
        <v>183</v>
      </c>
      <c r="P939" s="74">
        <v>1641.9899999999993</v>
      </c>
      <c r="Q939" s="74">
        <v>501.28000000000009</v>
      </c>
      <c r="R939" s="53">
        <f t="shared" si="44"/>
        <v>3723.8</v>
      </c>
      <c r="S939" s="73">
        <v>16435.97</v>
      </c>
    </row>
    <row r="940" spans="1:19" x14ac:dyDescent="0.25">
      <c r="A940" s="28"/>
      <c r="B940" s="45" t="str">
        <f t="shared" si="42"/>
        <v>Jun-2025</v>
      </c>
      <c r="C940" s="57">
        <v>45830</v>
      </c>
      <c r="D940" s="43">
        <f t="shared" si="43"/>
        <v>282</v>
      </c>
      <c r="E940" s="76"/>
      <c r="F940" s="50">
        <v>174</v>
      </c>
      <c r="G940" s="49">
        <v>60038</v>
      </c>
      <c r="H940" s="73">
        <v>173</v>
      </c>
      <c r="I940" s="77">
        <v>174</v>
      </c>
      <c r="J940" s="73">
        <v>13950.659999999993</v>
      </c>
      <c r="K940" s="52">
        <v>2</v>
      </c>
      <c r="L940" s="51">
        <v>500.10999999999996</v>
      </c>
      <c r="M940" s="77">
        <v>190</v>
      </c>
      <c r="N940" s="76">
        <v>47492.24</v>
      </c>
      <c r="O940" s="75">
        <v>168</v>
      </c>
      <c r="P940" s="74">
        <v>1404.8999999999999</v>
      </c>
      <c r="Q940" s="74">
        <v>398.24</v>
      </c>
      <c r="R940" s="53">
        <f t="shared" si="44"/>
        <v>3001.9</v>
      </c>
      <c r="S940" s="73">
        <v>13950.66</v>
      </c>
    </row>
    <row r="941" spans="1:19" x14ac:dyDescent="0.25">
      <c r="A941" s="28"/>
      <c r="B941" s="45" t="str">
        <f t="shared" si="42"/>
        <v>Jun-2025</v>
      </c>
      <c r="C941" s="57">
        <v>45831</v>
      </c>
      <c r="D941" s="43">
        <f t="shared" si="43"/>
        <v>281</v>
      </c>
      <c r="E941" s="76">
        <v>1</v>
      </c>
      <c r="F941" s="50">
        <v>179</v>
      </c>
      <c r="G941" s="49">
        <v>70555</v>
      </c>
      <c r="H941" s="73">
        <v>177</v>
      </c>
      <c r="I941" s="77">
        <v>179</v>
      </c>
      <c r="J941" s="73">
        <v>18788.870000000006</v>
      </c>
      <c r="K941" s="52">
        <v>5</v>
      </c>
      <c r="L941" s="51">
        <v>706.14</v>
      </c>
      <c r="M941" s="77">
        <v>211</v>
      </c>
      <c r="N941" s="76">
        <v>53546.9</v>
      </c>
      <c r="O941" s="75">
        <v>191</v>
      </c>
      <c r="P941" s="74">
        <v>1780.7699999999988</v>
      </c>
      <c r="Q941" s="74">
        <v>458.47</v>
      </c>
      <c r="R941" s="53">
        <f t="shared" si="44"/>
        <v>3527.75</v>
      </c>
      <c r="S941" s="73">
        <v>18788.870000000006</v>
      </c>
    </row>
    <row r="942" spans="1:19" x14ac:dyDescent="0.25">
      <c r="A942" s="28"/>
      <c r="B942" s="45" t="str">
        <f t="shared" si="42"/>
        <v>Jun-2025</v>
      </c>
      <c r="C942" s="57">
        <v>45832</v>
      </c>
      <c r="D942" s="43">
        <f t="shared" si="43"/>
        <v>280</v>
      </c>
      <c r="E942" s="76"/>
      <c r="F942" s="50">
        <v>163</v>
      </c>
      <c r="G942" s="49">
        <v>63389</v>
      </c>
      <c r="H942" s="73">
        <v>161</v>
      </c>
      <c r="I942" s="77">
        <v>163</v>
      </c>
      <c r="J942" s="73">
        <v>15861.210000000005</v>
      </c>
      <c r="K942" s="52">
        <v>4</v>
      </c>
      <c r="L942" s="51">
        <v>850.18</v>
      </c>
      <c r="M942" s="77">
        <v>165</v>
      </c>
      <c r="N942" s="76">
        <v>49064.12</v>
      </c>
      <c r="O942" s="75">
        <v>153</v>
      </c>
      <c r="P942" s="74">
        <v>1536.3299999999992</v>
      </c>
      <c r="Q942" s="74">
        <v>416.88000000000005</v>
      </c>
      <c r="R942" s="53">
        <f t="shared" si="44"/>
        <v>3169.4500000000003</v>
      </c>
      <c r="S942" s="73">
        <v>15861.210000000003</v>
      </c>
    </row>
    <row r="943" spans="1:19" x14ac:dyDescent="0.25">
      <c r="A943" s="28"/>
      <c r="B943" s="45" t="str">
        <f t="shared" si="42"/>
        <v>Jun-2025</v>
      </c>
      <c r="C943" s="57">
        <v>45833</v>
      </c>
      <c r="D943" s="43">
        <f t="shared" si="43"/>
        <v>279</v>
      </c>
      <c r="E943" s="76"/>
      <c r="F943" s="50">
        <v>145</v>
      </c>
      <c r="G943" s="49">
        <v>63300</v>
      </c>
      <c r="H943" s="73">
        <v>142</v>
      </c>
      <c r="I943" s="77">
        <v>145</v>
      </c>
      <c r="J943" s="73">
        <v>18758.939999999988</v>
      </c>
      <c r="K943" s="52">
        <v>10</v>
      </c>
      <c r="L943" s="51">
        <v>1921.24</v>
      </c>
      <c r="M943" s="77">
        <v>153</v>
      </c>
      <c r="N943" s="76">
        <v>46152.63</v>
      </c>
      <c r="O943" s="75">
        <v>135</v>
      </c>
      <c r="P943" s="74">
        <v>1611.569999999997</v>
      </c>
      <c r="Q943" s="74">
        <v>301.35999999999996</v>
      </c>
      <c r="R943" s="53">
        <f t="shared" si="44"/>
        <v>3165</v>
      </c>
      <c r="S943" s="73">
        <v>18758.939999999991</v>
      </c>
    </row>
    <row r="944" spans="1:19" x14ac:dyDescent="0.25">
      <c r="A944" s="28"/>
      <c r="B944" s="45" t="str">
        <f t="shared" si="42"/>
        <v>Jun-2025</v>
      </c>
      <c r="C944" s="57">
        <v>45834</v>
      </c>
      <c r="D944" s="43">
        <f t="shared" si="43"/>
        <v>278</v>
      </c>
      <c r="E944" s="76">
        <v>2</v>
      </c>
      <c r="F944" s="50">
        <v>171</v>
      </c>
      <c r="G944" s="49">
        <v>62025</v>
      </c>
      <c r="H944" s="73">
        <v>168</v>
      </c>
      <c r="I944" s="77">
        <v>171</v>
      </c>
      <c r="J944" s="73">
        <v>18111.570000000011</v>
      </c>
      <c r="K944" s="52">
        <v>6</v>
      </c>
      <c r="L944" s="51">
        <v>1300.28</v>
      </c>
      <c r="M944" s="77">
        <v>202</v>
      </c>
      <c r="N944" s="76">
        <v>45454.2</v>
      </c>
      <c r="O944" s="75">
        <v>168</v>
      </c>
      <c r="P944" s="74">
        <v>1540.7699999999995</v>
      </c>
      <c r="Q944" s="74">
        <v>266.51</v>
      </c>
      <c r="R944" s="53">
        <f t="shared" si="44"/>
        <v>3101.25</v>
      </c>
      <c r="S944" s="73">
        <v>18111.570000000011</v>
      </c>
    </row>
    <row r="945" spans="1:19" x14ac:dyDescent="0.25">
      <c r="A945" s="28"/>
      <c r="B945" s="45" t="str">
        <f t="shared" si="42"/>
        <v>Jun-2025</v>
      </c>
      <c r="C945" s="57">
        <v>45835</v>
      </c>
      <c r="D945" s="43">
        <f t="shared" si="43"/>
        <v>277</v>
      </c>
      <c r="E945" s="76"/>
      <c r="F945" s="50">
        <v>170</v>
      </c>
      <c r="G945" s="49">
        <v>70200</v>
      </c>
      <c r="H945" s="73">
        <v>169</v>
      </c>
      <c r="I945" s="77">
        <v>170</v>
      </c>
      <c r="J945" s="73">
        <v>20011.649999999998</v>
      </c>
      <c r="K945" s="52">
        <v>9</v>
      </c>
      <c r="L945" s="51">
        <v>1450.11</v>
      </c>
      <c r="M945" s="77">
        <v>182</v>
      </c>
      <c r="N945" s="76">
        <v>51979.08</v>
      </c>
      <c r="O945" s="75">
        <v>169</v>
      </c>
      <c r="P945" s="74">
        <v>1790.7300000000002</v>
      </c>
      <c r="Q945" s="74">
        <v>497.31999999999994</v>
      </c>
      <c r="R945" s="53">
        <f t="shared" si="44"/>
        <v>3510</v>
      </c>
      <c r="S945" s="73">
        <v>20011.649999999991</v>
      </c>
    </row>
    <row r="946" spans="1:19" x14ac:dyDescent="0.25">
      <c r="A946" s="28"/>
      <c r="B946" s="45" t="str">
        <f t="shared" si="42"/>
        <v>Jun-2025</v>
      </c>
      <c r="C946" s="57">
        <v>45836</v>
      </c>
      <c r="D946" s="43">
        <f t="shared" si="43"/>
        <v>276</v>
      </c>
      <c r="E946" s="76">
        <v>1</v>
      </c>
      <c r="F946" s="50">
        <v>171</v>
      </c>
      <c r="G946" s="49">
        <v>73336</v>
      </c>
      <c r="H946" s="73">
        <v>167</v>
      </c>
      <c r="I946" s="77">
        <v>171</v>
      </c>
      <c r="J946" s="73">
        <v>19285.219999999976</v>
      </c>
      <c r="K946" s="52">
        <v>10</v>
      </c>
      <c r="L946" s="51">
        <v>1422.28</v>
      </c>
      <c r="M946" s="77">
        <v>171</v>
      </c>
      <c r="N946" s="76">
        <v>55788.01</v>
      </c>
      <c r="O946" s="75">
        <v>154</v>
      </c>
      <c r="P946" s="74">
        <v>1737.2299999999993</v>
      </c>
      <c r="Q946" s="74">
        <v>385.09</v>
      </c>
      <c r="R946" s="53">
        <f t="shared" si="44"/>
        <v>3666.8</v>
      </c>
      <c r="S946" s="73">
        <v>19285.219999999987</v>
      </c>
    </row>
    <row r="947" spans="1:19" x14ac:dyDescent="0.25">
      <c r="A947" s="28"/>
      <c r="B947" s="45" t="str">
        <f t="shared" si="42"/>
        <v>Jun-2025</v>
      </c>
      <c r="C947" s="57">
        <v>45837</v>
      </c>
      <c r="D947" s="43">
        <f t="shared" si="43"/>
        <v>275</v>
      </c>
      <c r="E947" s="76"/>
      <c r="F947" s="50">
        <v>173</v>
      </c>
      <c r="G947" s="49">
        <v>65090</v>
      </c>
      <c r="H947" s="73">
        <v>171</v>
      </c>
      <c r="I947" s="77">
        <v>173</v>
      </c>
      <c r="J947" s="73">
        <v>17033.270000000004</v>
      </c>
      <c r="K947" s="52">
        <v>5</v>
      </c>
      <c r="L947" s="51">
        <v>2856.39</v>
      </c>
      <c r="M947" s="77">
        <v>201</v>
      </c>
      <c r="N947" s="76">
        <v>49537.74</v>
      </c>
      <c r="O947" s="75">
        <v>179</v>
      </c>
      <c r="P947" s="74">
        <v>1481.0099999999982</v>
      </c>
      <c r="Q947" s="74">
        <v>322.85000000000002</v>
      </c>
      <c r="R947" s="53">
        <f t="shared" si="44"/>
        <v>3254.5</v>
      </c>
      <c r="S947" s="73">
        <v>17033.27</v>
      </c>
    </row>
    <row r="948" spans="1:19" x14ac:dyDescent="0.25">
      <c r="A948" s="28"/>
      <c r="B948" s="45" t="str">
        <f t="shared" si="42"/>
        <v>Jun-2025</v>
      </c>
      <c r="C948" s="57">
        <v>45838</v>
      </c>
      <c r="D948" s="43">
        <f t="shared" si="43"/>
        <v>274</v>
      </c>
      <c r="E948" s="76"/>
      <c r="F948" s="50">
        <v>150</v>
      </c>
      <c r="G948" s="49">
        <v>63650</v>
      </c>
      <c r="H948" s="73">
        <v>149</v>
      </c>
      <c r="I948" s="77">
        <v>150</v>
      </c>
      <c r="J948" s="73">
        <v>16901.519999999997</v>
      </c>
      <c r="K948" s="52">
        <v>8</v>
      </c>
      <c r="L948" s="51">
        <v>1518.19</v>
      </c>
      <c r="M948" s="77">
        <v>171</v>
      </c>
      <c r="N948" s="76">
        <v>48238.22</v>
      </c>
      <c r="O948" s="75">
        <v>155</v>
      </c>
      <c r="P948" s="74">
        <v>1489.7399999999998</v>
      </c>
      <c r="Q948" s="74">
        <v>365.61000000000007</v>
      </c>
      <c r="R948" s="53">
        <f t="shared" si="44"/>
        <v>3182.5</v>
      </c>
      <c r="S948" s="73">
        <v>16901.52</v>
      </c>
    </row>
    <row r="949" spans="1:19" x14ac:dyDescent="0.25">
      <c r="A949" s="28"/>
      <c r="B949" s="45" t="str">
        <f t="shared" si="42"/>
        <v>Jul-2025</v>
      </c>
      <c r="C949" s="57">
        <v>45839</v>
      </c>
      <c r="D949" s="43">
        <f t="shared" si="43"/>
        <v>273</v>
      </c>
      <c r="E949" s="76"/>
      <c r="F949" s="50">
        <v>182</v>
      </c>
      <c r="G949" s="49">
        <v>60830</v>
      </c>
      <c r="H949" s="73">
        <v>179</v>
      </c>
      <c r="I949" s="77">
        <v>182</v>
      </c>
      <c r="J949" s="73">
        <v>17284.560000000016</v>
      </c>
      <c r="K949" s="52">
        <v>12</v>
      </c>
      <c r="L949" s="51">
        <v>2667.5</v>
      </c>
      <c r="M949" s="77">
        <v>182</v>
      </c>
      <c r="N949" s="76">
        <v>45108.81</v>
      </c>
      <c r="O949" s="75">
        <v>175</v>
      </c>
      <c r="P949" s="74">
        <v>1563.3699999999983</v>
      </c>
      <c r="Q949" s="74">
        <v>372.04000000000008</v>
      </c>
      <c r="R949" s="53">
        <f t="shared" si="44"/>
        <v>3041.5</v>
      </c>
      <c r="S949" s="73">
        <v>17284.560000000016</v>
      </c>
    </row>
    <row r="950" spans="1:19" x14ac:dyDescent="0.25">
      <c r="A950" s="28"/>
      <c r="B950" s="45" t="str">
        <f t="shared" si="42"/>
        <v>Jul-2025</v>
      </c>
      <c r="C950" s="57">
        <v>45840</v>
      </c>
      <c r="D950" s="43">
        <f t="shared" si="43"/>
        <v>272</v>
      </c>
      <c r="E950" s="76"/>
      <c r="F950" s="50">
        <v>160</v>
      </c>
      <c r="G950" s="49">
        <v>77065</v>
      </c>
      <c r="H950" s="73">
        <v>159</v>
      </c>
      <c r="I950" s="77">
        <v>160</v>
      </c>
      <c r="J950" s="73">
        <v>19922.04</v>
      </c>
      <c r="K950" s="52">
        <v>3</v>
      </c>
      <c r="L950" s="51">
        <v>2111.46</v>
      </c>
      <c r="M950" s="77">
        <v>152</v>
      </c>
      <c r="N950" s="76">
        <v>59008.49</v>
      </c>
      <c r="O950" s="75">
        <v>144</v>
      </c>
      <c r="P950" s="74">
        <v>1865.5300000000002</v>
      </c>
      <c r="Q950" s="74">
        <v>518.66</v>
      </c>
      <c r="R950" s="53">
        <f t="shared" si="44"/>
        <v>3853.25</v>
      </c>
      <c r="S950" s="73">
        <v>19922.040000000005</v>
      </c>
    </row>
    <row r="951" spans="1:19" x14ac:dyDescent="0.25">
      <c r="A951" s="28"/>
      <c r="B951" s="45" t="str">
        <f t="shared" si="42"/>
        <v>Jul-2025</v>
      </c>
      <c r="C951" s="57">
        <v>45841</v>
      </c>
      <c r="D951" s="43">
        <f t="shared" si="43"/>
        <v>271</v>
      </c>
      <c r="E951" s="76"/>
      <c r="F951" s="50">
        <v>185</v>
      </c>
      <c r="G951" s="49">
        <v>84546</v>
      </c>
      <c r="H951" s="73">
        <v>185</v>
      </c>
      <c r="I951" s="77">
        <v>185</v>
      </c>
      <c r="J951" s="73">
        <v>22123.930000000004</v>
      </c>
      <c r="K951" s="52">
        <v>2</v>
      </c>
      <c r="L951" s="51">
        <v>507.11</v>
      </c>
      <c r="M951" s="77">
        <v>196</v>
      </c>
      <c r="N951" s="76">
        <v>64469.32</v>
      </c>
      <c r="O951" s="75">
        <v>184</v>
      </c>
      <c r="P951" s="74">
        <v>2047.2499999999991</v>
      </c>
      <c r="Q951" s="74">
        <v>585.22000000000014</v>
      </c>
      <c r="R951" s="53">
        <f t="shared" si="44"/>
        <v>4227.3</v>
      </c>
      <c r="S951" s="73">
        <v>22123.930000000015</v>
      </c>
    </row>
    <row r="952" spans="1:19" x14ac:dyDescent="0.25">
      <c r="A952" s="28"/>
      <c r="B952" s="45" t="str">
        <f t="shared" si="42"/>
        <v>Jul-2025</v>
      </c>
      <c r="C952" s="57">
        <v>45842</v>
      </c>
      <c r="D952" s="43">
        <f t="shared" si="43"/>
        <v>270</v>
      </c>
      <c r="E952" s="76"/>
      <c r="F952" s="50">
        <v>170</v>
      </c>
      <c r="G952" s="49">
        <v>57144</v>
      </c>
      <c r="H952" s="73">
        <v>169</v>
      </c>
      <c r="I952" s="77">
        <v>170</v>
      </c>
      <c r="J952" s="73">
        <v>12926.630000000001</v>
      </c>
      <c r="K952" s="52">
        <v>5</v>
      </c>
      <c r="L952" s="51">
        <v>548.02</v>
      </c>
      <c r="M952" s="77">
        <v>174</v>
      </c>
      <c r="N952" s="76">
        <v>45382.96</v>
      </c>
      <c r="O952" s="75">
        <v>167</v>
      </c>
      <c r="P952" s="74">
        <v>1165.5899999999992</v>
      </c>
      <c r="Q952" s="74">
        <v>293.70999999999992</v>
      </c>
      <c r="R952" s="53">
        <f t="shared" si="44"/>
        <v>2857.2000000000003</v>
      </c>
      <c r="S952" s="73">
        <v>12926.630000000001</v>
      </c>
    </row>
    <row r="953" spans="1:19" x14ac:dyDescent="0.25">
      <c r="A953" s="28"/>
      <c r="B953" s="45" t="str">
        <f t="shared" si="42"/>
        <v>Jul-2025</v>
      </c>
      <c r="C953" s="57">
        <v>45843</v>
      </c>
      <c r="D953" s="43">
        <f t="shared" si="43"/>
        <v>269</v>
      </c>
      <c r="E953" s="76"/>
      <c r="F953" s="50">
        <v>171</v>
      </c>
      <c r="G953" s="49">
        <v>70090</v>
      </c>
      <c r="H953" s="73">
        <v>171</v>
      </c>
      <c r="I953" s="77">
        <v>171</v>
      </c>
      <c r="J953" s="73">
        <v>14101.630000000005</v>
      </c>
      <c r="K953" s="52">
        <v>3</v>
      </c>
      <c r="L953" s="51">
        <v>204.04</v>
      </c>
      <c r="M953" s="77">
        <v>193</v>
      </c>
      <c r="N953" s="76">
        <v>57301.69</v>
      </c>
      <c r="O953" s="75">
        <v>171</v>
      </c>
      <c r="P953" s="74">
        <v>1313.3199999999995</v>
      </c>
      <c r="Q953" s="74">
        <v>340.0200000000001</v>
      </c>
      <c r="R953" s="53">
        <f t="shared" si="44"/>
        <v>3504.5</v>
      </c>
      <c r="S953" s="73">
        <v>14101.630000000003</v>
      </c>
    </row>
    <row r="954" spans="1:19" x14ac:dyDescent="0.25">
      <c r="A954" s="28"/>
      <c r="B954" s="45" t="str">
        <f t="shared" si="42"/>
        <v>Jul-2025</v>
      </c>
      <c r="C954" s="57">
        <v>45844</v>
      </c>
      <c r="D954" s="43">
        <f t="shared" si="43"/>
        <v>268</v>
      </c>
      <c r="E954" s="76"/>
      <c r="F954" s="50">
        <v>171</v>
      </c>
      <c r="G954" s="49">
        <v>71870</v>
      </c>
      <c r="H954" s="73">
        <v>168</v>
      </c>
      <c r="I954" s="77">
        <v>171</v>
      </c>
      <c r="J954" s="73">
        <v>15025.049999999996</v>
      </c>
      <c r="K954" s="52">
        <v>6</v>
      </c>
      <c r="L954" s="51">
        <v>1989.3200000000002</v>
      </c>
      <c r="M954" s="77">
        <v>188</v>
      </c>
      <c r="N954" s="76">
        <v>58234.09</v>
      </c>
      <c r="O954" s="75">
        <v>176</v>
      </c>
      <c r="P954" s="74">
        <v>1389.14</v>
      </c>
      <c r="Q954" s="74">
        <v>372.86999999999989</v>
      </c>
      <c r="R954" s="53">
        <f t="shared" si="44"/>
        <v>3593.5</v>
      </c>
      <c r="S954" s="73">
        <v>15025.04999999999</v>
      </c>
    </row>
    <row r="955" spans="1:19" x14ac:dyDescent="0.25">
      <c r="A955" s="28"/>
      <c r="B955" s="45" t="str">
        <f t="shared" si="42"/>
        <v>Jul-2025</v>
      </c>
      <c r="C955" s="57">
        <v>45845</v>
      </c>
      <c r="D955" s="43">
        <f t="shared" si="43"/>
        <v>267</v>
      </c>
      <c r="E955" s="76"/>
      <c r="F955" s="50">
        <v>162</v>
      </c>
      <c r="G955" s="49">
        <v>68595</v>
      </c>
      <c r="H955" s="73">
        <v>155</v>
      </c>
      <c r="I955" s="77">
        <v>162</v>
      </c>
      <c r="J955" s="73">
        <v>17260.250000000004</v>
      </c>
      <c r="K955" s="52">
        <v>11</v>
      </c>
      <c r="L955" s="51">
        <v>1158.24</v>
      </c>
      <c r="M955" s="77">
        <v>175</v>
      </c>
      <c r="N955" s="76">
        <v>52904.98</v>
      </c>
      <c r="O955" s="75">
        <v>162</v>
      </c>
      <c r="P955" s="74">
        <v>1570.2300000000007</v>
      </c>
      <c r="Q955" s="74">
        <v>428.00000000000023</v>
      </c>
      <c r="R955" s="53">
        <f t="shared" si="44"/>
        <v>3429.75</v>
      </c>
      <c r="S955" s="73">
        <v>17260.250000000004</v>
      </c>
    </row>
    <row r="956" spans="1:19" x14ac:dyDescent="0.25">
      <c r="A956" s="28"/>
      <c r="B956" s="45" t="str">
        <f t="shared" si="42"/>
        <v>Jul-2025</v>
      </c>
      <c r="C956" s="57">
        <v>45846</v>
      </c>
      <c r="D956" s="43">
        <f t="shared" si="43"/>
        <v>266</v>
      </c>
      <c r="E956" s="76"/>
      <c r="F956" s="50">
        <v>162</v>
      </c>
      <c r="G956" s="49">
        <v>62160</v>
      </c>
      <c r="H956" s="73">
        <v>159</v>
      </c>
      <c r="I956" s="77">
        <v>162</v>
      </c>
      <c r="J956" s="73">
        <v>15491.189999999991</v>
      </c>
      <c r="K956" s="52">
        <v>12</v>
      </c>
      <c r="L956" s="51">
        <v>825.11999999999989</v>
      </c>
      <c r="M956" s="77">
        <v>147</v>
      </c>
      <c r="N956" s="76">
        <v>48167.89</v>
      </c>
      <c r="O956" s="75">
        <v>138</v>
      </c>
      <c r="P956" s="74">
        <v>1499.0799999999988</v>
      </c>
      <c r="Q956" s="74">
        <v>456.19000000000005</v>
      </c>
      <c r="R956" s="53">
        <f t="shared" si="44"/>
        <v>3108</v>
      </c>
      <c r="S956" s="73">
        <v>15491.189999999991</v>
      </c>
    </row>
    <row r="957" spans="1:19" x14ac:dyDescent="0.25">
      <c r="A957" s="28"/>
      <c r="B957" s="45" t="str">
        <f t="shared" si="42"/>
        <v>Jul-2025</v>
      </c>
      <c r="C957" s="57">
        <v>45847</v>
      </c>
      <c r="D957" s="43">
        <f t="shared" si="43"/>
        <v>265</v>
      </c>
      <c r="E957" s="76"/>
      <c r="F957" s="50">
        <v>144</v>
      </c>
      <c r="G957" s="49">
        <v>57060</v>
      </c>
      <c r="H957" s="73">
        <v>144</v>
      </c>
      <c r="I957" s="77">
        <v>144</v>
      </c>
      <c r="J957" s="73">
        <v>12480.669999999991</v>
      </c>
      <c r="K957" s="52">
        <v>1</v>
      </c>
      <c r="L957" s="51">
        <v>50</v>
      </c>
      <c r="M957" s="77">
        <v>220</v>
      </c>
      <c r="N957" s="76">
        <v>45932.42</v>
      </c>
      <c r="O957" s="75">
        <v>195</v>
      </c>
      <c r="P957" s="74">
        <v>1353.0900000000001</v>
      </c>
      <c r="Q957" s="74">
        <v>556.03999999999985</v>
      </c>
      <c r="R957" s="53">
        <f t="shared" si="44"/>
        <v>2853</v>
      </c>
      <c r="S957" s="73">
        <v>12480.669999999995</v>
      </c>
    </row>
    <row r="958" spans="1:19" x14ac:dyDescent="0.25">
      <c r="A958" s="28"/>
      <c r="B958" s="45" t="str">
        <f t="shared" si="42"/>
        <v>Jul-2025</v>
      </c>
      <c r="C958" s="57">
        <v>45848</v>
      </c>
      <c r="D958" s="43">
        <f t="shared" si="43"/>
        <v>264</v>
      </c>
      <c r="E958" s="76"/>
      <c r="F958" s="50">
        <v>154</v>
      </c>
      <c r="G958" s="49">
        <v>71240</v>
      </c>
      <c r="H958" s="73">
        <v>153</v>
      </c>
      <c r="I958" s="77">
        <v>154</v>
      </c>
      <c r="J958" s="73">
        <v>15717.69000000001</v>
      </c>
      <c r="K958" s="52">
        <v>2</v>
      </c>
      <c r="L958" s="51">
        <v>101.02</v>
      </c>
      <c r="M958" s="77">
        <v>182</v>
      </c>
      <c r="N958" s="76">
        <v>57113.18</v>
      </c>
      <c r="O958" s="75">
        <v>172</v>
      </c>
      <c r="P958" s="74">
        <v>1590.8699999999997</v>
      </c>
      <c r="Q958" s="74">
        <v>545.18000000000006</v>
      </c>
      <c r="R958" s="53">
        <f t="shared" si="44"/>
        <v>3562</v>
      </c>
      <c r="S958" s="73">
        <v>15717.690000000006</v>
      </c>
    </row>
    <row r="959" spans="1:19" x14ac:dyDescent="0.25">
      <c r="A959" s="28"/>
      <c r="B959" s="45" t="str">
        <f t="shared" si="42"/>
        <v>Jul-2025</v>
      </c>
      <c r="C959" s="57">
        <v>45849</v>
      </c>
      <c r="D959" s="43">
        <f t="shared" si="43"/>
        <v>263</v>
      </c>
      <c r="E959" s="76">
        <v>1</v>
      </c>
      <c r="F959" s="50">
        <v>162</v>
      </c>
      <c r="G959" s="49">
        <v>65269</v>
      </c>
      <c r="H959" s="73">
        <v>162</v>
      </c>
      <c r="I959" s="77">
        <v>162</v>
      </c>
      <c r="J959" s="73">
        <v>18247.339999999989</v>
      </c>
      <c r="K959" s="52">
        <v>4</v>
      </c>
      <c r="L959" s="51">
        <v>300.06</v>
      </c>
      <c r="M959" s="77">
        <v>164</v>
      </c>
      <c r="N959" s="76">
        <v>48691.64</v>
      </c>
      <c r="O959" s="75">
        <v>148</v>
      </c>
      <c r="P959" s="74">
        <v>1669.9800000000014</v>
      </c>
      <c r="Q959" s="74">
        <v>452.44999999999993</v>
      </c>
      <c r="R959" s="53">
        <f t="shared" si="44"/>
        <v>3263.4500000000003</v>
      </c>
      <c r="S959" s="73">
        <v>18247.339999999993</v>
      </c>
    </row>
    <row r="960" spans="1:19" x14ac:dyDescent="0.25">
      <c r="A960" s="28"/>
      <c r="B960" s="45" t="str">
        <f t="shared" si="42"/>
        <v>Jul-2025</v>
      </c>
      <c r="C960" s="57">
        <v>45850</v>
      </c>
      <c r="D960" s="43">
        <f t="shared" si="43"/>
        <v>262</v>
      </c>
      <c r="E960" s="76"/>
      <c r="F960" s="50">
        <v>144</v>
      </c>
      <c r="G960" s="49">
        <v>58045</v>
      </c>
      <c r="H960" s="73">
        <v>144</v>
      </c>
      <c r="I960" s="77">
        <v>144</v>
      </c>
      <c r="J960" s="73">
        <v>16605.810000000012</v>
      </c>
      <c r="K960" s="52">
        <v>4</v>
      </c>
      <c r="L960" s="51">
        <v>161.01999999999998</v>
      </c>
      <c r="M960" s="77">
        <v>170</v>
      </c>
      <c r="N960" s="76">
        <v>42906</v>
      </c>
      <c r="O960" s="75">
        <v>152</v>
      </c>
      <c r="P960" s="74">
        <v>1466.8099999999995</v>
      </c>
      <c r="Q960" s="74">
        <v>356.05</v>
      </c>
      <c r="R960" s="53">
        <f t="shared" si="44"/>
        <v>2902.25</v>
      </c>
      <c r="S960" s="73">
        <v>16605.810000000019</v>
      </c>
    </row>
    <row r="961" spans="1:19" x14ac:dyDescent="0.25">
      <c r="A961" s="28"/>
      <c r="B961" s="45" t="str">
        <f t="shared" si="42"/>
        <v>Jul-2025</v>
      </c>
      <c r="C961" s="57">
        <v>45851</v>
      </c>
      <c r="D961" s="43">
        <f t="shared" si="43"/>
        <v>261</v>
      </c>
      <c r="E961" s="76"/>
      <c r="F961" s="50">
        <v>143</v>
      </c>
      <c r="G961" s="49">
        <v>53183</v>
      </c>
      <c r="H961" s="73">
        <v>142</v>
      </c>
      <c r="I961" s="77">
        <v>143</v>
      </c>
      <c r="J961" s="73">
        <v>15063.15</v>
      </c>
      <c r="K961" s="52">
        <v>4</v>
      </c>
      <c r="L961" s="51">
        <v>625.02</v>
      </c>
      <c r="M961" s="77">
        <v>158</v>
      </c>
      <c r="N961" s="76">
        <v>39405.21</v>
      </c>
      <c r="O961" s="75">
        <v>137</v>
      </c>
      <c r="P961" s="74">
        <v>1285.3600000000004</v>
      </c>
      <c r="Q961" s="74">
        <v>338.43</v>
      </c>
      <c r="R961" s="53">
        <f t="shared" si="44"/>
        <v>2659.15</v>
      </c>
      <c r="S961" s="73">
        <v>15063.149999999996</v>
      </c>
    </row>
    <row r="962" spans="1:19" x14ac:dyDescent="0.25">
      <c r="A962" s="28"/>
      <c r="B962" s="45" t="str">
        <f t="shared" si="42"/>
        <v>Jul-2025</v>
      </c>
      <c r="C962" s="57">
        <v>45852</v>
      </c>
      <c r="D962" s="43">
        <f t="shared" si="43"/>
        <v>260</v>
      </c>
      <c r="E962" s="76"/>
      <c r="F962" s="50">
        <v>146</v>
      </c>
      <c r="G962" s="49">
        <v>58100</v>
      </c>
      <c r="H962" s="73">
        <v>145</v>
      </c>
      <c r="I962" s="77">
        <v>146</v>
      </c>
      <c r="J962" s="73">
        <v>15231.919999999996</v>
      </c>
      <c r="K962" s="52">
        <v>5</v>
      </c>
      <c r="L962" s="51">
        <v>702.15</v>
      </c>
      <c r="M962" s="77">
        <v>166</v>
      </c>
      <c r="N962" s="76">
        <v>44274.84</v>
      </c>
      <c r="O962" s="75">
        <v>153</v>
      </c>
      <c r="P962" s="74">
        <v>1406.7599999999989</v>
      </c>
      <c r="Q962" s="74">
        <v>404.47</v>
      </c>
      <c r="R962" s="53">
        <f t="shared" si="44"/>
        <v>2905</v>
      </c>
      <c r="S962" s="73">
        <v>15231.919999999998</v>
      </c>
    </row>
    <row r="963" spans="1:19" x14ac:dyDescent="0.25">
      <c r="A963" s="28"/>
      <c r="B963" s="45" t="str">
        <f t="shared" si="42"/>
        <v>Jul-2025</v>
      </c>
      <c r="C963" s="57">
        <v>45853</v>
      </c>
      <c r="D963" s="43">
        <f t="shared" si="43"/>
        <v>259</v>
      </c>
      <c r="E963" s="76"/>
      <c r="F963" s="50">
        <v>130</v>
      </c>
      <c r="G963" s="49">
        <v>56235</v>
      </c>
      <c r="H963" s="73">
        <v>130</v>
      </c>
      <c r="I963" s="77">
        <v>130</v>
      </c>
      <c r="J963" s="73">
        <v>16837.100000000006</v>
      </c>
      <c r="K963" s="52">
        <v>1</v>
      </c>
      <c r="L963" s="51">
        <v>475</v>
      </c>
      <c r="M963" s="77">
        <v>117</v>
      </c>
      <c r="N963" s="76">
        <v>40780.17</v>
      </c>
      <c r="O963" s="75">
        <v>108</v>
      </c>
      <c r="P963" s="74">
        <v>1382.2700000000002</v>
      </c>
      <c r="Q963" s="74">
        <v>270.17</v>
      </c>
      <c r="R963" s="53">
        <f t="shared" si="44"/>
        <v>2811.75</v>
      </c>
      <c r="S963" s="73">
        <v>16837.100000000002</v>
      </c>
    </row>
    <row r="964" spans="1:19" x14ac:dyDescent="0.25">
      <c r="A964" s="28"/>
      <c r="B964" s="45" t="str">
        <f t="shared" si="42"/>
        <v>Jul-2025</v>
      </c>
      <c r="C964" s="57">
        <v>45854</v>
      </c>
      <c r="D964" s="43">
        <f t="shared" si="43"/>
        <v>258</v>
      </c>
      <c r="E964" s="76">
        <v>1</v>
      </c>
      <c r="F964" s="50">
        <v>146</v>
      </c>
      <c r="G964" s="49">
        <v>53930</v>
      </c>
      <c r="H964" s="73">
        <v>145</v>
      </c>
      <c r="I964" s="77">
        <v>146</v>
      </c>
      <c r="J964" s="73">
        <v>13039.220000000001</v>
      </c>
      <c r="K964" s="52">
        <v>5</v>
      </c>
      <c r="L964" s="51">
        <v>520.05999999999995</v>
      </c>
      <c r="M964" s="77">
        <v>172</v>
      </c>
      <c r="N964" s="76">
        <v>42235.18</v>
      </c>
      <c r="O964" s="75">
        <v>157</v>
      </c>
      <c r="P964" s="74">
        <v>1344.3999999999992</v>
      </c>
      <c r="Q964" s="74">
        <v>481.45</v>
      </c>
      <c r="R964" s="53">
        <f t="shared" si="44"/>
        <v>2696.5</v>
      </c>
      <c r="S964" s="73">
        <v>13039.220000000001</v>
      </c>
    </row>
    <row r="965" spans="1:19" x14ac:dyDescent="0.25">
      <c r="A965" s="28"/>
      <c r="B965" s="45" t="str">
        <f t="shared" si="42"/>
        <v>Jul-2025</v>
      </c>
      <c r="C965" s="57">
        <v>45855</v>
      </c>
      <c r="D965" s="43">
        <f t="shared" si="43"/>
        <v>257</v>
      </c>
      <c r="E965" s="76"/>
      <c r="F965" s="50">
        <v>154</v>
      </c>
      <c r="G965" s="49">
        <v>63725</v>
      </c>
      <c r="H965" s="73">
        <v>153</v>
      </c>
      <c r="I965" s="77">
        <v>154</v>
      </c>
      <c r="J965" s="73">
        <v>20929.950000000004</v>
      </c>
      <c r="K965" s="52">
        <v>3</v>
      </c>
      <c r="L965" s="51">
        <v>250.03999999999996</v>
      </c>
      <c r="M965" s="77">
        <v>164</v>
      </c>
      <c r="N965" s="76">
        <v>44532.800000000003</v>
      </c>
      <c r="O965" s="75">
        <v>155</v>
      </c>
      <c r="P965" s="74">
        <v>1737.7499999999991</v>
      </c>
      <c r="Q965" s="74">
        <v>402.71000000000009</v>
      </c>
      <c r="R965" s="53">
        <f t="shared" si="44"/>
        <v>3186.25</v>
      </c>
      <c r="S965" s="73">
        <v>20929.95</v>
      </c>
    </row>
    <row r="966" spans="1:19" x14ac:dyDescent="0.25">
      <c r="A966" s="28"/>
      <c r="B966" s="45" t="str">
        <f t="shared" si="42"/>
        <v>Jul-2025</v>
      </c>
      <c r="C966" s="57">
        <v>45856</v>
      </c>
      <c r="D966" s="43">
        <f t="shared" si="43"/>
        <v>256</v>
      </c>
      <c r="E966" s="76"/>
      <c r="F966" s="50">
        <v>183</v>
      </c>
      <c r="G966" s="49">
        <v>73978</v>
      </c>
      <c r="H966" s="73">
        <v>181</v>
      </c>
      <c r="I966" s="77">
        <v>183</v>
      </c>
      <c r="J966" s="73">
        <v>23701.310000000009</v>
      </c>
      <c r="K966" s="52">
        <v>5</v>
      </c>
      <c r="L966" s="51">
        <v>1900.33</v>
      </c>
      <c r="M966" s="77">
        <v>198</v>
      </c>
      <c r="N966" s="76">
        <v>52185.03</v>
      </c>
      <c r="O966" s="75">
        <v>175</v>
      </c>
      <c r="P966" s="74">
        <v>1908.3399999999956</v>
      </c>
      <c r="Q966" s="74">
        <v>402.27</v>
      </c>
      <c r="R966" s="53">
        <f t="shared" si="44"/>
        <v>3698.9</v>
      </c>
      <c r="S966" s="73">
        <v>23701.310000000009</v>
      </c>
    </row>
    <row r="967" spans="1:19" x14ac:dyDescent="0.25">
      <c r="A967" s="28"/>
      <c r="B967" s="45" t="str">
        <f t="shared" ref="B967:B1031" si="45">TEXT(C967,"MMM-YYYY")</f>
        <v>Jul-2025</v>
      </c>
      <c r="C967" s="57">
        <v>45857</v>
      </c>
      <c r="D967" s="43">
        <f t="shared" ref="D967:D1031" si="46">$A$1-C967</f>
        <v>255</v>
      </c>
      <c r="E967" s="76"/>
      <c r="F967" s="50">
        <v>137</v>
      </c>
      <c r="G967" s="49">
        <v>65080</v>
      </c>
      <c r="H967" s="73">
        <v>134</v>
      </c>
      <c r="I967" s="77">
        <v>137</v>
      </c>
      <c r="J967" s="73">
        <v>11809.770000000002</v>
      </c>
      <c r="K967" s="52">
        <v>4</v>
      </c>
      <c r="L967" s="51">
        <v>800.17</v>
      </c>
      <c r="M967" s="77">
        <v>139</v>
      </c>
      <c r="N967" s="76">
        <v>54340.160000000003</v>
      </c>
      <c r="O967" s="75">
        <v>134</v>
      </c>
      <c r="P967" s="74">
        <v>1069.9299999999994</v>
      </c>
      <c r="Q967" s="74">
        <v>322.06</v>
      </c>
      <c r="R967" s="53">
        <f t="shared" ref="R967:R1031" si="47">G967*5%</f>
        <v>3254</v>
      </c>
      <c r="S967" s="73">
        <v>11809.770000000002</v>
      </c>
    </row>
    <row r="968" spans="1:19" x14ac:dyDescent="0.25">
      <c r="A968" s="28"/>
      <c r="B968" s="45" t="str">
        <f t="shared" si="45"/>
        <v>Jul-2025</v>
      </c>
      <c r="C968" s="57">
        <v>45858</v>
      </c>
      <c r="D968" s="43">
        <f t="shared" si="46"/>
        <v>254</v>
      </c>
      <c r="E968" s="76"/>
      <c r="F968" s="50">
        <v>117</v>
      </c>
      <c r="G968" s="49">
        <v>45965</v>
      </c>
      <c r="H968" s="73">
        <v>115</v>
      </c>
      <c r="I968" s="77">
        <v>117</v>
      </c>
      <c r="J968" s="73">
        <v>10066.25</v>
      </c>
      <c r="K968" s="52">
        <v>5</v>
      </c>
      <c r="L968" s="51">
        <v>396.07</v>
      </c>
      <c r="M968" s="77">
        <v>124</v>
      </c>
      <c r="N968" s="76">
        <v>36785.11</v>
      </c>
      <c r="O968" s="75">
        <v>110</v>
      </c>
      <c r="P968" s="74">
        <v>886.3599999999999</v>
      </c>
      <c r="Q968" s="74">
        <v>235.11000000000004</v>
      </c>
      <c r="R968" s="53">
        <f t="shared" si="47"/>
        <v>2298.25</v>
      </c>
      <c r="S968" s="73">
        <v>10066.249999999996</v>
      </c>
    </row>
    <row r="969" spans="1:19" x14ac:dyDescent="0.25">
      <c r="A969" s="28"/>
      <c r="B969" s="45" t="str">
        <f t="shared" si="45"/>
        <v>Jul-2025</v>
      </c>
      <c r="C969" s="57">
        <v>45859</v>
      </c>
      <c r="D969" s="43">
        <f t="shared" si="46"/>
        <v>253</v>
      </c>
      <c r="E969" s="76"/>
      <c r="F969" s="50">
        <v>125</v>
      </c>
      <c r="G969" s="49">
        <v>58679</v>
      </c>
      <c r="H969" s="73">
        <v>125</v>
      </c>
      <c r="I969" s="77">
        <v>125</v>
      </c>
      <c r="J969" s="73">
        <v>19873.69000000001</v>
      </c>
      <c r="K969" s="52">
        <v>1</v>
      </c>
      <c r="L969" s="51">
        <v>1000.22</v>
      </c>
      <c r="M969" s="77">
        <v>124</v>
      </c>
      <c r="N969" s="76">
        <v>40365.68</v>
      </c>
      <c r="O969" s="75">
        <v>117</v>
      </c>
      <c r="P969" s="74">
        <v>1560.369999999999</v>
      </c>
      <c r="Q969" s="74">
        <v>354.87</v>
      </c>
      <c r="R969" s="53">
        <f t="shared" si="47"/>
        <v>2933.9500000000003</v>
      </c>
      <c r="S969" s="73">
        <v>19873.690000000006</v>
      </c>
    </row>
    <row r="970" spans="1:19" x14ac:dyDescent="0.25">
      <c r="A970" s="28"/>
      <c r="B970" s="45" t="str">
        <f t="shared" si="45"/>
        <v>Jul-2025</v>
      </c>
      <c r="C970" s="57">
        <v>45860</v>
      </c>
      <c r="D970" s="43">
        <f t="shared" si="46"/>
        <v>252</v>
      </c>
      <c r="E970" s="76"/>
      <c r="F970" s="50">
        <v>143</v>
      </c>
      <c r="G970" s="49">
        <v>57499</v>
      </c>
      <c r="H970" s="73">
        <v>142</v>
      </c>
      <c r="I970" s="77">
        <v>143</v>
      </c>
      <c r="J970" s="73">
        <v>14533.849999999997</v>
      </c>
      <c r="K970" s="52">
        <v>4</v>
      </c>
      <c r="L970" s="51">
        <v>750.06</v>
      </c>
      <c r="M970" s="77">
        <v>145</v>
      </c>
      <c r="N970" s="76">
        <v>44269.84</v>
      </c>
      <c r="O970" s="75">
        <v>132</v>
      </c>
      <c r="P970" s="74">
        <v>1304.6899999999994</v>
      </c>
      <c r="Q970" s="74">
        <v>369.83999999999992</v>
      </c>
      <c r="R970" s="53">
        <f t="shared" si="47"/>
        <v>2874.9500000000003</v>
      </c>
      <c r="S970" s="73">
        <v>14533.719999999992</v>
      </c>
    </row>
    <row r="971" spans="1:19" x14ac:dyDescent="0.25">
      <c r="A971" s="28"/>
      <c r="B971" s="45" t="str">
        <f t="shared" si="45"/>
        <v>Jul-2025</v>
      </c>
      <c r="C971" s="57">
        <v>45861</v>
      </c>
      <c r="D971" s="43">
        <f t="shared" si="46"/>
        <v>251</v>
      </c>
      <c r="E971" s="76"/>
      <c r="F971" s="50">
        <v>160</v>
      </c>
      <c r="G971" s="49">
        <v>72271</v>
      </c>
      <c r="H971" s="73">
        <v>159</v>
      </c>
      <c r="I971" s="77">
        <v>160</v>
      </c>
      <c r="J971" s="73">
        <v>15836.779999999984</v>
      </c>
      <c r="K971" s="52">
        <v>5</v>
      </c>
      <c r="L971" s="51">
        <v>807.17</v>
      </c>
      <c r="M971" s="77">
        <v>167</v>
      </c>
      <c r="N971" s="76">
        <v>58100.86</v>
      </c>
      <c r="O971" s="75">
        <v>157</v>
      </c>
      <c r="P971" s="74">
        <v>1666.6399999999996</v>
      </c>
      <c r="Q971" s="74">
        <v>681.7600000000001</v>
      </c>
      <c r="R971" s="53">
        <f t="shared" si="47"/>
        <v>3613.55</v>
      </c>
      <c r="S971" s="73">
        <v>15836.779999999992</v>
      </c>
    </row>
    <row r="972" spans="1:19" x14ac:dyDescent="0.25">
      <c r="A972" s="28"/>
      <c r="B972" s="45" t="str">
        <f t="shared" si="45"/>
        <v>Jul-2025</v>
      </c>
      <c r="C972" s="57">
        <v>45862</v>
      </c>
      <c r="D972" s="43">
        <f t="shared" si="46"/>
        <v>250</v>
      </c>
      <c r="E972" s="76">
        <v>1</v>
      </c>
      <c r="F972" s="50">
        <v>150</v>
      </c>
      <c r="G972" s="49">
        <v>58595</v>
      </c>
      <c r="H972" s="73">
        <v>149</v>
      </c>
      <c r="I972" s="77">
        <v>150</v>
      </c>
      <c r="J972" s="73">
        <v>16990.709999999995</v>
      </c>
      <c r="K972" s="52">
        <v>3</v>
      </c>
      <c r="L972" s="51">
        <v>580.02</v>
      </c>
      <c r="M972" s="77">
        <v>145</v>
      </c>
      <c r="N972" s="76">
        <v>43006.43</v>
      </c>
      <c r="O972" s="75">
        <v>139</v>
      </c>
      <c r="P972" s="74">
        <v>1402.1399999999987</v>
      </c>
      <c r="Q972" s="74">
        <v>355.9</v>
      </c>
      <c r="R972" s="53">
        <f t="shared" si="47"/>
        <v>2929.75</v>
      </c>
      <c r="S972" s="73">
        <v>16990.71</v>
      </c>
    </row>
    <row r="973" spans="1:19" x14ac:dyDescent="0.25">
      <c r="A973" s="28"/>
      <c r="B973" s="45" t="str">
        <f t="shared" si="45"/>
        <v>Jul-2025</v>
      </c>
      <c r="C973" s="57">
        <v>45863</v>
      </c>
      <c r="D973" s="43">
        <f t="shared" si="46"/>
        <v>249</v>
      </c>
      <c r="E973" s="76">
        <v>1</v>
      </c>
      <c r="F973" s="50">
        <v>136</v>
      </c>
      <c r="G973" s="49">
        <v>56620</v>
      </c>
      <c r="H973" s="73">
        <v>135</v>
      </c>
      <c r="I973" s="77">
        <v>136</v>
      </c>
      <c r="J973" s="73">
        <v>11951.959999999997</v>
      </c>
      <c r="K973" s="52">
        <v>2</v>
      </c>
      <c r="L973" s="51">
        <v>600.13</v>
      </c>
      <c r="M973" s="77">
        <v>147</v>
      </c>
      <c r="N973" s="76">
        <v>45774.14</v>
      </c>
      <c r="O973" s="75">
        <v>131</v>
      </c>
      <c r="P973" s="74">
        <v>1106.0999999999988</v>
      </c>
      <c r="Q973" s="74">
        <v>397.06000000000012</v>
      </c>
      <c r="R973" s="53">
        <f t="shared" si="47"/>
        <v>2831</v>
      </c>
      <c r="S973" s="73">
        <v>11951.959999999994</v>
      </c>
    </row>
    <row r="974" spans="1:19" x14ac:dyDescent="0.25">
      <c r="A974" s="28"/>
      <c r="B974" s="45" t="str">
        <f t="shared" si="45"/>
        <v>Jul-2025</v>
      </c>
      <c r="C974" s="57">
        <v>45864</v>
      </c>
      <c r="D974" s="43">
        <f t="shared" si="46"/>
        <v>248</v>
      </c>
      <c r="E974" s="76"/>
      <c r="F974" s="50">
        <v>162</v>
      </c>
      <c r="G974" s="49">
        <v>70658</v>
      </c>
      <c r="H974" s="73">
        <v>160</v>
      </c>
      <c r="I974" s="77">
        <v>162</v>
      </c>
      <c r="J974" s="73">
        <v>15235.540000000012</v>
      </c>
      <c r="K974" s="52">
        <v>5</v>
      </c>
      <c r="L974" s="51">
        <v>495.08</v>
      </c>
      <c r="M974" s="77">
        <v>174</v>
      </c>
      <c r="N974" s="76">
        <v>56831.34</v>
      </c>
      <c r="O974" s="75">
        <v>164</v>
      </c>
      <c r="P974" s="74">
        <v>1408.8799999999994</v>
      </c>
      <c r="Q974" s="74">
        <v>456.49999999999989</v>
      </c>
      <c r="R974" s="53">
        <f t="shared" si="47"/>
        <v>3532.9</v>
      </c>
      <c r="S974" s="73">
        <v>15235.540000000012</v>
      </c>
    </row>
    <row r="975" spans="1:19" x14ac:dyDescent="0.25">
      <c r="A975" s="28"/>
      <c r="B975" s="45" t="str">
        <f t="shared" si="45"/>
        <v>Jul-2025</v>
      </c>
      <c r="C975" s="57">
        <v>45865</v>
      </c>
      <c r="D975" s="43">
        <f t="shared" si="46"/>
        <v>247</v>
      </c>
      <c r="E975" s="76"/>
      <c r="F975" s="50">
        <v>131</v>
      </c>
      <c r="G975" s="49">
        <v>55260</v>
      </c>
      <c r="H975" s="73">
        <v>131</v>
      </c>
      <c r="I975" s="77">
        <v>131</v>
      </c>
      <c r="J975" s="73">
        <v>11678.109999999999</v>
      </c>
      <c r="K975" s="52">
        <v>5</v>
      </c>
      <c r="L975" s="51">
        <v>302.03999999999996</v>
      </c>
      <c r="M975" s="77">
        <v>150</v>
      </c>
      <c r="N975" s="76">
        <v>44568.17</v>
      </c>
      <c r="O975" s="75">
        <v>135</v>
      </c>
      <c r="P975" s="74">
        <v>986.27999999999906</v>
      </c>
      <c r="Q975" s="74">
        <v>260.79999999999995</v>
      </c>
      <c r="R975" s="53">
        <f t="shared" si="47"/>
        <v>2763</v>
      </c>
      <c r="S975" s="73">
        <v>11678.11</v>
      </c>
    </row>
    <row r="976" spans="1:19" x14ac:dyDescent="0.25">
      <c r="A976" s="28"/>
      <c r="B976" s="45" t="str">
        <f t="shared" si="45"/>
        <v>Jul-2025</v>
      </c>
      <c r="C976" s="57">
        <v>45866</v>
      </c>
      <c r="D976" s="43">
        <f t="shared" si="46"/>
        <v>246</v>
      </c>
      <c r="E976" s="76">
        <v>1</v>
      </c>
      <c r="F976" s="50">
        <v>136</v>
      </c>
      <c r="G976" s="49">
        <v>53718</v>
      </c>
      <c r="H976" s="73">
        <v>133</v>
      </c>
      <c r="I976" s="77">
        <v>136</v>
      </c>
      <c r="J976" s="73">
        <v>19990.41</v>
      </c>
      <c r="K976" s="52">
        <v>4</v>
      </c>
      <c r="L976" s="51">
        <v>1016.2099999999999</v>
      </c>
      <c r="M976" s="77">
        <v>115</v>
      </c>
      <c r="N976" s="76">
        <v>35330.03</v>
      </c>
      <c r="O976" s="75">
        <v>110</v>
      </c>
      <c r="P976" s="74">
        <v>1602.4399999999982</v>
      </c>
      <c r="Q976" s="74">
        <v>358.92999999999984</v>
      </c>
      <c r="R976" s="53">
        <f t="shared" si="47"/>
        <v>2685.9</v>
      </c>
      <c r="S976" s="73">
        <v>19990.410000000003</v>
      </c>
    </row>
    <row r="977" spans="1:19" x14ac:dyDescent="0.25">
      <c r="A977" s="28"/>
      <c r="B977" s="45" t="str">
        <f t="shared" si="45"/>
        <v>Jul-2025</v>
      </c>
      <c r="C977" s="57">
        <v>45867</v>
      </c>
      <c r="D977" s="43">
        <f t="shared" si="46"/>
        <v>245</v>
      </c>
      <c r="E977" s="76"/>
      <c r="F977" s="50">
        <v>172</v>
      </c>
      <c r="G977" s="49">
        <v>70140</v>
      </c>
      <c r="H977" s="73">
        <v>171</v>
      </c>
      <c r="I977" s="77">
        <v>172</v>
      </c>
      <c r="J977" s="73">
        <v>21853.259999999987</v>
      </c>
      <c r="K977" s="52">
        <v>3</v>
      </c>
      <c r="L977" s="51">
        <v>504.01</v>
      </c>
      <c r="M977" s="77">
        <v>187</v>
      </c>
      <c r="N977" s="76">
        <v>50089.88</v>
      </c>
      <c r="O977" s="75">
        <v>171</v>
      </c>
      <c r="P977" s="74">
        <v>1803.1399999999987</v>
      </c>
      <c r="Q977" s="74">
        <v>433.22</v>
      </c>
      <c r="R977" s="53">
        <f t="shared" si="47"/>
        <v>3507</v>
      </c>
      <c r="S977" s="73">
        <v>21853.259999999987</v>
      </c>
    </row>
    <row r="978" spans="1:19" x14ac:dyDescent="0.25">
      <c r="A978" s="28"/>
      <c r="B978" s="45" t="str">
        <f t="shared" si="45"/>
        <v>Jul-2025</v>
      </c>
      <c r="C978" s="57">
        <v>45868</v>
      </c>
      <c r="D978" s="43">
        <f t="shared" si="46"/>
        <v>244</v>
      </c>
      <c r="E978" s="76"/>
      <c r="F978" s="50">
        <v>146</v>
      </c>
      <c r="G978" s="49">
        <v>60455</v>
      </c>
      <c r="H978" s="73">
        <v>144</v>
      </c>
      <c r="I978" s="77">
        <v>146</v>
      </c>
      <c r="J978" s="73">
        <v>16274.020000000004</v>
      </c>
      <c r="K978" s="52">
        <v>8</v>
      </c>
      <c r="L978" s="51">
        <v>1900.33</v>
      </c>
      <c r="M978" s="77">
        <v>154</v>
      </c>
      <c r="N978" s="76">
        <v>45578.14</v>
      </c>
      <c r="O978" s="75">
        <v>143</v>
      </c>
      <c r="P978" s="74">
        <v>1397.1600000000005</v>
      </c>
      <c r="Q978" s="74">
        <v>398.38999999999993</v>
      </c>
      <c r="R978" s="53">
        <f t="shared" si="47"/>
        <v>3022.75</v>
      </c>
      <c r="S978" s="73">
        <v>16274.020000000006</v>
      </c>
    </row>
    <row r="979" spans="1:19" x14ac:dyDescent="0.25">
      <c r="A979" s="28"/>
      <c r="B979" s="45" t="str">
        <f t="shared" si="45"/>
        <v>Jul-2025</v>
      </c>
      <c r="C979" s="57">
        <v>45869</v>
      </c>
      <c r="D979" s="43">
        <f t="shared" si="46"/>
        <v>243</v>
      </c>
      <c r="E979" s="76"/>
      <c r="F979" s="50">
        <v>165</v>
      </c>
      <c r="G979" s="49">
        <v>71860</v>
      </c>
      <c r="H979" s="73">
        <v>163</v>
      </c>
      <c r="I979" s="77">
        <v>165</v>
      </c>
      <c r="J979" s="73">
        <v>17477.479999999992</v>
      </c>
      <c r="K979" s="52">
        <v>5</v>
      </c>
      <c r="L979" s="51">
        <v>960.09999999999991</v>
      </c>
      <c r="M979" s="77">
        <v>152</v>
      </c>
      <c r="N979" s="76">
        <v>55875.25</v>
      </c>
      <c r="O979" s="75">
        <v>151</v>
      </c>
      <c r="P979" s="74">
        <v>1492.7299999999989</v>
      </c>
      <c r="Q979" s="74">
        <v>407.80000000000013</v>
      </c>
      <c r="R979" s="53">
        <f t="shared" si="47"/>
        <v>3593</v>
      </c>
      <c r="S979" s="73">
        <v>17477.479999999996</v>
      </c>
    </row>
    <row r="980" spans="1:19" s="97" customFormat="1" x14ac:dyDescent="0.25">
      <c r="A980" s="84"/>
      <c r="B980" s="85"/>
      <c r="C980" s="86"/>
      <c r="D980" s="87"/>
      <c r="E980" s="88"/>
      <c r="F980" s="89"/>
      <c r="G980" s="83">
        <f>SUM(G949:G979)</f>
        <v>1959865</v>
      </c>
      <c r="H980" s="90"/>
      <c r="I980" s="91"/>
      <c r="J980" s="90"/>
      <c r="K980" s="92"/>
      <c r="L980" s="93"/>
      <c r="M980" s="91"/>
      <c r="N980" s="88"/>
      <c r="O980" s="94"/>
      <c r="P980" s="95"/>
      <c r="Q980" s="95"/>
      <c r="R980" s="96"/>
      <c r="S980" s="90"/>
    </row>
    <row r="981" spans="1:19" x14ac:dyDescent="0.25">
      <c r="A981" s="28"/>
      <c r="B981" s="45" t="str">
        <f t="shared" si="45"/>
        <v>Aug-2025</v>
      </c>
      <c r="C981" s="57">
        <v>45870</v>
      </c>
      <c r="D981" s="43">
        <f t="shared" si="46"/>
        <v>242</v>
      </c>
      <c r="E981" s="76"/>
      <c r="F981" s="50">
        <v>142</v>
      </c>
      <c r="G981" s="49">
        <v>49834</v>
      </c>
      <c r="H981" s="73">
        <v>140</v>
      </c>
      <c r="I981" s="77">
        <v>142</v>
      </c>
      <c r="J981" s="73">
        <v>15028.630000000006</v>
      </c>
      <c r="K981" s="52">
        <v>4</v>
      </c>
      <c r="L981" s="51">
        <v>950.18999999999994</v>
      </c>
      <c r="M981" s="77">
        <v>128</v>
      </c>
      <c r="N981" s="76">
        <v>36012.22</v>
      </c>
      <c r="O981" s="75">
        <v>119</v>
      </c>
      <c r="P981" s="74">
        <v>1206.850000000001</v>
      </c>
      <c r="Q981" s="74">
        <v>271.28000000000003</v>
      </c>
      <c r="R981" s="53">
        <f t="shared" si="47"/>
        <v>2491.7000000000003</v>
      </c>
      <c r="S981" s="73">
        <v>15028.630000000005</v>
      </c>
    </row>
    <row r="982" spans="1:19" x14ac:dyDescent="0.25">
      <c r="A982" s="28"/>
      <c r="B982" s="45" t="str">
        <f t="shared" si="45"/>
        <v>Aug-2025</v>
      </c>
      <c r="C982" s="57">
        <v>45871</v>
      </c>
      <c r="D982" s="43">
        <f t="shared" si="46"/>
        <v>241</v>
      </c>
      <c r="E982" s="76">
        <v>1</v>
      </c>
      <c r="F982" s="50">
        <v>136</v>
      </c>
      <c r="G982" s="49">
        <v>60455</v>
      </c>
      <c r="H982" s="73">
        <v>136</v>
      </c>
      <c r="I982" s="77">
        <v>136</v>
      </c>
      <c r="J982" s="73">
        <v>16157.399999999994</v>
      </c>
      <c r="K982" s="52">
        <v>5</v>
      </c>
      <c r="L982" s="51">
        <v>578.04</v>
      </c>
      <c r="M982" s="77">
        <v>152</v>
      </c>
      <c r="N982" s="76">
        <v>45634.99</v>
      </c>
      <c r="O982" s="75">
        <v>139</v>
      </c>
      <c r="P982" s="74">
        <v>1337.3899999999994</v>
      </c>
      <c r="Q982" s="74">
        <v>345.32000000000005</v>
      </c>
      <c r="R982" s="53">
        <f t="shared" si="47"/>
        <v>3022.75</v>
      </c>
      <c r="S982" s="73">
        <v>16157.399999999994</v>
      </c>
    </row>
    <row r="983" spans="1:19" x14ac:dyDescent="0.25">
      <c r="A983" s="28"/>
      <c r="B983" s="45" t="str">
        <f t="shared" si="45"/>
        <v>Aug-2025</v>
      </c>
      <c r="C983" s="57">
        <v>45872</v>
      </c>
      <c r="D983" s="43">
        <f t="shared" si="46"/>
        <v>240</v>
      </c>
      <c r="E983" s="76"/>
      <c r="F983" s="50">
        <v>143</v>
      </c>
      <c r="G983" s="49">
        <v>61885</v>
      </c>
      <c r="H983" s="73">
        <v>143</v>
      </c>
      <c r="I983" s="77">
        <v>143</v>
      </c>
      <c r="J983" s="73">
        <v>14354.039999999986</v>
      </c>
      <c r="K983" s="52">
        <v>2</v>
      </c>
      <c r="L983" s="51">
        <v>101</v>
      </c>
      <c r="M983" s="77">
        <v>162</v>
      </c>
      <c r="N983" s="76">
        <v>48734.58</v>
      </c>
      <c r="O983" s="75">
        <v>150</v>
      </c>
      <c r="P983" s="74">
        <v>1203.6200000000003</v>
      </c>
      <c r="Q983" s="74">
        <v>322.49</v>
      </c>
      <c r="R983" s="53">
        <f t="shared" si="47"/>
        <v>3094.25</v>
      </c>
      <c r="S983" s="73">
        <v>14354.039999999994</v>
      </c>
    </row>
    <row r="984" spans="1:19" x14ac:dyDescent="0.25">
      <c r="A984" s="28"/>
      <c r="B984" s="45" t="str">
        <f t="shared" si="45"/>
        <v>Aug-2025</v>
      </c>
      <c r="C984" s="57">
        <v>45873</v>
      </c>
      <c r="D984" s="43">
        <f t="shared" si="46"/>
        <v>239</v>
      </c>
      <c r="E984" s="76"/>
      <c r="F984" s="50">
        <v>208</v>
      </c>
      <c r="G984" s="49">
        <v>88111</v>
      </c>
      <c r="H984" s="73">
        <v>205</v>
      </c>
      <c r="I984" s="77">
        <v>208</v>
      </c>
      <c r="J984" s="73">
        <v>24832.75</v>
      </c>
      <c r="K984" s="52">
        <v>7</v>
      </c>
      <c r="L984" s="51">
        <v>2151.4700000000003</v>
      </c>
      <c r="M984" s="77">
        <v>179</v>
      </c>
      <c r="N984" s="76">
        <v>65327.81</v>
      </c>
      <c r="O984" s="75">
        <v>174</v>
      </c>
      <c r="P984" s="74">
        <v>2049.5599999999972</v>
      </c>
      <c r="Q984" s="74">
        <v>527.55999999999995</v>
      </c>
      <c r="R984" s="53">
        <f t="shared" si="47"/>
        <v>4405.55</v>
      </c>
      <c r="S984" s="73">
        <v>24832.75</v>
      </c>
    </row>
    <row r="985" spans="1:19" x14ac:dyDescent="0.25">
      <c r="A985" s="28"/>
      <c r="B985" s="45" t="str">
        <f t="shared" si="45"/>
        <v>Aug-2025</v>
      </c>
      <c r="C985" s="57">
        <v>45874</v>
      </c>
      <c r="D985" s="43">
        <f t="shared" si="46"/>
        <v>238</v>
      </c>
      <c r="E985" s="76">
        <v>1</v>
      </c>
      <c r="F985" s="50">
        <v>189</v>
      </c>
      <c r="G985" s="49">
        <v>78263</v>
      </c>
      <c r="H985" s="73">
        <v>187</v>
      </c>
      <c r="I985" s="77">
        <v>189</v>
      </c>
      <c r="J985" s="73">
        <v>14408.509999999997</v>
      </c>
      <c r="K985" s="52">
        <v>5</v>
      </c>
      <c r="L985" s="51">
        <v>1500.3200000000002</v>
      </c>
      <c r="M985" s="77">
        <v>237</v>
      </c>
      <c r="N985" s="76">
        <v>65302.39</v>
      </c>
      <c r="O985" s="75">
        <v>216</v>
      </c>
      <c r="P985" s="74">
        <v>1447.9</v>
      </c>
      <c r="Q985" s="74">
        <v>572.93999999999983</v>
      </c>
      <c r="R985" s="53">
        <f t="shared" si="47"/>
        <v>3913.15</v>
      </c>
      <c r="S985" s="73">
        <v>14408.509999999995</v>
      </c>
    </row>
    <row r="986" spans="1:19" x14ac:dyDescent="0.25">
      <c r="A986" s="28"/>
      <c r="B986" s="45" t="str">
        <f t="shared" si="45"/>
        <v>Aug-2025</v>
      </c>
      <c r="C986" s="57">
        <v>45875</v>
      </c>
      <c r="D986" s="43">
        <f t="shared" si="46"/>
        <v>237</v>
      </c>
      <c r="E986" s="76"/>
      <c r="F986" s="50">
        <v>191</v>
      </c>
      <c r="G986" s="49">
        <v>78275</v>
      </c>
      <c r="H986" s="73">
        <v>188</v>
      </c>
      <c r="I986" s="77">
        <v>191</v>
      </c>
      <c r="J986" s="73">
        <v>22252.800000000017</v>
      </c>
      <c r="K986" s="52">
        <v>4</v>
      </c>
      <c r="L986" s="51">
        <v>1150.25</v>
      </c>
      <c r="M986" s="77">
        <v>182</v>
      </c>
      <c r="N986" s="76">
        <v>57825.32</v>
      </c>
      <c r="O986" s="75">
        <v>166</v>
      </c>
      <c r="P986" s="74">
        <v>1803.1199999999974</v>
      </c>
      <c r="Q986" s="74">
        <v>493.57000000000005</v>
      </c>
      <c r="R986" s="53">
        <f t="shared" si="47"/>
        <v>3913.75</v>
      </c>
      <c r="S986" s="73">
        <v>22252.800000000017</v>
      </c>
    </row>
    <row r="987" spans="1:19" x14ac:dyDescent="0.25">
      <c r="A987" s="28"/>
      <c r="B987" s="45" t="str">
        <f t="shared" si="45"/>
        <v>Aug-2025</v>
      </c>
      <c r="C987" s="57">
        <v>45876</v>
      </c>
      <c r="D987" s="43">
        <f t="shared" si="46"/>
        <v>236</v>
      </c>
      <c r="E987" s="76"/>
      <c r="F987" s="50">
        <v>164</v>
      </c>
      <c r="G987" s="49">
        <v>70110</v>
      </c>
      <c r="H987" s="73">
        <v>161</v>
      </c>
      <c r="I987" s="77">
        <v>164</v>
      </c>
      <c r="J987" s="73">
        <v>22413.15</v>
      </c>
      <c r="K987" s="52">
        <v>7</v>
      </c>
      <c r="L987" s="51">
        <v>917.17</v>
      </c>
      <c r="M987" s="77">
        <v>180</v>
      </c>
      <c r="N987" s="76">
        <v>49428.75</v>
      </c>
      <c r="O987" s="75">
        <v>173</v>
      </c>
      <c r="P987" s="74">
        <v>1731.8999999999994</v>
      </c>
      <c r="Q987" s="74">
        <v>433.30000000000007</v>
      </c>
      <c r="R987" s="53">
        <f t="shared" si="47"/>
        <v>3505.5</v>
      </c>
      <c r="S987" s="73">
        <v>22413.15</v>
      </c>
    </row>
    <row r="988" spans="1:19" x14ac:dyDescent="0.25">
      <c r="A988" s="28"/>
      <c r="B988" s="45" t="str">
        <f t="shared" si="45"/>
        <v>Aug-2025</v>
      </c>
      <c r="C988" s="57">
        <v>45877</v>
      </c>
      <c r="D988" s="43">
        <f t="shared" si="46"/>
        <v>235</v>
      </c>
      <c r="E988" s="76"/>
      <c r="F988" s="50">
        <v>139</v>
      </c>
      <c r="G988" s="49">
        <v>61193</v>
      </c>
      <c r="H988" s="73">
        <v>139</v>
      </c>
      <c r="I988" s="77">
        <v>139</v>
      </c>
      <c r="J988" s="73">
        <v>18371.679999999997</v>
      </c>
      <c r="K988" s="52">
        <v>1</v>
      </c>
      <c r="L988" s="51">
        <v>800.18</v>
      </c>
      <c r="M988" s="77">
        <v>127</v>
      </c>
      <c r="N988" s="76">
        <v>44284.46</v>
      </c>
      <c r="O988" s="75">
        <v>123</v>
      </c>
      <c r="P988" s="74">
        <v>1463.1399999999994</v>
      </c>
      <c r="Q988" s="74">
        <v>364.94</v>
      </c>
      <c r="R988" s="53">
        <f t="shared" si="47"/>
        <v>3059.65</v>
      </c>
      <c r="S988" s="73">
        <v>18371.68</v>
      </c>
    </row>
    <row r="989" spans="1:19" x14ac:dyDescent="0.25">
      <c r="A989" s="28"/>
      <c r="B989" s="45" t="str">
        <f t="shared" si="45"/>
        <v>Aug-2025</v>
      </c>
      <c r="C989" s="57">
        <v>45878</v>
      </c>
      <c r="D989" s="43">
        <f t="shared" si="46"/>
        <v>234</v>
      </c>
      <c r="E989" s="76"/>
      <c r="F989" s="50">
        <v>161</v>
      </c>
      <c r="G989" s="49">
        <v>68470</v>
      </c>
      <c r="H989" s="73">
        <v>160</v>
      </c>
      <c r="I989" s="77">
        <v>161</v>
      </c>
      <c r="J989" s="73">
        <v>17539.740000000005</v>
      </c>
      <c r="K989" s="52">
        <v>2</v>
      </c>
      <c r="L989" s="51">
        <v>200.04</v>
      </c>
      <c r="M989" s="77">
        <v>162</v>
      </c>
      <c r="N989" s="76">
        <v>52378.69</v>
      </c>
      <c r="O989" s="75">
        <v>149</v>
      </c>
      <c r="P989" s="74">
        <v>1448.4300000000012</v>
      </c>
      <c r="Q989" s="74">
        <v>400.61000000000013</v>
      </c>
      <c r="R989" s="53">
        <f t="shared" si="47"/>
        <v>3423.5</v>
      </c>
      <c r="S989" s="73">
        <v>17539.739999999994</v>
      </c>
    </row>
    <row r="990" spans="1:19" x14ac:dyDescent="0.25">
      <c r="A990" s="28"/>
      <c r="B990" s="45" t="str">
        <f t="shared" si="45"/>
        <v>Aug-2025</v>
      </c>
      <c r="C990" s="57">
        <v>45879</v>
      </c>
      <c r="D990" s="43">
        <f t="shared" si="46"/>
        <v>233</v>
      </c>
      <c r="E990" s="76"/>
      <c r="F990" s="50">
        <v>138</v>
      </c>
      <c r="G990" s="49">
        <v>52749</v>
      </c>
      <c r="H990" s="73">
        <v>136</v>
      </c>
      <c r="I990" s="77">
        <v>138</v>
      </c>
      <c r="J990" s="73">
        <v>15850.99</v>
      </c>
      <c r="K990" s="52">
        <v>5</v>
      </c>
      <c r="L990" s="51">
        <v>500.09999999999997</v>
      </c>
      <c r="M990" s="77">
        <v>171</v>
      </c>
      <c r="N990" s="76">
        <v>38112.769999999997</v>
      </c>
      <c r="O990" s="75">
        <v>155</v>
      </c>
      <c r="P990" s="74">
        <v>1214.7599999999991</v>
      </c>
      <c r="Q990" s="74">
        <v>272.48</v>
      </c>
      <c r="R990" s="53">
        <f t="shared" si="47"/>
        <v>2637.4500000000003</v>
      </c>
      <c r="S990" s="73">
        <v>15850.990000000002</v>
      </c>
    </row>
    <row r="991" spans="1:19" x14ac:dyDescent="0.25">
      <c r="A991" s="28"/>
      <c r="B991" s="45" t="str">
        <f t="shared" si="45"/>
        <v>Aug-2025</v>
      </c>
      <c r="C991" s="57">
        <v>45880</v>
      </c>
      <c r="D991" s="43">
        <f t="shared" si="46"/>
        <v>232</v>
      </c>
      <c r="E991" s="76">
        <v>1</v>
      </c>
      <c r="F991" s="50">
        <v>138</v>
      </c>
      <c r="G991" s="49">
        <v>54320</v>
      </c>
      <c r="H991" s="73">
        <v>134</v>
      </c>
      <c r="I991" s="77">
        <v>138</v>
      </c>
      <c r="J991" s="73">
        <v>13613.470000000001</v>
      </c>
      <c r="K991" s="52">
        <v>6</v>
      </c>
      <c r="L991" s="51">
        <v>1547.34</v>
      </c>
      <c r="M991" s="77">
        <v>144</v>
      </c>
      <c r="N991" s="76">
        <v>41816.9</v>
      </c>
      <c r="O991" s="75">
        <v>132</v>
      </c>
      <c r="P991" s="74">
        <v>1110.369999999999</v>
      </c>
      <c r="Q991" s="74">
        <v>298.43999999999994</v>
      </c>
      <c r="R991" s="53">
        <f t="shared" si="47"/>
        <v>2716</v>
      </c>
      <c r="S991" s="73">
        <v>13613.470000000001</v>
      </c>
    </row>
    <row r="992" spans="1:19" x14ac:dyDescent="0.25">
      <c r="A992" s="28"/>
      <c r="B992" s="45" t="str">
        <f t="shared" si="45"/>
        <v>Aug-2025</v>
      </c>
      <c r="C992" s="57">
        <v>45881</v>
      </c>
      <c r="D992" s="43">
        <f t="shared" si="46"/>
        <v>231</v>
      </c>
      <c r="E992" s="76"/>
      <c r="F992" s="50">
        <v>168</v>
      </c>
      <c r="G992" s="49">
        <v>71705</v>
      </c>
      <c r="H992" s="73">
        <v>159</v>
      </c>
      <c r="I992" s="77">
        <v>168</v>
      </c>
      <c r="J992" s="73">
        <v>16967.890000000003</v>
      </c>
      <c r="K992" s="52">
        <v>14</v>
      </c>
      <c r="L992" s="51">
        <v>3497.74</v>
      </c>
      <c r="M992" s="77">
        <v>167</v>
      </c>
      <c r="N992" s="76">
        <v>56080.7</v>
      </c>
      <c r="O992" s="75">
        <v>159</v>
      </c>
      <c r="P992" s="74">
        <v>1343.5899999999995</v>
      </c>
      <c r="Q992" s="74">
        <v>340.56000000000006</v>
      </c>
      <c r="R992" s="53">
        <f t="shared" si="47"/>
        <v>3585.25</v>
      </c>
      <c r="S992" s="73">
        <v>16967.890000000007</v>
      </c>
    </row>
    <row r="993" spans="1:19" x14ac:dyDescent="0.25">
      <c r="A993" s="28"/>
      <c r="B993" s="45" t="str">
        <f t="shared" si="45"/>
        <v>Aug-2025</v>
      </c>
      <c r="C993" s="57">
        <v>45882</v>
      </c>
      <c r="D993" s="43">
        <f t="shared" si="46"/>
        <v>230</v>
      </c>
      <c r="E993" s="76"/>
      <c r="F993" s="50">
        <v>152</v>
      </c>
      <c r="G993" s="49">
        <v>73414</v>
      </c>
      <c r="H993" s="73">
        <v>151</v>
      </c>
      <c r="I993" s="77">
        <v>152</v>
      </c>
      <c r="J993" s="73">
        <v>25020.919999999995</v>
      </c>
      <c r="K993" s="52">
        <v>3</v>
      </c>
      <c r="L993" s="51">
        <v>755.16</v>
      </c>
      <c r="M993" s="77">
        <v>140</v>
      </c>
      <c r="N993" s="76">
        <v>49395.6</v>
      </c>
      <c r="O993" s="75">
        <v>133</v>
      </c>
      <c r="P993" s="74">
        <v>1945.2399999999986</v>
      </c>
      <c r="Q993" s="74">
        <v>469.35</v>
      </c>
      <c r="R993" s="53">
        <f t="shared" si="47"/>
        <v>3670.7000000000003</v>
      </c>
      <c r="S993" s="73">
        <v>25020.92</v>
      </c>
    </row>
    <row r="994" spans="1:19" x14ac:dyDescent="0.25">
      <c r="A994" s="28"/>
      <c r="B994" s="45" t="str">
        <f t="shared" si="45"/>
        <v>Aug-2025</v>
      </c>
      <c r="C994" s="57">
        <v>45883</v>
      </c>
      <c r="D994" s="43">
        <f t="shared" si="46"/>
        <v>229</v>
      </c>
      <c r="E994" s="76">
        <v>1</v>
      </c>
      <c r="F994" s="50">
        <v>178</v>
      </c>
      <c r="G994" s="49">
        <v>67460</v>
      </c>
      <c r="H994" s="73">
        <v>178</v>
      </c>
      <c r="I994" s="77">
        <v>178</v>
      </c>
      <c r="J994" s="73">
        <v>28756.349999999995</v>
      </c>
      <c r="K994" s="52">
        <v>1</v>
      </c>
      <c r="L994" s="51">
        <v>700.15</v>
      </c>
      <c r="M994" s="77">
        <v>137</v>
      </c>
      <c r="N994" s="76">
        <v>40722.58</v>
      </c>
      <c r="O994" s="75">
        <v>132</v>
      </c>
      <c r="P994" s="74">
        <v>2018.929999999998</v>
      </c>
      <c r="Q994" s="74">
        <v>356.00000000000011</v>
      </c>
      <c r="R994" s="53">
        <f t="shared" si="47"/>
        <v>3373</v>
      </c>
      <c r="S994" s="73">
        <v>28756.349999999991</v>
      </c>
    </row>
    <row r="995" spans="1:19" x14ac:dyDescent="0.25">
      <c r="A995" s="28"/>
      <c r="B995" s="45" t="str">
        <f t="shared" si="45"/>
        <v>Aug-2025</v>
      </c>
      <c r="C995" s="57">
        <v>45884</v>
      </c>
      <c r="D995" s="43">
        <f t="shared" si="46"/>
        <v>228</v>
      </c>
      <c r="E995" s="76"/>
      <c r="F995" s="50">
        <v>160</v>
      </c>
      <c r="G995" s="49">
        <v>61454</v>
      </c>
      <c r="H995" s="73">
        <v>158</v>
      </c>
      <c r="I995" s="77">
        <v>160</v>
      </c>
      <c r="J995" s="73">
        <v>23306.180000000018</v>
      </c>
      <c r="K995" s="52">
        <v>3</v>
      </c>
      <c r="L995" s="51">
        <v>400.09</v>
      </c>
      <c r="M995" s="77">
        <v>136</v>
      </c>
      <c r="N995" s="76">
        <v>39781.949999999997</v>
      </c>
      <c r="O995" s="75">
        <v>127</v>
      </c>
      <c r="P995" s="74">
        <v>1634.1299999999972</v>
      </c>
      <c r="Q995" s="74">
        <v>305.02</v>
      </c>
      <c r="R995" s="53">
        <f t="shared" si="47"/>
        <v>3072.7000000000003</v>
      </c>
      <c r="S995" s="73">
        <v>23306.180000000022</v>
      </c>
    </row>
    <row r="996" spans="1:19" x14ac:dyDescent="0.25">
      <c r="A996" s="28"/>
      <c r="B996" s="45" t="str">
        <f t="shared" si="45"/>
        <v>Aug-2025</v>
      </c>
      <c r="C996" s="57">
        <v>45885</v>
      </c>
      <c r="D996" s="43">
        <f t="shared" si="46"/>
        <v>227</v>
      </c>
      <c r="E996" s="76"/>
      <c r="F996" s="50">
        <v>148</v>
      </c>
      <c r="G996" s="49">
        <v>57923</v>
      </c>
      <c r="H996" s="73">
        <v>147</v>
      </c>
      <c r="I996" s="77">
        <v>148</v>
      </c>
      <c r="J996" s="73">
        <v>16828.889999999992</v>
      </c>
      <c r="K996" s="52">
        <v>5</v>
      </c>
      <c r="L996" s="51">
        <v>477.03999999999996</v>
      </c>
      <c r="M996" s="77">
        <v>150</v>
      </c>
      <c r="N996" s="76">
        <v>42426.6</v>
      </c>
      <c r="O996" s="75">
        <v>143</v>
      </c>
      <c r="P996" s="74">
        <v>1332.4899999999991</v>
      </c>
      <c r="Q996" s="74">
        <v>373.76999999999987</v>
      </c>
      <c r="R996" s="53">
        <f t="shared" si="47"/>
        <v>2896.15</v>
      </c>
      <c r="S996" s="73">
        <v>16828.889999999992</v>
      </c>
    </row>
    <row r="997" spans="1:19" x14ac:dyDescent="0.25">
      <c r="A997" s="28"/>
      <c r="B997" s="45" t="str">
        <f t="shared" si="45"/>
        <v>Aug-2025</v>
      </c>
      <c r="C997" s="57">
        <v>45886</v>
      </c>
      <c r="D997" s="43">
        <f t="shared" si="46"/>
        <v>226</v>
      </c>
      <c r="E997" s="76"/>
      <c r="F997" s="50">
        <v>174</v>
      </c>
      <c r="G997" s="49">
        <v>66770</v>
      </c>
      <c r="H997" s="73">
        <v>160</v>
      </c>
      <c r="I997" s="77">
        <v>174</v>
      </c>
      <c r="J997" s="73">
        <v>19477.909999999982</v>
      </c>
      <c r="K997" s="52">
        <v>16</v>
      </c>
      <c r="L997" s="51">
        <v>1904.3899999999999</v>
      </c>
      <c r="M997" s="77">
        <v>182</v>
      </c>
      <c r="N997" s="76">
        <v>48747.08</v>
      </c>
      <c r="O997" s="75">
        <v>166</v>
      </c>
      <c r="P997" s="74">
        <v>1454.99</v>
      </c>
      <c r="Q997" s="74">
        <v>322.26000000000005</v>
      </c>
      <c r="R997" s="53">
        <f t="shared" si="47"/>
        <v>3338.5</v>
      </c>
      <c r="S997" s="73">
        <v>19477.909999999982</v>
      </c>
    </row>
    <row r="998" spans="1:19" x14ac:dyDescent="0.25">
      <c r="A998" s="28"/>
      <c r="B998" s="45" t="str">
        <f t="shared" si="45"/>
        <v>Aug-2025</v>
      </c>
      <c r="C998" s="57">
        <v>45887</v>
      </c>
      <c r="D998" s="43">
        <f t="shared" si="46"/>
        <v>225</v>
      </c>
      <c r="E998" s="76"/>
      <c r="F998" s="50">
        <v>147</v>
      </c>
      <c r="G998" s="49">
        <v>58331</v>
      </c>
      <c r="H998" s="73">
        <v>146</v>
      </c>
      <c r="I998" s="77">
        <v>147</v>
      </c>
      <c r="J998" s="73">
        <v>14365.099999999999</v>
      </c>
      <c r="K998" s="52">
        <v>6</v>
      </c>
      <c r="L998" s="51">
        <v>1975.42</v>
      </c>
      <c r="M998" s="77">
        <v>134</v>
      </c>
      <c r="N998" s="76">
        <v>45068.88</v>
      </c>
      <c r="O998" s="75">
        <v>125</v>
      </c>
      <c r="P998" s="74">
        <v>1102.9799999999991</v>
      </c>
      <c r="Q998" s="74">
        <v>267.92999999999995</v>
      </c>
      <c r="R998" s="53">
        <f t="shared" si="47"/>
        <v>2916.55</v>
      </c>
      <c r="S998" s="73">
        <v>14365.099999999997</v>
      </c>
    </row>
    <row r="999" spans="1:19" x14ac:dyDescent="0.25">
      <c r="A999" s="28"/>
      <c r="B999" s="45" t="str">
        <f t="shared" si="45"/>
        <v>Aug-2025</v>
      </c>
      <c r="C999" s="57">
        <v>45888</v>
      </c>
      <c r="D999" s="43">
        <f t="shared" si="46"/>
        <v>224</v>
      </c>
      <c r="E999" s="76"/>
      <c r="F999" s="50">
        <v>134</v>
      </c>
      <c r="G999" s="49">
        <v>55828</v>
      </c>
      <c r="H999" s="73">
        <v>134</v>
      </c>
      <c r="I999" s="77">
        <v>134</v>
      </c>
      <c r="J999" s="73">
        <v>16752.330000000002</v>
      </c>
      <c r="K999" s="52">
        <v>3</v>
      </c>
      <c r="L999" s="51">
        <v>170.03</v>
      </c>
      <c r="M999" s="77">
        <v>126</v>
      </c>
      <c r="N999" s="76">
        <v>40302.33</v>
      </c>
      <c r="O999" s="75">
        <v>118</v>
      </c>
      <c r="P999" s="74">
        <v>1226.6600000000003</v>
      </c>
      <c r="Q999" s="74">
        <v>281.76999999999992</v>
      </c>
      <c r="R999" s="53">
        <f t="shared" si="47"/>
        <v>2791.4</v>
      </c>
      <c r="S999" s="73">
        <v>16752.329999999994</v>
      </c>
    </row>
    <row r="1000" spans="1:19" x14ac:dyDescent="0.25">
      <c r="A1000" s="28"/>
      <c r="B1000" s="45" t="str">
        <f t="shared" si="45"/>
        <v>Aug-2025</v>
      </c>
      <c r="C1000" s="57">
        <v>45889</v>
      </c>
      <c r="D1000" s="43">
        <f t="shared" si="46"/>
        <v>223</v>
      </c>
      <c r="E1000" s="76"/>
      <c r="F1000" s="50">
        <v>153</v>
      </c>
      <c r="G1000" s="49">
        <v>64770</v>
      </c>
      <c r="H1000" s="73">
        <v>150</v>
      </c>
      <c r="I1000" s="77">
        <v>153</v>
      </c>
      <c r="J1000" s="73">
        <v>17574.650000000009</v>
      </c>
      <c r="K1000" s="52">
        <v>4</v>
      </c>
      <c r="L1000" s="51">
        <v>1600.35</v>
      </c>
      <c r="M1000" s="77">
        <v>183</v>
      </c>
      <c r="N1000" s="76">
        <v>48560.38</v>
      </c>
      <c r="O1000" s="75">
        <v>170</v>
      </c>
      <c r="P1000" s="74">
        <v>1365.0300000000007</v>
      </c>
      <c r="Q1000" s="74">
        <v>362.06999999999994</v>
      </c>
      <c r="R1000" s="53">
        <f t="shared" si="47"/>
        <v>3238.5</v>
      </c>
      <c r="S1000" s="73">
        <v>17574.650000000009</v>
      </c>
    </row>
    <row r="1001" spans="1:19" x14ac:dyDescent="0.25">
      <c r="A1001" s="28"/>
      <c r="B1001" s="45" t="str">
        <f t="shared" si="45"/>
        <v>Aug-2025</v>
      </c>
      <c r="C1001" s="57">
        <v>45890</v>
      </c>
      <c r="D1001" s="43">
        <f t="shared" si="46"/>
        <v>222</v>
      </c>
      <c r="E1001" s="76"/>
      <c r="F1001" s="50">
        <v>142</v>
      </c>
      <c r="G1001" s="49">
        <v>61980</v>
      </c>
      <c r="H1001" s="73">
        <v>141</v>
      </c>
      <c r="I1001" s="77">
        <v>142</v>
      </c>
      <c r="J1001" s="73">
        <v>13840.890000000001</v>
      </c>
      <c r="K1001" s="52">
        <v>5</v>
      </c>
      <c r="L1001" s="51">
        <v>1567.33</v>
      </c>
      <c r="M1001" s="77">
        <v>157</v>
      </c>
      <c r="N1001" s="76">
        <v>49366.16</v>
      </c>
      <c r="O1001" s="75">
        <v>147</v>
      </c>
      <c r="P1001" s="74">
        <v>1227.05</v>
      </c>
      <c r="Q1001" s="74">
        <v>438.43</v>
      </c>
      <c r="R1001" s="53">
        <f t="shared" si="47"/>
        <v>3099</v>
      </c>
      <c r="S1001" s="73">
        <v>13840.890000000003</v>
      </c>
    </row>
    <row r="1002" spans="1:19" x14ac:dyDescent="0.25">
      <c r="A1002" s="28"/>
      <c r="B1002" s="45" t="str">
        <f t="shared" si="45"/>
        <v>Aug-2025</v>
      </c>
      <c r="C1002" s="57">
        <v>45891</v>
      </c>
      <c r="D1002" s="43">
        <f t="shared" si="46"/>
        <v>221</v>
      </c>
      <c r="E1002" s="76"/>
      <c r="F1002" s="50">
        <v>121</v>
      </c>
      <c r="G1002" s="49">
        <v>54605</v>
      </c>
      <c r="H1002" s="73">
        <v>120</v>
      </c>
      <c r="I1002" s="77">
        <v>121</v>
      </c>
      <c r="J1002" s="73">
        <v>12035.900000000003</v>
      </c>
      <c r="K1002" s="52">
        <v>7</v>
      </c>
      <c r="L1002" s="51">
        <v>1043.22</v>
      </c>
      <c r="M1002" s="77">
        <v>129</v>
      </c>
      <c r="N1002" s="76">
        <v>43505.79</v>
      </c>
      <c r="O1002" s="75">
        <v>119</v>
      </c>
      <c r="P1002" s="74">
        <v>936.69</v>
      </c>
      <c r="Q1002" s="74">
        <v>260.63</v>
      </c>
      <c r="R1002" s="53">
        <f t="shared" si="47"/>
        <v>2730.25</v>
      </c>
      <c r="S1002" s="73">
        <v>12035.9</v>
      </c>
    </row>
    <row r="1003" spans="1:19" x14ac:dyDescent="0.25">
      <c r="A1003" s="28"/>
      <c r="B1003" s="45" t="str">
        <f t="shared" si="45"/>
        <v>Aug-2025</v>
      </c>
      <c r="C1003" s="57">
        <v>45892</v>
      </c>
      <c r="D1003" s="43">
        <f t="shared" si="46"/>
        <v>220</v>
      </c>
      <c r="E1003" s="76"/>
      <c r="F1003" s="50">
        <v>129</v>
      </c>
      <c r="G1003" s="49">
        <v>59769</v>
      </c>
      <c r="H1003" s="73">
        <v>129</v>
      </c>
      <c r="I1003" s="77">
        <v>129</v>
      </c>
      <c r="J1003" s="73">
        <v>13788.279999999999</v>
      </c>
      <c r="K1003" s="52">
        <v>6</v>
      </c>
      <c r="L1003" s="51">
        <v>216</v>
      </c>
      <c r="M1003" s="77">
        <v>147</v>
      </c>
      <c r="N1003" s="76">
        <v>47048.95</v>
      </c>
      <c r="O1003" s="75">
        <v>135</v>
      </c>
      <c r="P1003" s="74">
        <v>1068.23</v>
      </c>
      <c r="Q1003" s="74">
        <v>300.74</v>
      </c>
      <c r="R1003" s="53">
        <f t="shared" si="47"/>
        <v>2988.4500000000003</v>
      </c>
      <c r="S1003" s="73">
        <v>13788.280000000004</v>
      </c>
    </row>
    <row r="1004" spans="1:19" x14ac:dyDescent="0.25">
      <c r="A1004" s="28"/>
      <c r="B1004" s="45" t="str">
        <f t="shared" si="45"/>
        <v>Aug-2025</v>
      </c>
      <c r="C1004" s="57">
        <v>45893</v>
      </c>
      <c r="D1004" s="43">
        <f t="shared" si="46"/>
        <v>219</v>
      </c>
      <c r="E1004" s="76"/>
      <c r="F1004" s="50">
        <v>130</v>
      </c>
      <c r="G1004" s="49">
        <v>58305</v>
      </c>
      <c r="H1004" s="73">
        <v>130</v>
      </c>
      <c r="I1004" s="77">
        <v>130</v>
      </c>
      <c r="J1004" s="73">
        <v>14856.980000000003</v>
      </c>
      <c r="K1004" s="52">
        <v>4</v>
      </c>
      <c r="L1004" s="51">
        <v>600.13</v>
      </c>
      <c r="M1004" s="77">
        <v>162</v>
      </c>
      <c r="N1004" s="76">
        <v>44624.69</v>
      </c>
      <c r="O1004" s="75">
        <v>143</v>
      </c>
      <c r="P1004" s="74">
        <v>1176.6700000000003</v>
      </c>
      <c r="Q1004" s="74">
        <v>350.92</v>
      </c>
      <c r="R1004" s="53">
        <f t="shared" si="47"/>
        <v>2915.25</v>
      </c>
      <c r="S1004" s="73">
        <v>14856.980000000003</v>
      </c>
    </row>
    <row r="1005" spans="1:19" x14ac:dyDescent="0.25">
      <c r="A1005" s="28"/>
      <c r="B1005" s="45" t="str">
        <f t="shared" si="45"/>
        <v>Aug-2025</v>
      </c>
      <c r="C1005" s="57">
        <v>45894</v>
      </c>
      <c r="D1005" s="43">
        <f t="shared" si="46"/>
        <v>218</v>
      </c>
      <c r="E1005" s="76"/>
      <c r="F1005" s="50">
        <v>130</v>
      </c>
      <c r="G1005" s="49">
        <v>59450</v>
      </c>
      <c r="H1005" s="73">
        <v>126</v>
      </c>
      <c r="I1005" s="77">
        <v>130</v>
      </c>
      <c r="J1005" s="73">
        <v>12270.439999999997</v>
      </c>
      <c r="K1005" s="52">
        <v>9</v>
      </c>
      <c r="L1005" s="51">
        <v>2440.52</v>
      </c>
      <c r="M1005" s="77">
        <v>131</v>
      </c>
      <c r="N1005" s="76">
        <v>48127.3</v>
      </c>
      <c r="O1005" s="75">
        <v>122</v>
      </c>
      <c r="P1005" s="74">
        <v>947.7400000000008</v>
      </c>
      <c r="Q1005" s="74">
        <v>260.84999999999991</v>
      </c>
      <c r="R1005" s="53">
        <f t="shared" si="47"/>
        <v>2972.5</v>
      </c>
      <c r="S1005" s="73">
        <v>12270.439999999993</v>
      </c>
    </row>
    <row r="1006" spans="1:19" x14ac:dyDescent="0.25">
      <c r="A1006" s="28"/>
      <c r="B1006" s="45" t="str">
        <f t="shared" si="45"/>
        <v>Aug-2025</v>
      </c>
      <c r="C1006" s="57">
        <v>45895</v>
      </c>
      <c r="D1006" s="43">
        <f t="shared" si="46"/>
        <v>217</v>
      </c>
      <c r="E1006" s="76"/>
      <c r="F1006" s="50">
        <v>117</v>
      </c>
      <c r="G1006" s="49">
        <v>48600</v>
      </c>
      <c r="H1006" s="73">
        <v>116</v>
      </c>
      <c r="I1006" s="77">
        <v>117</v>
      </c>
      <c r="J1006" s="73">
        <v>11376.37</v>
      </c>
      <c r="K1006" s="52">
        <v>2</v>
      </c>
      <c r="L1006" s="51">
        <v>600.13</v>
      </c>
      <c r="M1006" s="77">
        <v>131</v>
      </c>
      <c r="N1006" s="76">
        <v>38213.06</v>
      </c>
      <c r="O1006" s="75">
        <v>110</v>
      </c>
      <c r="P1006" s="74">
        <v>989.4299999999995</v>
      </c>
      <c r="Q1006" s="74">
        <v>351.9899999999999</v>
      </c>
      <c r="R1006" s="53">
        <f t="shared" si="47"/>
        <v>2430</v>
      </c>
      <c r="S1006" s="73">
        <v>11376.370000000004</v>
      </c>
    </row>
    <row r="1007" spans="1:19" x14ac:dyDescent="0.25">
      <c r="A1007" s="28"/>
      <c r="B1007" s="45" t="str">
        <f t="shared" si="45"/>
        <v>Aug-2025</v>
      </c>
      <c r="C1007" s="57">
        <v>45896</v>
      </c>
      <c r="D1007" s="43">
        <f t="shared" si="46"/>
        <v>216</v>
      </c>
      <c r="E1007" s="76"/>
      <c r="F1007" s="50">
        <v>128</v>
      </c>
      <c r="G1007" s="49">
        <v>55730</v>
      </c>
      <c r="H1007" s="73">
        <v>128</v>
      </c>
      <c r="I1007" s="77">
        <v>128</v>
      </c>
      <c r="J1007" s="73">
        <v>13026.889999999996</v>
      </c>
      <c r="K1007" s="52">
        <v>2</v>
      </c>
      <c r="L1007" s="51">
        <v>820.18</v>
      </c>
      <c r="M1007" s="77">
        <v>136</v>
      </c>
      <c r="N1007" s="76">
        <v>43749.52</v>
      </c>
      <c r="O1007" s="75">
        <v>126</v>
      </c>
      <c r="P1007" s="74">
        <v>1046.4099999999994</v>
      </c>
      <c r="Q1007" s="74">
        <v>332.34000000000003</v>
      </c>
      <c r="R1007" s="53">
        <f t="shared" si="47"/>
        <v>2786.5</v>
      </c>
      <c r="S1007" s="73">
        <v>13026.889999999996</v>
      </c>
    </row>
    <row r="1008" spans="1:19" x14ac:dyDescent="0.25">
      <c r="A1008" s="28"/>
      <c r="B1008" s="45" t="str">
        <f t="shared" si="45"/>
        <v>Aug-2025</v>
      </c>
      <c r="C1008" s="57">
        <v>45897</v>
      </c>
      <c r="D1008" s="43">
        <f t="shared" si="46"/>
        <v>215</v>
      </c>
      <c r="E1008" s="76"/>
      <c r="F1008" s="50">
        <v>113</v>
      </c>
      <c r="G1008" s="49">
        <v>46469</v>
      </c>
      <c r="H1008" s="73">
        <v>113</v>
      </c>
      <c r="I1008" s="77">
        <v>113</v>
      </c>
      <c r="J1008" s="73">
        <v>12764.929999999998</v>
      </c>
      <c r="K1008" s="52">
        <v>4</v>
      </c>
      <c r="L1008" s="51">
        <v>932.19999999999993</v>
      </c>
      <c r="M1008" s="77">
        <v>102</v>
      </c>
      <c r="N1008" s="76">
        <v>34793.230000000003</v>
      </c>
      <c r="O1008" s="75">
        <v>96</v>
      </c>
      <c r="P1008" s="74">
        <v>1089.1599999999994</v>
      </c>
      <c r="Q1008" s="74">
        <v>395.29999999999995</v>
      </c>
      <c r="R1008" s="53">
        <f t="shared" si="47"/>
        <v>2323.4500000000003</v>
      </c>
      <c r="S1008" s="73">
        <v>12764.929999999993</v>
      </c>
    </row>
    <row r="1009" spans="1:19" x14ac:dyDescent="0.25">
      <c r="A1009" s="28"/>
      <c r="B1009" s="45" t="str">
        <f t="shared" si="45"/>
        <v>Aug-2025</v>
      </c>
      <c r="C1009" s="57">
        <v>45898</v>
      </c>
      <c r="D1009" s="43">
        <f t="shared" si="46"/>
        <v>214</v>
      </c>
      <c r="E1009" s="76">
        <v>1</v>
      </c>
      <c r="F1009" s="50">
        <v>138</v>
      </c>
      <c r="G1009" s="49">
        <v>69285</v>
      </c>
      <c r="H1009" s="73">
        <v>138</v>
      </c>
      <c r="I1009" s="77">
        <v>138</v>
      </c>
      <c r="J1009" s="73">
        <v>18030.050000000007</v>
      </c>
      <c r="K1009" s="52">
        <v>2</v>
      </c>
      <c r="L1009" s="51">
        <v>200.01999999999998</v>
      </c>
      <c r="M1009" s="77">
        <v>197</v>
      </c>
      <c r="N1009" s="76">
        <v>52610.65</v>
      </c>
      <c r="O1009" s="75">
        <v>167</v>
      </c>
      <c r="P1009" s="74">
        <v>1355.7</v>
      </c>
      <c r="Q1009" s="74">
        <v>383.34</v>
      </c>
      <c r="R1009" s="53">
        <f t="shared" si="47"/>
        <v>3464.25</v>
      </c>
      <c r="S1009" s="73">
        <v>18030.050000000007</v>
      </c>
    </row>
    <row r="1010" spans="1:19" x14ac:dyDescent="0.25">
      <c r="A1010" s="28"/>
      <c r="B1010" s="45" t="str">
        <f t="shared" si="45"/>
        <v>Aug-2025</v>
      </c>
      <c r="C1010" s="57">
        <v>45899</v>
      </c>
      <c r="D1010" s="43">
        <f t="shared" si="46"/>
        <v>213</v>
      </c>
      <c r="E1010" s="76"/>
      <c r="F1010" s="50">
        <v>112</v>
      </c>
      <c r="G1010" s="49">
        <v>45018</v>
      </c>
      <c r="H1010" s="73">
        <v>110</v>
      </c>
      <c r="I1010" s="77">
        <v>112</v>
      </c>
      <c r="J1010" s="73">
        <v>12011.669999999996</v>
      </c>
      <c r="K1010" s="52">
        <v>5</v>
      </c>
      <c r="L1010" s="51">
        <v>510.1</v>
      </c>
      <c r="M1010" s="77">
        <v>140</v>
      </c>
      <c r="N1010" s="76">
        <v>33938.81</v>
      </c>
      <c r="O1010" s="75">
        <v>129</v>
      </c>
      <c r="P1010" s="74">
        <v>932.48000000000025</v>
      </c>
      <c r="Q1010" s="74">
        <v>280.58999999999997</v>
      </c>
      <c r="R1010" s="53">
        <f t="shared" si="47"/>
        <v>2250.9</v>
      </c>
      <c r="S1010" s="73">
        <v>12011.669999999993</v>
      </c>
    </row>
    <row r="1011" spans="1:19" x14ac:dyDescent="0.25">
      <c r="A1011" s="28"/>
      <c r="B1011" s="45" t="str">
        <f t="shared" si="45"/>
        <v>Aug-2025</v>
      </c>
      <c r="C1011" s="57">
        <v>45900</v>
      </c>
      <c r="D1011" s="43">
        <f t="shared" si="46"/>
        <v>212</v>
      </c>
      <c r="E1011" s="76"/>
      <c r="F1011" s="50">
        <v>124</v>
      </c>
      <c r="G1011" s="49">
        <v>55238</v>
      </c>
      <c r="H1011" s="73">
        <v>119</v>
      </c>
      <c r="I1011" s="77">
        <v>124</v>
      </c>
      <c r="J1011" s="73">
        <v>12699.830000000005</v>
      </c>
      <c r="K1011" s="52">
        <v>5</v>
      </c>
      <c r="L1011" s="51">
        <v>600.12</v>
      </c>
      <c r="M1011" s="77">
        <v>130</v>
      </c>
      <c r="N1011" s="76">
        <v>43556.3</v>
      </c>
      <c r="O1011" s="75">
        <v>120</v>
      </c>
      <c r="P1011" s="74">
        <v>1018.1299999999999</v>
      </c>
      <c r="Q1011" s="74">
        <v>340.39999999999986</v>
      </c>
      <c r="R1011" s="53">
        <f t="shared" si="47"/>
        <v>2761.9</v>
      </c>
      <c r="S1011" s="73">
        <v>12699.830000000009</v>
      </c>
    </row>
    <row r="1012" spans="1:19" x14ac:dyDescent="0.25">
      <c r="A1012" s="28"/>
      <c r="B1012" s="45" t="str">
        <f t="shared" si="45"/>
        <v>Sep-2025</v>
      </c>
      <c r="C1012" s="57">
        <v>45901</v>
      </c>
      <c r="D1012" s="43">
        <f t="shared" si="46"/>
        <v>211</v>
      </c>
      <c r="E1012" s="76"/>
      <c r="F1012" s="50">
        <v>102</v>
      </c>
      <c r="G1012" s="49">
        <v>45715</v>
      </c>
      <c r="H1012" s="73">
        <v>102</v>
      </c>
      <c r="I1012" s="77">
        <v>102</v>
      </c>
      <c r="J1012" s="73">
        <v>11554.189999999999</v>
      </c>
      <c r="K1012" s="52">
        <v>3</v>
      </c>
      <c r="L1012" s="51">
        <v>500.11</v>
      </c>
      <c r="M1012" s="77">
        <v>138</v>
      </c>
      <c r="N1012" s="76">
        <v>35035.15</v>
      </c>
      <c r="O1012" s="75">
        <v>114</v>
      </c>
      <c r="P1012" s="74">
        <v>874.34000000000015</v>
      </c>
      <c r="Q1012" s="74">
        <v>244.42999999999995</v>
      </c>
      <c r="R1012" s="53">
        <f t="shared" si="47"/>
        <v>2285.75</v>
      </c>
      <c r="S1012" s="73">
        <v>11554.190000000002</v>
      </c>
    </row>
    <row r="1013" spans="1:19" x14ac:dyDescent="0.25">
      <c r="A1013" s="28"/>
      <c r="B1013" s="45" t="str">
        <f t="shared" si="45"/>
        <v>Sep-2025</v>
      </c>
      <c r="C1013" s="57">
        <v>45902</v>
      </c>
      <c r="D1013" s="43">
        <f t="shared" si="46"/>
        <v>210</v>
      </c>
      <c r="E1013" s="76"/>
      <c r="F1013" s="50">
        <v>141</v>
      </c>
      <c r="G1013" s="49">
        <v>62510</v>
      </c>
      <c r="H1013" s="73">
        <v>141</v>
      </c>
      <c r="I1013" s="77">
        <v>141</v>
      </c>
      <c r="J1013" s="73">
        <v>18403.739999999994</v>
      </c>
      <c r="K1013" s="52">
        <v>2</v>
      </c>
      <c r="L1013" s="51">
        <v>200.04</v>
      </c>
      <c r="M1013" s="77">
        <v>155</v>
      </c>
      <c r="N1013" s="76">
        <v>45450.31</v>
      </c>
      <c r="O1013" s="75">
        <v>147</v>
      </c>
      <c r="P1013" s="74">
        <v>1344.0499999999995</v>
      </c>
      <c r="Q1013" s="74">
        <v>362.44999999999993</v>
      </c>
      <c r="R1013" s="53">
        <f t="shared" si="47"/>
        <v>3125.5</v>
      </c>
      <c r="S1013" s="73">
        <v>18403.739999999994</v>
      </c>
    </row>
    <row r="1014" spans="1:19" x14ac:dyDescent="0.25">
      <c r="A1014" s="28"/>
      <c r="B1014" s="45" t="str">
        <f t="shared" si="45"/>
        <v>Sep-2025</v>
      </c>
      <c r="C1014" s="57">
        <v>45903</v>
      </c>
      <c r="D1014" s="43">
        <f t="shared" si="46"/>
        <v>209</v>
      </c>
      <c r="E1014" s="76"/>
      <c r="F1014" s="50">
        <v>143</v>
      </c>
      <c r="G1014" s="49">
        <v>70640</v>
      </c>
      <c r="H1014" s="73">
        <v>141</v>
      </c>
      <c r="I1014" s="77">
        <v>143</v>
      </c>
      <c r="J1014" s="73">
        <v>14044.189999999997</v>
      </c>
      <c r="K1014" s="52">
        <v>4</v>
      </c>
      <c r="L1014" s="51">
        <v>1007.13</v>
      </c>
      <c r="M1014" s="77">
        <v>156</v>
      </c>
      <c r="N1014" s="76">
        <v>57874.87</v>
      </c>
      <c r="O1014" s="75">
        <v>146</v>
      </c>
      <c r="P1014" s="74">
        <v>1279.0600000000002</v>
      </c>
      <c r="Q1014" s="74">
        <v>539.78000000000009</v>
      </c>
      <c r="R1014" s="53">
        <f t="shared" si="47"/>
        <v>3532</v>
      </c>
      <c r="S1014" s="73">
        <v>14044.189999999995</v>
      </c>
    </row>
    <row r="1015" spans="1:19" x14ac:dyDescent="0.25">
      <c r="A1015" s="28"/>
      <c r="B1015" s="45" t="str">
        <f t="shared" si="45"/>
        <v>Sep-2025</v>
      </c>
      <c r="C1015" s="57">
        <v>45904</v>
      </c>
      <c r="D1015" s="43">
        <f t="shared" si="46"/>
        <v>208</v>
      </c>
      <c r="E1015" s="76"/>
      <c r="F1015" s="50">
        <v>124</v>
      </c>
      <c r="G1015" s="49">
        <v>65600</v>
      </c>
      <c r="H1015" s="73">
        <v>123</v>
      </c>
      <c r="I1015" s="77">
        <v>124</v>
      </c>
      <c r="J1015" s="73">
        <v>13163.210000000001</v>
      </c>
      <c r="K1015" s="52">
        <v>4</v>
      </c>
      <c r="L1015" s="51">
        <v>800.17</v>
      </c>
      <c r="M1015" s="77">
        <v>149</v>
      </c>
      <c r="N1015" s="76">
        <v>53587.63</v>
      </c>
      <c r="O1015" s="75">
        <v>139</v>
      </c>
      <c r="P1015" s="74">
        <v>1150.8399999999995</v>
      </c>
      <c r="Q1015" s="74">
        <v>459.44999999999993</v>
      </c>
      <c r="R1015" s="53">
        <f t="shared" si="47"/>
        <v>3280</v>
      </c>
      <c r="S1015" s="73">
        <v>13163.210000000001</v>
      </c>
    </row>
    <row r="1016" spans="1:19" x14ac:dyDescent="0.25">
      <c r="A1016" s="28"/>
      <c r="B1016" s="45" t="str">
        <f t="shared" si="45"/>
        <v>Sep-2025</v>
      </c>
      <c r="C1016" s="57">
        <v>45905</v>
      </c>
      <c r="D1016" s="43">
        <f t="shared" si="46"/>
        <v>207</v>
      </c>
      <c r="E1016" s="76"/>
      <c r="F1016" s="50">
        <v>146</v>
      </c>
      <c r="G1016" s="49">
        <v>73990</v>
      </c>
      <c r="H1016" s="73">
        <v>144</v>
      </c>
      <c r="I1016" s="77">
        <v>146</v>
      </c>
      <c r="J1016" s="73">
        <v>16221.869999999999</v>
      </c>
      <c r="K1016" s="52">
        <v>4</v>
      </c>
      <c r="L1016" s="51">
        <v>327.06</v>
      </c>
      <c r="M1016" s="77">
        <v>156</v>
      </c>
      <c r="N1016" s="76">
        <v>59045.13</v>
      </c>
      <c r="O1016" s="75">
        <v>147</v>
      </c>
      <c r="P1016" s="74">
        <v>1276.9999999999995</v>
      </c>
      <c r="Q1016" s="74">
        <v>407.11000000000013</v>
      </c>
      <c r="R1016" s="53">
        <f t="shared" si="47"/>
        <v>3699.5</v>
      </c>
      <c r="S1016" s="73">
        <v>16221.870000000003</v>
      </c>
    </row>
    <row r="1017" spans="1:19" x14ac:dyDescent="0.25">
      <c r="A1017" s="28"/>
      <c r="B1017" s="45" t="str">
        <f t="shared" si="45"/>
        <v>Sep-2025</v>
      </c>
      <c r="C1017" s="57">
        <v>45906</v>
      </c>
      <c r="D1017" s="43">
        <f t="shared" si="46"/>
        <v>206</v>
      </c>
      <c r="E1017" s="76"/>
      <c r="F1017" s="50">
        <v>144</v>
      </c>
      <c r="G1017" s="49">
        <v>57589</v>
      </c>
      <c r="H1017" s="73">
        <v>139</v>
      </c>
      <c r="I1017" s="77">
        <v>144</v>
      </c>
      <c r="J1017" s="73">
        <v>17444.72</v>
      </c>
      <c r="K1017" s="52">
        <v>12</v>
      </c>
      <c r="L1017" s="51">
        <v>2150.46</v>
      </c>
      <c r="M1017" s="77">
        <v>127</v>
      </c>
      <c r="N1017" s="76">
        <v>41309.46</v>
      </c>
      <c r="O1017" s="75">
        <v>114</v>
      </c>
      <c r="P1017" s="74">
        <v>1165.1800000000005</v>
      </c>
      <c r="Q1017" s="74">
        <v>230.45999999999995</v>
      </c>
      <c r="R1017" s="53">
        <f t="shared" si="47"/>
        <v>2879.4500000000003</v>
      </c>
      <c r="S1017" s="73">
        <v>17444.720000000005</v>
      </c>
    </row>
    <row r="1018" spans="1:19" x14ac:dyDescent="0.25">
      <c r="A1018" s="28"/>
      <c r="B1018" s="45" t="str">
        <f t="shared" si="45"/>
        <v>Sep-2025</v>
      </c>
      <c r="C1018" s="57">
        <v>45907</v>
      </c>
      <c r="D1018" s="43">
        <f t="shared" si="46"/>
        <v>205</v>
      </c>
      <c r="E1018" s="76"/>
      <c r="F1018" s="50">
        <v>128</v>
      </c>
      <c r="G1018" s="49">
        <v>55065</v>
      </c>
      <c r="H1018" s="73">
        <v>128</v>
      </c>
      <c r="I1018" s="77">
        <v>128</v>
      </c>
      <c r="J1018" s="73">
        <v>10883.869999999997</v>
      </c>
      <c r="K1018" s="52">
        <v>4</v>
      </c>
      <c r="L1018" s="51">
        <v>1300.28</v>
      </c>
      <c r="M1018" s="77">
        <v>157</v>
      </c>
      <c r="N1018" s="76">
        <v>45059.88</v>
      </c>
      <c r="O1018" s="75">
        <v>139</v>
      </c>
      <c r="P1018" s="74">
        <v>878.74999999999989</v>
      </c>
      <c r="Q1018" s="74">
        <v>309.07999999999993</v>
      </c>
      <c r="R1018" s="53">
        <f t="shared" si="47"/>
        <v>2753.25</v>
      </c>
      <c r="S1018" s="73">
        <v>10883.87</v>
      </c>
    </row>
    <row r="1019" spans="1:19" x14ac:dyDescent="0.25">
      <c r="A1019" s="28"/>
      <c r="B1019" s="45" t="str">
        <f t="shared" si="45"/>
        <v>Sep-2025</v>
      </c>
      <c r="C1019" s="57">
        <v>45908</v>
      </c>
      <c r="D1019" s="43">
        <f t="shared" si="46"/>
        <v>204</v>
      </c>
      <c r="E1019" s="76"/>
      <c r="F1019" s="50">
        <v>119</v>
      </c>
      <c r="G1019" s="49">
        <v>54150</v>
      </c>
      <c r="H1019" s="73">
        <v>118</v>
      </c>
      <c r="I1019" s="77">
        <v>119</v>
      </c>
      <c r="J1019" s="73">
        <v>9079.9299999999967</v>
      </c>
      <c r="K1019" s="52">
        <v>3</v>
      </c>
      <c r="L1019" s="51">
        <v>230.02999999999997</v>
      </c>
      <c r="M1019" s="77">
        <v>155</v>
      </c>
      <c r="N1019" s="76">
        <v>45930.49</v>
      </c>
      <c r="O1019" s="75">
        <v>140</v>
      </c>
      <c r="P1019" s="74">
        <v>860.42000000000007</v>
      </c>
      <c r="Q1019" s="74">
        <v>380.52</v>
      </c>
      <c r="R1019" s="53">
        <f t="shared" si="47"/>
        <v>2707.5</v>
      </c>
      <c r="S1019" s="73">
        <v>9079.9299999999985</v>
      </c>
    </row>
    <row r="1020" spans="1:19" x14ac:dyDescent="0.25">
      <c r="A1020" s="28"/>
      <c r="B1020" s="45" t="str">
        <f t="shared" si="45"/>
        <v>Sep-2025</v>
      </c>
      <c r="C1020" s="57">
        <v>45909</v>
      </c>
      <c r="D1020" s="43">
        <f t="shared" si="46"/>
        <v>203</v>
      </c>
      <c r="E1020" s="76"/>
      <c r="F1020" s="50">
        <v>125</v>
      </c>
      <c r="G1020" s="49">
        <v>54525</v>
      </c>
      <c r="H1020" s="73">
        <v>124</v>
      </c>
      <c r="I1020" s="77">
        <v>125</v>
      </c>
      <c r="J1020" s="73">
        <v>10889.230000000009</v>
      </c>
      <c r="K1020" s="52">
        <v>2</v>
      </c>
      <c r="L1020" s="51">
        <v>900.19999999999993</v>
      </c>
      <c r="M1020" s="77">
        <v>142</v>
      </c>
      <c r="N1020" s="76">
        <v>44509.34</v>
      </c>
      <c r="O1020" s="75">
        <v>129</v>
      </c>
      <c r="P1020" s="74">
        <v>873.56999999999994</v>
      </c>
      <c r="Q1020" s="74">
        <v>322.00999999999988</v>
      </c>
      <c r="R1020" s="53">
        <f t="shared" si="47"/>
        <v>2726.25</v>
      </c>
      <c r="S1020" s="73">
        <v>10889.230000000007</v>
      </c>
    </row>
    <row r="1021" spans="1:19" x14ac:dyDescent="0.25">
      <c r="A1021" s="28"/>
      <c r="B1021" s="45" t="str">
        <f t="shared" si="45"/>
        <v>Sep-2025</v>
      </c>
      <c r="C1021" s="57">
        <v>45910</v>
      </c>
      <c r="D1021" s="43">
        <f t="shared" si="46"/>
        <v>202</v>
      </c>
      <c r="E1021" s="76"/>
      <c r="F1021" s="50">
        <v>135</v>
      </c>
      <c r="G1021" s="49">
        <v>56470</v>
      </c>
      <c r="H1021" s="73">
        <v>135</v>
      </c>
      <c r="I1021" s="77">
        <v>135</v>
      </c>
      <c r="J1021" s="73">
        <v>13885.859999999993</v>
      </c>
      <c r="K1021" s="52">
        <v>4</v>
      </c>
      <c r="L1021" s="51">
        <v>1004.1999999999999</v>
      </c>
      <c r="M1021" s="77">
        <v>144</v>
      </c>
      <c r="N1021" s="76">
        <v>43618.76</v>
      </c>
      <c r="O1021" s="75">
        <v>127</v>
      </c>
      <c r="P1021" s="74">
        <v>1034.6200000000003</v>
      </c>
      <c r="Q1021" s="74">
        <v>307.15000000000003</v>
      </c>
      <c r="R1021" s="53">
        <f t="shared" si="47"/>
        <v>2823.5</v>
      </c>
      <c r="S1021" s="73">
        <v>13885.859999999993</v>
      </c>
    </row>
    <row r="1022" spans="1:19" x14ac:dyDescent="0.25">
      <c r="A1022" s="28"/>
      <c r="B1022" s="45" t="str">
        <f t="shared" si="45"/>
        <v>Sep-2025</v>
      </c>
      <c r="C1022" s="57">
        <v>45911</v>
      </c>
      <c r="D1022" s="43">
        <f t="shared" si="46"/>
        <v>201</v>
      </c>
      <c r="E1022" s="76"/>
      <c r="F1022" s="50">
        <v>136</v>
      </c>
      <c r="G1022" s="49">
        <v>62629</v>
      </c>
      <c r="H1022" s="73">
        <v>135</v>
      </c>
      <c r="I1022" s="77">
        <v>136</v>
      </c>
      <c r="J1022" s="73">
        <v>14990.889999999996</v>
      </c>
      <c r="K1022" s="52">
        <v>1</v>
      </c>
      <c r="L1022" s="51">
        <v>100.02</v>
      </c>
      <c r="M1022" s="77">
        <v>154</v>
      </c>
      <c r="N1022" s="76">
        <v>48695.16</v>
      </c>
      <c r="O1022" s="75">
        <v>138</v>
      </c>
      <c r="P1022" s="74">
        <v>1057.0500000000002</v>
      </c>
      <c r="Q1022" s="74">
        <v>272.19</v>
      </c>
      <c r="R1022" s="53">
        <f t="shared" si="47"/>
        <v>3131.4500000000003</v>
      </c>
      <c r="S1022" s="73">
        <v>14990.889999999992</v>
      </c>
    </row>
    <row r="1023" spans="1:19" x14ac:dyDescent="0.25">
      <c r="A1023" s="28"/>
      <c r="B1023" s="45" t="str">
        <f t="shared" si="45"/>
        <v>Sep-2025</v>
      </c>
      <c r="C1023" s="57">
        <v>45912</v>
      </c>
      <c r="D1023" s="43">
        <f t="shared" si="46"/>
        <v>200</v>
      </c>
      <c r="E1023" s="76"/>
      <c r="F1023" s="50">
        <v>142</v>
      </c>
      <c r="G1023" s="49">
        <v>68235</v>
      </c>
      <c r="H1023" s="73">
        <v>141</v>
      </c>
      <c r="I1023" s="77">
        <v>142</v>
      </c>
      <c r="J1023" s="73">
        <v>17482.86</v>
      </c>
      <c r="K1023" s="52">
        <v>3</v>
      </c>
      <c r="L1023" s="51">
        <v>131.01999999999998</v>
      </c>
      <c r="M1023" s="77">
        <v>136</v>
      </c>
      <c r="N1023" s="76">
        <v>52064.98</v>
      </c>
      <c r="O1023" s="75">
        <v>127</v>
      </c>
      <c r="P1023" s="74">
        <v>1312.839999999999</v>
      </c>
      <c r="Q1023" s="74">
        <v>452.57000000000022</v>
      </c>
      <c r="R1023" s="53">
        <f t="shared" si="47"/>
        <v>3411.75</v>
      </c>
      <c r="S1023" s="73">
        <v>17482.86</v>
      </c>
    </row>
    <row r="1024" spans="1:19" x14ac:dyDescent="0.25">
      <c r="A1024" s="28"/>
      <c r="B1024" s="45" t="str">
        <f t="shared" si="45"/>
        <v>Sep-2025</v>
      </c>
      <c r="C1024" s="57">
        <v>45913</v>
      </c>
      <c r="D1024" s="43">
        <f t="shared" si="46"/>
        <v>199</v>
      </c>
      <c r="E1024" s="76"/>
      <c r="F1024" s="50">
        <v>155</v>
      </c>
      <c r="G1024" s="49">
        <v>67350</v>
      </c>
      <c r="H1024" s="73">
        <v>144</v>
      </c>
      <c r="I1024" s="77">
        <v>155</v>
      </c>
      <c r="J1024" s="73">
        <v>11384.509999999993</v>
      </c>
      <c r="K1024" s="52">
        <v>16</v>
      </c>
      <c r="L1024" s="51">
        <v>2397.4899999999998</v>
      </c>
      <c r="M1024" s="77">
        <v>175</v>
      </c>
      <c r="N1024" s="76">
        <v>56952.65</v>
      </c>
      <c r="O1024" s="75">
        <v>162</v>
      </c>
      <c r="P1024" s="74">
        <v>987.15999999999963</v>
      </c>
      <c r="Q1024" s="74">
        <v>391.22999999999996</v>
      </c>
      <c r="R1024" s="53">
        <f t="shared" si="47"/>
        <v>3367.5</v>
      </c>
      <c r="S1024" s="73">
        <v>11384.509999999995</v>
      </c>
    </row>
    <row r="1025" spans="1:19" x14ac:dyDescent="0.25">
      <c r="A1025" s="28"/>
      <c r="B1025" s="45" t="str">
        <f t="shared" si="45"/>
        <v>Sep-2025</v>
      </c>
      <c r="C1025" s="57">
        <v>45914</v>
      </c>
      <c r="D1025" s="43">
        <f t="shared" si="46"/>
        <v>198</v>
      </c>
      <c r="E1025" s="76"/>
      <c r="F1025" s="50">
        <v>156</v>
      </c>
      <c r="G1025" s="49">
        <v>59130</v>
      </c>
      <c r="H1025" s="73">
        <v>154</v>
      </c>
      <c r="I1025" s="77">
        <v>156</v>
      </c>
      <c r="J1025" s="73">
        <v>15204.480000000018</v>
      </c>
      <c r="K1025" s="52">
        <v>5</v>
      </c>
      <c r="L1025" s="51">
        <v>825.06</v>
      </c>
      <c r="M1025" s="77">
        <v>137</v>
      </c>
      <c r="N1025" s="76">
        <v>45050.6</v>
      </c>
      <c r="O1025" s="75">
        <v>133</v>
      </c>
      <c r="P1025" s="74">
        <v>1125.0799999999995</v>
      </c>
      <c r="Q1025" s="74">
        <v>358.78000000000003</v>
      </c>
      <c r="R1025" s="53">
        <f t="shared" si="47"/>
        <v>2956.5</v>
      </c>
      <c r="S1025" s="73">
        <v>15204.480000000016</v>
      </c>
    </row>
    <row r="1026" spans="1:19" x14ac:dyDescent="0.25">
      <c r="A1026" s="28"/>
      <c r="B1026" s="45" t="str">
        <f t="shared" si="45"/>
        <v>Sep-2025</v>
      </c>
      <c r="C1026" s="57">
        <v>45915</v>
      </c>
      <c r="D1026" s="43">
        <f t="shared" si="46"/>
        <v>197</v>
      </c>
      <c r="E1026" s="76"/>
      <c r="F1026" s="50">
        <v>131</v>
      </c>
      <c r="G1026" s="49">
        <v>62697</v>
      </c>
      <c r="H1026" s="73">
        <v>130</v>
      </c>
      <c r="I1026" s="77">
        <v>131</v>
      </c>
      <c r="J1026" s="73">
        <v>18830.43</v>
      </c>
      <c r="K1026" s="52">
        <v>3</v>
      </c>
      <c r="L1026" s="51">
        <v>636.13</v>
      </c>
      <c r="M1026" s="77">
        <v>145</v>
      </c>
      <c r="N1026" s="76">
        <v>45206.42</v>
      </c>
      <c r="O1026" s="75">
        <v>139</v>
      </c>
      <c r="P1026" s="74">
        <v>1339.8500000000001</v>
      </c>
      <c r="Q1026" s="74">
        <v>386.69999999999993</v>
      </c>
      <c r="R1026" s="53">
        <f t="shared" si="47"/>
        <v>3134.8500000000004</v>
      </c>
      <c r="S1026" s="73">
        <v>18830.43</v>
      </c>
    </row>
    <row r="1027" spans="1:19" x14ac:dyDescent="0.25">
      <c r="A1027" s="28"/>
      <c r="B1027" s="45" t="str">
        <f t="shared" si="45"/>
        <v>Sep-2025</v>
      </c>
      <c r="C1027" s="57">
        <v>45916</v>
      </c>
      <c r="D1027" s="43">
        <f t="shared" si="46"/>
        <v>196</v>
      </c>
      <c r="E1027" s="76"/>
      <c r="F1027" s="50">
        <v>121</v>
      </c>
      <c r="G1027" s="49">
        <v>49934</v>
      </c>
      <c r="H1027" s="73">
        <v>120</v>
      </c>
      <c r="I1027" s="77">
        <v>121</v>
      </c>
      <c r="J1027" s="73">
        <v>16215.769999999997</v>
      </c>
      <c r="K1027" s="52">
        <v>2</v>
      </c>
      <c r="L1027" s="51">
        <v>790.01</v>
      </c>
      <c r="M1027" s="77">
        <v>116</v>
      </c>
      <c r="N1027" s="76">
        <v>34821.15</v>
      </c>
      <c r="O1027" s="75">
        <v>106</v>
      </c>
      <c r="P1027" s="74">
        <v>1102.9199999999996</v>
      </c>
      <c r="Q1027" s="74">
        <v>289.60000000000002</v>
      </c>
      <c r="R1027" s="53">
        <f t="shared" si="47"/>
        <v>2496.7000000000003</v>
      </c>
      <c r="S1027" s="73">
        <v>16215.77</v>
      </c>
    </row>
    <row r="1028" spans="1:19" x14ac:dyDescent="0.25">
      <c r="A1028" s="28"/>
      <c r="B1028" s="45" t="str">
        <f t="shared" si="45"/>
        <v>Sep-2025</v>
      </c>
      <c r="C1028" s="57">
        <v>45917</v>
      </c>
      <c r="D1028" s="43">
        <f t="shared" si="46"/>
        <v>195</v>
      </c>
      <c r="E1028" s="76"/>
      <c r="F1028" s="50">
        <v>121</v>
      </c>
      <c r="G1028" s="49">
        <v>53298</v>
      </c>
      <c r="H1028" s="73">
        <v>120</v>
      </c>
      <c r="I1028" s="77">
        <v>121</v>
      </c>
      <c r="J1028" s="73">
        <v>13355.739999999998</v>
      </c>
      <c r="K1028" s="52">
        <v>2</v>
      </c>
      <c r="L1028" s="51">
        <v>110.00999999999999</v>
      </c>
      <c r="M1028" s="77">
        <v>136</v>
      </c>
      <c r="N1028" s="76">
        <v>41057.29</v>
      </c>
      <c r="O1028" s="75">
        <v>124</v>
      </c>
      <c r="P1028" s="74">
        <v>1115.0299999999997</v>
      </c>
      <c r="Q1028" s="74">
        <v>444.02999999999992</v>
      </c>
      <c r="R1028" s="53">
        <f t="shared" si="47"/>
        <v>2664.9</v>
      </c>
      <c r="S1028" s="73">
        <v>13355.74</v>
      </c>
    </row>
    <row r="1029" spans="1:19" x14ac:dyDescent="0.25">
      <c r="A1029" s="28"/>
      <c r="B1029" s="45" t="str">
        <f t="shared" si="45"/>
        <v>Sep-2025</v>
      </c>
      <c r="C1029" s="57">
        <v>45918</v>
      </c>
      <c r="D1029" s="43">
        <f t="shared" si="46"/>
        <v>194</v>
      </c>
      <c r="E1029" s="76"/>
      <c r="F1029" s="50">
        <v>131</v>
      </c>
      <c r="G1029" s="49">
        <v>54510</v>
      </c>
      <c r="H1029" s="73">
        <v>131</v>
      </c>
      <c r="I1029" s="77">
        <v>131</v>
      </c>
      <c r="J1029" s="73">
        <v>11141.480000000003</v>
      </c>
      <c r="K1029" s="52">
        <v>1</v>
      </c>
      <c r="L1029" s="51">
        <v>500.11</v>
      </c>
      <c r="M1029" s="77">
        <v>136</v>
      </c>
      <c r="N1029" s="76">
        <v>44277.66</v>
      </c>
      <c r="O1029" s="75">
        <v>128</v>
      </c>
      <c r="P1029" s="74">
        <v>909.13999999999987</v>
      </c>
      <c r="Q1029" s="74">
        <v>340.5</v>
      </c>
      <c r="R1029" s="53">
        <f t="shared" si="47"/>
        <v>2725.5</v>
      </c>
      <c r="S1029" s="73">
        <v>11141.480000000003</v>
      </c>
    </row>
    <row r="1030" spans="1:19" x14ac:dyDescent="0.25">
      <c r="A1030" s="28"/>
      <c r="B1030" s="45" t="str">
        <f t="shared" si="45"/>
        <v>Sep-2025</v>
      </c>
      <c r="C1030" s="57">
        <v>45919</v>
      </c>
      <c r="D1030" s="43">
        <f t="shared" si="46"/>
        <v>193</v>
      </c>
      <c r="E1030" s="76"/>
      <c r="F1030" s="50">
        <v>105</v>
      </c>
      <c r="G1030" s="49">
        <v>43430</v>
      </c>
      <c r="H1030" s="73">
        <v>104</v>
      </c>
      <c r="I1030" s="77">
        <v>105</v>
      </c>
      <c r="J1030" s="73">
        <v>10048.179999999998</v>
      </c>
      <c r="K1030" s="52">
        <v>2</v>
      </c>
      <c r="L1030" s="51">
        <v>150.01999999999998</v>
      </c>
      <c r="M1030" s="77">
        <v>124</v>
      </c>
      <c r="N1030" s="76">
        <v>34073.129999999997</v>
      </c>
      <c r="O1030" s="75">
        <v>115</v>
      </c>
      <c r="P1030" s="74">
        <v>691.31000000000006</v>
      </c>
      <c r="Q1030" s="74">
        <v>200.33999999999997</v>
      </c>
      <c r="R1030" s="53">
        <f t="shared" si="47"/>
        <v>2171.5</v>
      </c>
      <c r="S1030" s="73">
        <v>10048.179999999997</v>
      </c>
    </row>
    <row r="1031" spans="1:19" x14ac:dyDescent="0.25">
      <c r="A1031" s="28"/>
      <c r="B1031" s="45" t="str">
        <f t="shared" si="45"/>
        <v>Sep-2025</v>
      </c>
      <c r="C1031" s="57">
        <v>45920</v>
      </c>
      <c r="D1031" s="43">
        <f t="shared" si="46"/>
        <v>192</v>
      </c>
      <c r="E1031" s="76"/>
      <c r="F1031" s="50">
        <v>120</v>
      </c>
      <c r="G1031" s="49">
        <v>55125</v>
      </c>
      <c r="H1031" s="73">
        <v>118</v>
      </c>
      <c r="I1031" s="77">
        <v>120</v>
      </c>
      <c r="J1031" s="73">
        <v>11784.570000000005</v>
      </c>
      <c r="K1031" s="52">
        <v>6</v>
      </c>
      <c r="L1031" s="51">
        <v>688.14</v>
      </c>
      <c r="M1031" s="77">
        <v>143</v>
      </c>
      <c r="N1031" s="76">
        <v>44214.66</v>
      </c>
      <c r="O1031" s="75">
        <v>130</v>
      </c>
      <c r="P1031" s="74">
        <v>874.22999999999945</v>
      </c>
      <c r="Q1031" s="74">
        <v>276.20999999999998</v>
      </c>
      <c r="R1031" s="53">
        <f t="shared" si="47"/>
        <v>2756.25</v>
      </c>
      <c r="S1031" s="73">
        <v>11784.570000000002</v>
      </c>
    </row>
    <row r="1032" spans="1:19" x14ac:dyDescent="0.25">
      <c r="A1032" s="28"/>
      <c r="B1032" s="45" t="str">
        <f t="shared" ref="B1032:B1095" si="48">TEXT(C1032,"MMM-YYYY")</f>
        <v>Sep-2025</v>
      </c>
      <c r="C1032" s="57">
        <v>45921</v>
      </c>
      <c r="D1032" s="43">
        <f t="shared" ref="D1032:D1095" si="49">$A$1-C1032</f>
        <v>191</v>
      </c>
      <c r="E1032" s="76"/>
      <c r="F1032" s="50">
        <v>131</v>
      </c>
      <c r="G1032" s="49">
        <v>58645</v>
      </c>
      <c r="H1032" s="73">
        <v>131</v>
      </c>
      <c r="I1032" s="77">
        <v>131</v>
      </c>
      <c r="J1032" s="73">
        <v>13305.319999999996</v>
      </c>
      <c r="K1032" s="52">
        <v>2</v>
      </c>
      <c r="L1032" s="51">
        <v>900.19999999999993</v>
      </c>
      <c r="M1032" s="77">
        <v>151</v>
      </c>
      <c r="N1032" s="76">
        <v>46293.08</v>
      </c>
      <c r="O1032" s="75">
        <v>138</v>
      </c>
      <c r="P1032" s="74">
        <v>953.39999999999952</v>
      </c>
      <c r="Q1032" s="74">
        <v>299.87000000000006</v>
      </c>
      <c r="R1032" s="53">
        <f t="shared" ref="R1032:R1095" si="50">G1032*5%</f>
        <v>2932.25</v>
      </c>
      <c r="S1032" s="73">
        <v>13305.319999999992</v>
      </c>
    </row>
    <row r="1033" spans="1:19" x14ac:dyDescent="0.25">
      <c r="A1033" s="28"/>
      <c r="B1033" s="45" t="str">
        <f t="shared" si="48"/>
        <v>Sep-2025</v>
      </c>
      <c r="C1033" s="57">
        <v>45922</v>
      </c>
      <c r="D1033" s="43">
        <f t="shared" si="49"/>
        <v>190</v>
      </c>
      <c r="E1033" s="76"/>
      <c r="F1033" s="50">
        <v>104</v>
      </c>
      <c r="G1033" s="49">
        <v>41385</v>
      </c>
      <c r="H1033" s="73">
        <v>103</v>
      </c>
      <c r="I1033" s="77">
        <v>104</v>
      </c>
      <c r="J1033" s="73">
        <v>10530.88</v>
      </c>
      <c r="K1033" s="52">
        <v>1</v>
      </c>
      <c r="L1033" s="51">
        <v>100.02</v>
      </c>
      <c r="M1033" s="77">
        <v>107</v>
      </c>
      <c r="N1033" s="76">
        <v>31563.46</v>
      </c>
      <c r="O1033" s="75">
        <v>93</v>
      </c>
      <c r="P1033" s="74">
        <v>709.33999999999969</v>
      </c>
      <c r="Q1033" s="74">
        <v>178.46</v>
      </c>
      <c r="R1033" s="53">
        <f t="shared" si="50"/>
        <v>2069.25</v>
      </c>
      <c r="S1033" s="73">
        <v>10530.879999999992</v>
      </c>
    </row>
    <row r="1034" spans="1:19" x14ac:dyDescent="0.25">
      <c r="A1034" s="28"/>
      <c r="B1034" s="45" t="str">
        <f t="shared" si="48"/>
        <v>Sep-2025</v>
      </c>
      <c r="C1034" s="57">
        <v>45923</v>
      </c>
      <c r="D1034" s="43">
        <f t="shared" si="49"/>
        <v>189</v>
      </c>
      <c r="E1034" s="76"/>
      <c r="F1034" s="50">
        <v>132</v>
      </c>
      <c r="G1034" s="49">
        <v>64376</v>
      </c>
      <c r="H1034" s="73">
        <v>132</v>
      </c>
      <c r="I1034" s="77">
        <v>132</v>
      </c>
      <c r="J1034" s="73">
        <v>7782.7500000000009</v>
      </c>
      <c r="K1034" s="52">
        <v>4</v>
      </c>
      <c r="L1034" s="51">
        <v>838</v>
      </c>
      <c r="M1034" s="77">
        <v>176</v>
      </c>
      <c r="N1034" s="76">
        <v>57352.07</v>
      </c>
      <c r="O1034" s="75">
        <v>164</v>
      </c>
      <c r="P1034" s="74">
        <v>758.82000000000016</v>
      </c>
      <c r="Q1034" s="74">
        <v>372.06999999999994</v>
      </c>
      <c r="R1034" s="53">
        <f t="shared" si="50"/>
        <v>3218.8</v>
      </c>
      <c r="S1034" s="73">
        <v>7782.7500000000009</v>
      </c>
    </row>
    <row r="1035" spans="1:19" x14ac:dyDescent="0.25">
      <c r="A1035" s="28"/>
      <c r="B1035" s="45" t="str">
        <f t="shared" si="48"/>
        <v>Sep-2025</v>
      </c>
      <c r="C1035" s="57">
        <v>45924</v>
      </c>
      <c r="D1035" s="43">
        <f t="shared" si="49"/>
        <v>188</v>
      </c>
      <c r="E1035" s="76"/>
      <c r="F1035" s="50">
        <v>129</v>
      </c>
      <c r="G1035" s="49">
        <v>52900</v>
      </c>
      <c r="H1035" s="73">
        <v>125</v>
      </c>
      <c r="I1035" s="77">
        <v>129</v>
      </c>
      <c r="J1035" s="73">
        <v>9861.9499999999971</v>
      </c>
      <c r="K1035" s="52">
        <v>10</v>
      </c>
      <c r="L1035" s="51">
        <v>1560.32</v>
      </c>
      <c r="M1035" s="77">
        <v>140</v>
      </c>
      <c r="N1035" s="76">
        <v>43853.919999999998</v>
      </c>
      <c r="O1035" s="75">
        <v>133</v>
      </c>
      <c r="P1035" s="74">
        <v>815.86999999999955</v>
      </c>
      <c r="Q1035" s="74">
        <v>339.40000000000009</v>
      </c>
      <c r="R1035" s="53">
        <f t="shared" si="50"/>
        <v>2645</v>
      </c>
      <c r="S1035" s="73">
        <v>9861.9499999999971</v>
      </c>
    </row>
    <row r="1036" spans="1:19" x14ac:dyDescent="0.25">
      <c r="A1036" s="28"/>
      <c r="B1036" s="45" t="str">
        <f t="shared" si="48"/>
        <v>Sep-2025</v>
      </c>
      <c r="C1036" s="57">
        <v>45925</v>
      </c>
      <c r="D1036" s="43">
        <f t="shared" si="49"/>
        <v>187</v>
      </c>
      <c r="E1036" s="76"/>
      <c r="F1036" s="50">
        <v>113</v>
      </c>
      <c r="G1036" s="49">
        <v>49175</v>
      </c>
      <c r="H1036" s="73">
        <v>113</v>
      </c>
      <c r="I1036" s="77">
        <v>113</v>
      </c>
      <c r="J1036" s="73">
        <v>11177.050000000007</v>
      </c>
      <c r="K1036" s="52">
        <v>5</v>
      </c>
      <c r="L1036" s="51">
        <v>710.15</v>
      </c>
      <c r="M1036" s="77">
        <v>143</v>
      </c>
      <c r="N1036" s="76">
        <v>38772.949999999997</v>
      </c>
      <c r="O1036" s="75">
        <v>118</v>
      </c>
      <c r="P1036" s="74">
        <v>774.99999999999966</v>
      </c>
      <c r="Q1036" s="74">
        <v>227.95000000000002</v>
      </c>
      <c r="R1036" s="53">
        <f t="shared" si="50"/>
        <v>2458.75</v>
      </c>
      <c r="S1036" s="73">
        <v>11177.050000000007</v>
      </c>
    </row>
    <row r="1037" spans="1:19" x14ac:dyDescent="0.25">
      <c r="A1037" s="28"/>
      <c r="B1037" s="45" t="str">
        <f t="shared" si="48"/>
        <v>Sep-2025</v>
      </c>
      <c r="C1037" s="57">
        <v>45926</v>
      </c>
      <c r="D1037" s="43">
        <f t="shared" si="49"/>
        <v>186</v>
      </c>
      <c r="E1037" s="76"/>
      <c r="F1037" s="50">
        <v>111</v>
      </c>
      <c r="G1037" s="49">
        <v>45570</v>
      </c>
      <c r="H1037" s="73">
        <v>111</v>
      </c>
      <c r="I1037" s="77">
        <v>111</v>
      </c>
      <c r="J1037" s="73">
        <v>9486.590000000002</v>
      </c>
      <c r="K1037" s="52">
        <v>6</v>
      </c>
      <c r="L1037" s="51">
        <v>1400.3</v>
      </c>
      <c r="M1037" s="77">
        <v>123</v>
      </c>
      <c r="N1037" s="76">
        <v>36875.82</v>
      </c>
      <c r="O1037" s="75">
        <v>112</v>
      </c>
      <c r="P1037" s="74">
        <v>792.40999999999963</v>
      </c>
      <c r="Q1037" s="74">
        <v>324.01</v>
      </c>
      <c r="R1037" s="53">
        <f t="shared" si="50"/>
        <v>2278.5</v>
      </c>
      <c r="S1037" s="73">
        <v>9486.590000000002</v>
      </c>
    </row>
    <row r="1038" spans="1:19" x14ac:dyDescent="0.25">
      <c r="A1038" s="28"/>
      <c r="B1038" s="45" t="str">
        <f t="shared" si="48"/>
        <v>Sep-2025</v>
      </c>
      <c r="C1038" s="57">
        <v>45927</v>
      </c>
      <c r="D1038" s="43">
        <f t="shared" si="49"/>
        <v>185</v>
      </c>
      <c r="E1038" s="76"/>
      <c r="F1038" s="50">
        <v>113</v>
      </c>
      <c r="G1038" s="49">
        <v>47028</v>
      </c>
      <c r="H1038" s="73">
        <v>111</v>
      </c>
      <c r="I1038" s="77">
        <v>113</v>
      </c>
      <c r="J1038" s="73">
        <v>11770.939999999999</v>
      </c>
      <c r="K1038" s="52">
        <v>3</v>
      </c>
      <c r="L1038" s="51">
        <v>900.18999999999994</v>
      </c>
      <c r="M1038" s="77">
        <v>116</v>
      </c>
      <c r="N1038" s="76">
        <v>36079.17</v>
      </c>
      <c r="O1038" s="75">
        <v>104</v>
      </c>
      <c r="P1038" s="74">
        <v>822.11000000000035</v>
      </c>
      <c r="Q1038" s="74">
        <v>277.75999999999988</v>
      </c>
      <c r="R1038" s="53">
        <f t="shared" si="50"/>
        <v>2351.4</v>
      </c>
      <c r="S1038" s="73">
        <v>11770.939999999999</v>
      </c>
    </row>
    <row r="1039" spans="1:19" x14ac:dyDescent="0.25">
      <c r="A1039" s="28"/>
      <c r="B1039" s="45" t="str">
        <f t="shared" si="48"/>
        <v>Sep-2025</v>
      </c>
      <c r="C1039" s="57">
        <v>45928</v>
      </c>
      <c r="D1039" s="43">
        <f t="shared" si="49"/>
        <v>184</v>
      </c>
      <c r="E1039" s="76"/>
      <c r="F1039" s="50">
        <v>117</v>
      </c>
      <c r="G1039" s="49">
        <v>40530</v>
      </c>
      <c r="H1039" s="73">
        <v>116</v>
      </c>
      <c r="I1039" s="77">
        <v>117</v>
      </c>
      <c r="J1039" s="73">
        <v>9814.5000000000018</v>
      </c>
      <c r="K1039" s="52">
        <v>1</v>
      </c>
      <c r="L1039" s="51">
        <v>80.02</v>
      </c>
      <c r="M1039" s="77">
        <v>136</v>
      </c>
      <c r="N1039" s="76">
        <v>31354.400000000001</v>
      </c>
      <c r="O1039" s="75">
        <v>125</v>
      </c>
      <c r="P1039" s="74">
        <v>638.9</v>
      </c>
      <c r="Q1039" s="74">
        <v>162.5</v>
      </c>
      <c r="R1039" s="53">
        <f t="shared" si="50"/>
        <v>2026.5</v>
      </c>
      <c r="S1039" s="73">
        <v>9814.5</v>
      </c>
    </row>
    <row r="1040" spans="1:19" x14ac:dyDescent="0.25">
      <c r="A1040" s="28"/>
      <c r="B1040" s="45" t="str">
        <f t="shared" si="48"/>
        <v>Sep-2025</v>
      </c>
      <c r="C1040" s="57">
        <v>45929</v>
      </c>
      <c r="D1040" s="43">
        <f t="shared" si="49"/>
        <v>183</v>
      </c>
      <c r="E1040" s="76"/>
      <c r="F1040" s="50">
        <v>108</v>
      </c>
      <c r="G1040" s="49">
        <v>47440</v>
      </c>
      <c r="H1040" s="73">
        <v>108</v>
      </c>
      <c r="I1040" s="77">
        <v>108</v>
      </c>
      <c r="J1040" s="73">
        <v>13354.640000000001</v>
      </c>
      <c r="K1040" s="52">
        <v>4</v>
      </c>
      <c r="L1040" s="51">
        <v>730.12</v>
      </c>
      <c r="M1040" s="77">
        <v>96</v>
      </c>
      <c r="N1040" s="76">
        <v>34900.53</v>
      </c>
      <c r="O1040" s="75">
        <v>91</v>
      </c>
      <c r="P1040" s="74">
        <v>815.17000000000007</v>
      </c>
      <c r="Q1040" s="74">
        <v>170.64</v>
      </c>
      <c r="R1040" s="53">
        <f t="shared" si="50"/>
        <v>2372</v>
      </c>
      <c r="S1040" s="73">
        <v>13354.640000000001</v>
      </c>
    </row>
    <row r="1041" spans="1:19" x14ac:dyDescent="0.25">
      <c r="A1041" s="28"/>
      <c r="B1041" s="45" t="str">
        <f t="shared" si="48"/>
        <v>Sep-2025</v>
      </c>
      <c r="C1041" s="57">
        <v>45930</v>
      </c>
      <c r="D1041" s="43">
        <f t="shared" si="49"/>
        <v>182</v>
      </c>
      <c r="E1041" s="76"/>
      <c r="F1041" s="50">
        <v>111</v>
      </c>
      <c r="G1041" s="49">
        <v>45124</v>
      </c>
      <c r="H1041" s="73">
        <v>110</v>
      </c>
      <c r="I1041" s="77">
        <v>111</v>
      </c>
      <c r="J1041" s="73">
        <v>12074.400000000001</v>
      </c>
      <c r="K1041" s="52">
        <v>2</v>
      </c>
      <c r="L1041" s="51">
        <v>550.12</v>
      </c>
      <c r="M1041" s="77">
        <v>114</v>
      </c>
      <c r="N1041" s="76">
        <v>33837.58</v>
      </c>
      <c r="O1041" s="75">
        <v>104</v>
      </c>
      <c r="P1041" s="74">
        <v>787.97999999999979</v>
      </c>
      <c r="Q1041" s="74">
        <v>207.57999999999998</v>
      </c>
      <c r="R1041" s="53">
        <f t="shared" si="50"/>
        <v>2256.2000000000003</v>
      </c>
      <c r="S1041" s="73">
        <v>12074.399999999998</v>
      </c>
    </row>
    <row r="1042" spans="1:19" x14ac:dyDescent="0.25">
      <c r="A1042" s="28"/>
      <c r="B1042" s="45" t="str">
        <f t="shared" si="48"/>
        <v>Oct-2025</v>
      </c>
      <c r="C1042" s="57">
        <v>45931</v>
      </c>
      <c r="D1042" s="43">
        <f t="shared" si="49"/>
        <v>181</v>
      </c>
      <c r="E1042" s="76"/>
      <c r="F1042" s="50">
        <v>97</v>
      </c>
      <c r="G1042" s="49">
        <v>38643</v>
      </c>
      <c r="H1042" s="73">
        <v>93</v>
      </c>
      <c r="I1042" s="77">
        <v>97</v>
      </c>
      <c r="J1042" s="73">
        <v>9767.86</v>
      </c>
      <c r="K1042" s="52">
        <v>5</v>
      </c>
      <c r="L1042" s="51">
        <v>4486.9799999999996</v>
      </c>
      <c r="M1042" s="77">
        <v>98</v>
      </c>
      <c r="N1042" s="76">
        <v>29528.17</v>
      </c>
      <c r="O1042" s="75">
        <v>89</v>
      </c>
      <c r="P1042" s="74">
        <v>653.0300000000002</v>
      </c>
      <c r="Q1042" s="74">
        <v>192.6</v>
      </c>
      <c r="R1042" s="53">
        <f t="shared" si="50"/>
        <v>1932.15</v>
      </c>
      <c r="S1042" s="73">
        <v>9767.8599999999988</v>
      </c>
    </row>
    <row r="1043" spans="1:19" x14ac:dyDescent="0.25">
      <c r="A1043" s="28"/>
      <c r="B1043" s="45" t="str">
        <f t="shared" si="48"/>
        <v>Oct-2025</v>
      </c>
      <c r="C1043" s="57">
        <v>45932</v>
      </c>
      <c r="D1043" s="43">
        <f t="shared" si="49"/>
        <v>180</v>
      </c>
      <c r="E1043" s="76"/>
      <c r="F1043" s="50">
        <v>125</v>
      </c>
      <c r="G1043" s="49">
        <v>64005</v>
      </c>
      <c r="H1043" s="73">
        <v>124</v>
      </c>
      <c r="I1043" s="77">
        <v>125</v>
      </c>
      <c r="J1043" s="73">
        <v>13518.57</v>
      </c>
      <c r="K1043" s="52">
        <v>5</v>
      </c>
      <c r="L1043" s="51">
        <v>1040.22</v>
      </c>
      <c r="M1043" s="77">
        <v>137</v>
      </c>
      <c r="N1043" s="76">
        <v>51495.199999999997</v>
      </c>
      <c r="O1043" s="75">
        <v>122</v>
      </c>
      <c r="P1043" s="74">
        <v>1008.7699999999992</v>
      </c>
      <c r="Q1043" s="74">
        <v>380.11000000000007</v>
      </c>
      <c r="R1043" s="53">
        <f t="shared" si="50"/>
        <v>3200.25</v>
      </c>
      <c r="S1043" s="73">
        <v>13518.570000000002</v>
      </c>
    </row>
    <row r="1044" spans="1:19" x14ac:dyDescent="0.25">
      <c r="A1044" s="28"/>
      <c r="B1044" s="45" t="str">
        <f t="shared" si="48"/>
        <v>Oct-2025</v>
      </c>
      <c r="C1044" s="57">
        <v>45933</v>
      </c>
      <c r="D1044" s="43">
        <f t="shared" si="49"/>
        <v>179</v>
      </c>
      <c r="E1044" s="76"/>
      <c r="F1044" s="50">
        <v>109</v>
      </c>
      <c r="G1044" s="49">
        <v>50590</v>
      </c>
      <c r="H1044" s="73">
        <v>108</v>
      </c>
      <c r="I1044" s="77">
        <v>109</v>
      </c>
      <c r="J1044" s="73">
        <v>9934.0499999999975</v>
      </c>
      <c r="K1044" s="52">
        <v>5</v>
      </c>
      <c r="L1044" s="51">
        <v>942.18999999999994</v>
      </c>
      <c r="M1044" s="77">
        <v>129</v>
      </c>
      <c r="N1044" s="76">
        <v>41462.04</v>
      </c>
      <c r="O1044" s="75">
        <v>119</v>
      </c>
      <c r="P1044" s="74">
        <v>806.09000000000026</v>
      </c>
      <c r="Q1044" s="74">
        <v>338.13999999999987</v>
      </c>
      <c r="R1044" s="53">
        <f t="shared" si="50"/>
        <v>2529.5</v>
      </c>
      <c r="S1044" s="73">
        <v>9934.0499999999993</v>
      </c>
    </row>
    <row r="1045" spans="1:19" x14ac:dyDescent="0.25">
      <c r="A1045" s="28"/>
      <c r="B1045" s="45" t="str">
        <f t="shared" si="48"/>
        <v>Oct-2025</v>
      </c>
      <c r="C1045" s="57">
        <v>45934</v>
      </c>
      <c r="D1045" s="43">
        <f t="shared" si="49"/>
        <v>178</v>
      </c>
      <c r="E1045" s="76"/>
      <c r="F1045" s="50">
        <v>148</v>
      </c>
      <c r="G1045" s="49">
        <v>77090</v>
      </c>
      <c r="H1045" s="73">
        <v>135</v>
      </c>
      <c r="I1045" s="77">
        <v>148</v>
      </c>
      <c r="J1045" s="73">
        <v>12837.840000000004</v>
      </c>
      <c r="K1045" s="52">
        <v>15</v>
      </c>
      <c r="L1045" s="51">
        <v>5101.1100000000033</v>
      </c>
      <c r="M1045" s="77">
        <v>177</v>
      </c>
      <c r="N1045" s="76">
        <v>65357.39</v>
      </c>
      <c r="O1045" s="75">
        <v>165</v>
      </c>
      <c r="P1045" s="74">
        <v>1105.2300000000002</v>
      </c>
      <c r="Q1045" s="74">
        <v>540.24999999999989</v>
      </c>
      <c r="R1045" s="53">
        <f t="shared" si="50"/>
        <v>3854.5</v>
      </c>
      <c r="S1045" s="73">
        <v>12837.840000000004</v>
      </c>
    </row>
    <row r="1046" spans="1:19" x14ac:dyDescent="0.25">
      <c r="A1046" s="28"/>
      <c r="B1046" s="45" t="str">
        <f t="shared" si="48"/>
        <v>Oct-2025</v>
      </c>
      <c r="C1046" s="57">
        <v>45935</v>
      </c>
      <c r="D1046" s="43">
        <f t="shared" si="49"/>
        <v>177</v>
      </c>
      <c r="E1046" s="76"/>
      <c r="F1046" s="50">
        <v>114</v>
      </c>
      <c r="G1046" s="49">
        <v>49475</v>
      </c>
      <c r="H1046" s="73">
        <v>109</v>
      </c>
      <c r="I1046" s="77">
        <v>114</v>
      </c>
      <c r="J1046" s="73">
        <v>8987.9799999999977</v>
      </c>
      <c r="K1046" s="52">
        <v>10</v>
      </c>
      <c r="L1046" s="51">
        <v>2885.59</v>
      </c>
      <c r="M1046" s="77">
        <v>117</v>
      </c>
      <c r="N1046" s="76">
        <v>41147.32</v>
      </c>
      <c r="O1046" s="75">
        <v>110</v>
      </c>
      <c r="P1046" s="74">
        <v>660.30000000000018</v>
      </c>
      <c r="Q1046" s="74">
        <v>239.56</v>
      </c>
      <c r="R1046" s="53">
        <f t="shared" si="50"/>
        <v>2473.75</v>
      </c>
      <c r="S1046" s="73">
        <v>8987.9799999999977</v>
      </c>
    </row>
    <row r="1047" spans="1:19" x14ac:dyDescent="0.25">
      <c r="A1047" s="28"/>
      <c r="B1047" s="45" t="str">
        <f t="shared" si="48"/>
        <v>Oct-2025</v>
      </c>
      <c r="C1047" s="57">
        <v>45936</v>
      </c>
      <c r="D1047" s="43">
        <f t="shared" si="49"/>
        <v>176</v>
      </c>
      <c r="E1047" s="76"/>
      <c r="F1047" s="50">
        <v>157</v>
      </c>
      <c r="G1047" s="49">
        <v>76909</v>
      </c>
      <c r="H1047" s="73">
        <v>153</v>
      </c>
      <c r="I1047" s="77">
        <v>157</v>
      </c>
      <c r="J1047" s="73">
        <v>25715.079999999976</v>
      </c>
      <c r="K1047" s="52">
        <v>6</v>
      </c>
      <c r="L1047" s="51">
        <v>2400.46</v>
      </c>
      <c r="M1047" s="77">
        <v>129</v>
      </c>
      <c r="N1047" s="76">
        <v>52711.38</v>
      </c>
      <c r="O1047" s="75">
        <v>124</v>
      </c>
      <c r="P1047" s="74">
        <v>1517.4599999999994</v>
      </c>
      <c r="Q1047" s="74">
        <v>331.59999999999997</v>
      </c>
      <c r="R1047" s="53">
        <f t="shared" si="50"/>
        <v>3845.4500000000003</v>
      </c>
      <c r="S1047" s="73">
        <v>25715.079999999976</v>
      </c>
    </row>
    <row r="1048" spans="1:19" x14ac:dyDescent="0.25">
      <c r="A1048" s="28"/>
      <c r="B1048" s="45" t="str">
        <f t="shared" si="48"/>
        <v>Oct-2025</v>
      </c>
      <c r="C1048" s="57">
        <v>45937</v>
      </c>
      <c r="D1048" s="43">
        <f t="shared" si="49"/>
        <v>175</v>
      </c>
      <c r="E1048" s="76"/>
      <c r="F1048" s="50">
        <v>168</v>
      </c>
      <c r="G1048" s="49">
        <v>72211</v>
      </c>
      <c r="H1048" s="73">
        <v>168</v>
      </c>
      <c r="I1048" s="77">
        <v>168</v>
      </c>
      <c r="J1048" s="73">
        <v>25620.220000000005</v>
      </c>
      <c r="K1048" s="52">
        <v>7</v>
      </c>
      <c r="L1048" s="51">
        <v>545.4</v>
      </c>
      <c r="M1048" s="77">
        <v>189</v>
      </c>
      <c r="N1048" s="76">
        <v>48160.17</v>
      </c>
      <c r="O1048" s="75">
        <v>173</v>
      </c>
      <c r="P1048" s="74">
        <v>1569.3899999999985</v>
      </c>
      <c r="Q1048" s="74">
        <v>403.06</v>
      </c>
      <c r="R1048" s="53">
        <f t="shared" si="50"/>
        <v>3610.55</v>
      </c>
      <c r="S1048" s="73">
        <v>25620.220000000016</v>
      </c>
    </row>
    <row r="1049" spans="1:19" x14ac:dyDescent="0.25">
      <c r="A1049" s="28"/>
      <c r="B1049" s="45" t="str">
        <f t="shared" si="48"/>
        <v>Oct-2025</v>
      </c>
      <c r="C1049" s="57">
        <v>45938</v>
      </c>
      <c r="D1049" s="43">
        <f t="shared" si="49"/>
        <v>174</v>
      </c>
      <c r="E1049" s="76">
        <v>1</v>
      </c>
      <c r="F1049" s="50">
        <v>179</v>
      </c>
      <c r="G1049" s="49">
        <v>79570</v>
      </c>
      <c r="H1049" s="73">
        <v>176</v>
      </c>
      <c r="I1049" s="77">
        <v>179</v>
      </c>
      <c r="J1049" s="73">
        <v>23337.11</v>
      </c>
      <c r="K1049" s="52">
        <v>6</v>
      </c>
      <c r="L1049" s="51">
        <v>1623.3400000000001</v>
      </c>
      <c r="M1049" s="77">
        <v>189</v>
      </c>
      <c r="N1049" s="76">
        <v>57759.18</v>
      </c>
      <c r="O1049" s="75">
        <v>177</v>
      </c>
      <c r="P1049" s="74">
        <v>1526.2899999999997</v>
      </c>
      <c r="Q1049" s="74">
        <v>475.3599999999999</v>
      </c>
      <c r="R1049" s="53">
        <f t="shared" si="50"/>
        <v>3978.5</v>
      </c>
      <c r="S1049" s="73">
        <v>23337.110000000008</v>
      </c>
    </row>
    <row r="1050" spans="1:19" x14ac:dyDescent="0.25">
      <c r="A1050" s="28"/>
      <c r="B1050" s="45" t="str">
        <f t="shared" si="48"/>
        <v>Oct-2025</v>
      </c>
      <c r="C1050" s="57">
        <v>45939</v>
      </c>
      <c r="D1050" s="43">
        <f t="shared" si="49"/>
        <v>173</v>
      </c>
      <c r="E1050" s="76"/>
      <c r="F1050" s="50">
        <v>171</v>
      </c>
      <c r="G1050" s="49">
        <v>72150</v>
      </c>
      <c r="H1050" s="73">
        <v>168</v>
      </c>
      <c r="I1050" s="77">
        <v>171</v>
      </c>
      <c r="J1050" s="73">
        <v>23120.149999999998</v>
      </c>
      <c r="K1050" s="52">
        <v>10</v>
      </c>
      <c r="L1050" s="51">
        <v>1919.19</v>
      </c>
      <c r="M1050" s="77">
        <v>187</v>
      </c>
      <c r="N1050" s="76">
        <v>50515.55</v>
      </c>
      <c r="O1050" s="75">
        <v>166</v>
      </c>
      <c r="P1050" s="74">
        <v>1485.6999999999998</v>
      </c>
      <c r="Q1050" s="74">
        <v>438.15999999999997</v>
      </c>
      <c r="R1050" s="53">
        <f t="shared" si="50"/>
        <v>3607.5</v>
      </c>
      <c r="S1050" s="73">
        <v>23120.149999999998</v>
      </c>
    </row>
    <row r="1051" spans="1:19" x14ac:dyDescent="0.25">
      <c r="A1051" s="28"/>
      <c r="B1051" s="45" t="str">
        <f t="shared" si="48"/>
        <v>Oct-2025</v>
      </c>
      <c r="C1051" s="57">
        <v>45940</v>
      </c>
      <c r="D1051" s="43">
        <f t="shared" si="49"/>
        <v>172</v>
      </c>
      <c r="E1051" s="76"/>
      <c r="F1051" s="50">
        <v>153</v>
      </c>
      <c r="G1051" s="49">
        <v>68580</v>
      </c>
      <c r="H1051" s="73">
        <v>151</v>
      </c>
      <c r="I1051" s="77">
        <v>153</v>
      </c>
      <c r="J1051" s="73">
        <v>15049.499999999998</v>
      </c>
      <c r="K1051" s="52">
        <v>5</v>
      </c>
      <c r="L1051" s="51">
        <v>1486.3</v>
      </c>
      <c r="M1051" s="77">
        <v>157</v>
      </c>
      <c r="N1051" s="76">
        <v>54569.51</v>
      </c>
      <c r="O1051" s="75">
        <v>143</v>
      </c>
      <c r="P1051" s="74">
        <v>1039.0099999999995</v>
      </c>
      <c r="Q1051" s="74">
        <v>357.49999999999994</v>
      </c>
      <c r="R1051" s="53">
        <f t="shared" si="50"/>
        <v>3429</v>
      </c>
      <c r="S1051" s="73">
        <v>15049.499999999998</v>
      </c>
    </row>
    <row r="1052" spans="1:19" x14ac:dyDescent="0.25">
      <c r="A1052" s="28"/>
      <c r="B1052" s="45" t="str">
        <f t="shared" si="48"/>
        <v>Oct-2025</v>
      </c>
      <c r="C1052" s="57">
        <v>45941</v>
      </c>
      <c r="D1052" s="43">
        <f t="shared" si="49"/>
        <v>171</v>
      </c>
      <c r="E1052" s="76"/>
      <c r="F1052" s="50">
        <v>124</v>
      </c>
      <c r="G1052" s="49">
        <v>53650</v>
      </c>
      <c r="H1052" s="73">
        <v>121</v>
      </c>
      <c r="I1052" s="77">
        <v>124</v>
      </c>
      <c r="J1052" s="73">
        <v>19240.750000000007</v>
      </c>
      <c r="K1052" s="52">
        <v>6</v>
      </c>
      <c r="L1052" s="51">
        <v>1369.28</v>
      </c>
      <c r="M1052" s="77">
        <v>136</v>
      </c>
      <c r="N1052" s="76">
        <v>35556.9</v>
      </c>
      <c r="O1052" s="75">
        <v>116</v>
      </c>
      <c r="P1052" s="74">
        <v>1147.6499999999987</v>
      </c>
      <c r="Q1052" s="74">
        <v>294.64</v>
      </c>
      <c r="R1052" s="53">
        <f t="shared" si="50"/>
        <v>2682.5</v>
      </c>
      <c r="S1052" s="73">
        <v>19240.750000000004</v>
      </c>
    </row>
    <row r="1053" spans="1:19" x14ac:dyDescent="0.25">
      <c r="A1053" s="28"/>
      <c r="B1053" s="45" t="str">
        <f t="shared" si="48"/>
        <v>Oct-2025</v>
      </c>
      <c r="C1053" s="57">
        <v>45942</v>
      </c>
      <c r="D1053" s="43">
        <f t="shared" si="49"/>
        <v>170</v>
      </c>
      <c r="E1053" s="76"/>
      <c r="F1053" s="50">
        <v>161</v>
      </c>
      <c r="G1053" s="49">
        <v>69649</v>
      </c>
      <c r="H1053" s="73">
        <v>156</v>
      </c>
      <c r="I1053" s="77">
        <v>161</v>
      </c>
      <c r="J1053" s="73">
        <v>13456.350000000002</v>
      </c>
      <c r="K1053" s="52">
        <v>10</v>
      </c>
      <c r="L1053" s="51">
        <v>1665.32</v>
      </c>
      <c r="M1053" s="77">
        <v>162</v>
      </c>
      <c r="N1053" s="76">
        <v>57184.2</v>
      </c>
      <c r="O1053" s="75">
        <v>155</v>
      </c>
      <c r="P1053" s="74">
        <v>991.54999999999939</v>
      </c>
      <c r="Q1053" s="74">
        <v>393.44</v>
      </c>
      <c r="R1053" s="53">
        <f t="shared" si="50"/>
        <v>3482.4500000000003</v>
      </c>
      <c r="S1053" s="73">
        <v>13456.350000000002</v>
      </c>
    </row>
    <row r="1054" spans="1:19" x14ac:dyDescent="0.25">
      <c r="A1054" s="28"/>
      <c r="B1054" s="45" t="str">
        <f t="shared" si="48"/>
        <v>Oct-2025</v>
      </c>
      <c r="C1054" s="57">
        <v>45943</v>
      </c>
      <c r="D1054" s="43">
        <f t="shared" si="49"/>
        <v>169</v>
      </c>
      <c r="E1054" s="76"/>
      <c r="F1054" s="50">
        <v>138</v>
      </c>
      <c r="G1054" s="49">
        <v>65221</v>
      </c>
      <c r="H1054" s="73">
        <v>137</v>
      </c>
      <c r="I1054" s="77">
        <v>138</v>
      </c>
      <c r="J1054" s="73">
        <v>12559.160000000003</v>
      </c>
      <c r="K1054" s="52">
        <v>5</v>
      </c>
      <c r="L1054" s="51">
        <v>450.05999999999995</v>
      </c>
      <c r="M1054" s="77">
        <v>151</v>
      </c>
      <c r="N1054" s="76">
        <v>53559.76</v>
      </c>
      <c r="O1054" s="75">
        <v>142</v>
      </c>
      <c r="P1054" s="74">
        <v>897.92000000000053</v>
      </c>
      <c r="Q1054" s="74">
        <v>346.90000000000009</v>
      </c>
      <c r="R1054" s="53">
        <f t="shared" si="50"/>
        <v>3261.05</v>
      </c>
      <c r="S1054" s="73">
        <v>12559.160000000003</v>
      </c>
    </row>
    <row r="1055" spans="1:19" x14ac:dyDescent="0.25">
      <c r="A1055" s="28"/>
      <c r="B1055" s="45" t="str">
        <f t="shared" si="48"/>
        <v>Oct-2025</v>
      </c>
      <c r="C1055" s="57">
        <v>45944</v>
      </c>
      <c r="D1055" s="43">
        <f t="shared" si="49"/>
        <v>168</v>
      </c>
      <c r="E1055" s="76"/>
      <c r="F1055" s="50">
        <v>118</v>
      </c>
      <c r="G1055" s="49">
        <v>56530</v>
      </c>
      <c r="H1055" s="73">
        <v>118</v>
      </c>
      <c r="I1055" s="77">
        <v>118</v>
      </c>
      <c r="J1055" s="73">
        <v>13276.499999999995</v>
      </c>
      <c r="K1055" s="52">
        <v>3</v>
      </c>
      <c r="L1055" s="51">
        <v>1200.26</v>
      </c>
      <c r="M1055" s="77">
        <v>154</v>
      </c>
      <c r="N1055" s="76">
        <v>44105.09</v>
      </c>
      <c r="O1055" s="75">
        <v>135</v>
      </c>
      <c r="P1055" s="74">
        <v>851.59000000000037</v>
      </c>
      <c r="Q1055" s="74">
        <v>297.31999999999994</v>
      </c>
      <c r="R1055" s="53">
        <f t="shared" si="50"/>
        <v>2826.5</v>
      </c>
      <c r="S1055" s="73">
        <v>13276.499999999995</v>
      </c>
    </row>
    <row r="1056" spans="1:19" x14ac:dyDescent="0.25">
      <c r="A1056" s="28"/>
      <c r="B1056" s="45" t="str">
        <f t="shared" si="48"/>
        <v>Oct-2025</v>
      </c>
      <c r="C1056" s="57">
        <v>45945</v>
      </c>
      <c r="D1056" s="43">
        <f t="shared" si="49"/>
        <v>167</v>
      </c>
      <c r="E1056" s="76"/>
      <c r="F1056" s="50">
        <v>122</v>
      </c>
      <c r="G1056" s="49">
        <v>61255</v>
      </c>
      <c r="H1056" s="73">
        <v>122</v>
      </c>
      <c r="I1056" s="77">
        <v>122</v>
      </c>
      <c r="J1056" s="73">
        <v>13718.180000000002</v>
      </c>
      <c r="K1056" s="52">
        <v>6</v>
      </c>
      <c r="L1056" s="51">
        <v>1012.1999999999999</v>
      </c>
      <c r="M1056" s="77">
        <v>141</v>
      </c>
      <c r="N1056" s="76">
        <v>47983.7</v>
      </c>
      <c r="O1056" s="75">
        <v>121</v>
      </c>
      <c r="P1056" s="74">
        <v>968.42000000000041</v>
      </c>
      <c r="Q1056" s="74">
        <v>361.53999999999991</v>
      </c>
      <c r="R1056" s="53">
        <f t="shared" si="50"/>
        <v>3062.75</v>
      </c>
      <c r="S1056" s="73">
        <v>13718.180000000004</v>
      </c>
    </row>
    <row r="1057" spans="1:22" x14ac:dyDescent="0.25">
      <c r="A1057" s="28"/>
      <c r="B1057" s="45" t="str">
        <f t="shared" si="48"/>
        <v>Oct-2025</v>
      </c>
      <c r="C1057" s="57">
        <v>45946</v>
      </c>
      <c r="D1057" s="43">
        <f t="shared" si="49"/>
        <v>166</v>
      </c>
      <c r="E1057" s="76"/>
      <c r="F1057" s="50">
        <v>118</v>
      </c>
      <c r="G1057" s="49">
        <v>49851</v>
      </c>
      <c r="H1057" s="73">
        <v>117</v>
      </c>
      <c r="I1057" s="77">
        <v>118</v>
      </c>
      <c r="J1057" s="73">
        <v>13765.899999999998</v>
      </c>
      <c r="K1057" s="52">
        <v>1</v>
      </c>
      <c r="L1057" s="51">
        <v>100.02</v>
      </c>
      <c r="M1057" s="77">
        <v>110</v>
      </c>
      <c r="N1057" s="76">
        <v>36893.120000000003</v>
      </c>
      <c r="O1057" s="75">
        <v>100</v>
      </c>
      <c r="P1057" s="74">
        <v>808.02000000000021</v>
      </c>
      <c r="Q1057" s="74">
        <v>214.24999999999994</v>
      </c>
      <c r="R1057" s="53">
        <f t="shared" si="50"/>
        <v>2492.5500000000002</v>
      </c>
      <c r="S1057" s="73">
        <v>13765.899999999998</v>
      </c>
    </row>
    <row r="1058" spans="1:22" x14ac:dyDescent="0.25">
      <c r="A1058" s="28"/>
      <c r="B1058" s="45" t="str">
        <f t="shared" si="48"/>
        <v>Oct-2025</v>
      </c>
      <c r="C1058" s="57">
        <v>45947</v>
      </c>
      <c r="D1058" s="43">
        <f t="shared" si="49"/>
        <v>165</v>
      </c>
      <c r="E1058" s="76"/>
      <c r="F1058" s="50">
        <v>133</v>
      </c>
      <c r="G1058" s="49">
        <v>52759</v>
      </c>
      <c r="H1058" s="73">
        <v>131</v>
      </c>
      <c r="I1058" s="77">
        <v>133</v>
      </c>
      <c r="J1058" s="73">
        <v>11722.07</v>
      </c>
      <c r="K1058" s="52">
        <v>4</v>
      </c>
      <c r="L1058" s="51">
        <v>840.17</v>
      </c>
      <c r="M1058" s="77">
        <v>149</v>
      </c>
      <c r="N1058" s="76">
        <v>41819.93</v>
      </c>
      <c r="O1058" s="75">
        <v>136</v>
      </c>
      <c r="P1058" s="74">
        <v>782.99999999999989</v>
      </c>
      <c r="Q1058" s="74">
        <v>271.41000000000003</v>
      </c>
      <c r="R1058" s="53">
        <f t="shared" si="50"/>
        <v>2637.9500000000003</v>
      </c>
      <c r="S1058" s="73">
        <v>11722.069999999996</v>
      </c>
    </row>
    <row r="1059" spans="1:22" x14ac:dyDescent="0.25">
      <c r="A1059" s="28"/>
      <c r="B1059" s="45" t="str">
        <f t="shared" si="48"/>
        <v>Oct-2025</v>
      </c>
      <c r="C1059" s="57">
        <v>45948</v>
      </c>
      <c r="D1059" s="43">
        <f t="shared" si="49"/>
        <v>164</v>
      </c>
      <c r="E1059" s="76"/>
      <c r="F1059" s="50">
        <v>129</v>
      </c>
      <c r="G1059" s="49">
        <v>53965</v>
      </c>
      <c r="H1059" s="73">
        <v>129</v>
      </c>
      <c r="I1059" s="77">
        <v>129</v>
      </c>
      <c r="J1059" s="73">
        <v>12939.280000000008</v>
      </c>
      <c r="K1059" s="52">
        <v>2</v>
      </c>
      <c r="L1059" s="51">
        <v>104.02</v>
      </c>
      <c r="M1059" s="77">
        <v>118</v>
      </c>
      <c r="N1059" s="76">
        <v>41810.910000000003</v>
      </c>
      <c r="O1059" s="75">
        <v>112</v>
      </c>
      <c r="P1059" s="74">
        <v>785.19000000000017</v>
      </c>
      <c r="Q1059" s="74">
        <v>233.59999999999994</v>
      </c>
      <c r="R1059" s="53">
        <f t="shared" si="50"/>
        <v>2698.25</v>
      </c>
      <c r="S1059" s="73">
        <v>12939.280000000004</v>
      </c>
    </row>
    <row r="1060" spans="1:22" x14ac:dyDescent="0.25">
      <c r="A1060" s="28"/>
      <c r="B1060" s="45" t="str">
        <f t="shared" si="48"/>
        <v>Oct-2025</v>
      </c>
      <c r="C1060" s="57">
        <v>45949</v>
      </c>
      <c r="D1060" s="43">
        <f t="shared" si="49"/>
        <v>163</v>
      </c>
      <c r="E1060" s="76"/>
      <c r="F1060" s="50">
        <v>128</v>
      </c>
      <c r="G1060" s="49">
        <v>57445</v>
      </c>
      <c r="H1060" s="73">
        <v>128</v>
      </c>
      <c r="I1060" s="77">
        <v>128</v>
      </c>
      <c r="J1060" s="73">
        <v>11395.169999999996</v>
      </c>
      <c r="K1060" s="52">
        <v>3</v>
      </c>
      <c r="L1060" s="51">
        <v>1450.3</v>
      </c>
      <c r="M1060" s="77">
        <v>165</v>
      </c>
      <c r="N1060" s="76">
        <v>46848.56</v>
      </c>
      <c r="O1060" s="75">
        <v>140</v>
      </c>
      <c r="P1060" s="74">
        <v>798.7299999999999</v>
      </c>
      <c r="Q1060" s="74">
        <v>306.61</v>
      </c>
      <c r="R1060" s="53">
        <f t="shared" si="50"/>
        <v>2872.25</v>
      </c>
      <c r="S1060" s="73">
        <v>11395.169999999996</v>
      </c>
    </row>
    <row r="1061" spans="1:22" x14ac:dyDescent="0.25">
      <c r="A1061" s="28"/>
      <c r="B1061" s="45" t="str">
        <f t="shared" si="48"/>
        <v>Oct-2025</v>
      </c>
      <c r="C1061" s="57">
        <v>45950</v>
      </c>
      <c r="D1061" s="43">
        <f t="shared" si="49"/>
        <v>162</v>
      </c>
      <c r="E1061" s="76"/>
      <c r="F1061" s="50">
        <v>166</v>
      </c>
      <c r="G1061" s="49">
        <v>74951</v>
      </c>
      <c r="H1061" s="73">
        <v>154</v>
      </c>
      <c r="I1061" s="77">
        <v>166</v>
      </c>
      <c r="J1061" s="73">
        <v>21392.03000000001</v>
      </c>
      <c r="K1061" s="52">
        <v>14</v>
      </c>
      <c r="L1061" s="51">
        <v>5796.2700000000013</v>
      </c>
      <c r="M1061" s="77">
        <v>155</v>
      </c>
      <c r="N1061" s="76">
        <v>54787.24</v>
      </c>
      <c r="O1061" s="75">
        <v>150</v>
      </c>
      <c r="P1061" s="74">
        <v>1228.2699999999991</v>
      </c>
      <c r="Q1061" s="74">
        <v>312.14000000000004</v>
      </c>
      <c r="R1061" s="53">
        <f t="shared" si="50"/>
        <v>3747.55</v>
      </c>
      <c r="S1061" s="73">
        <v>21392.03000000001</v>
      </c>
    </row>
    <row r="1062" spans="1:22" x14ac:dyDescent="0.25">
      <c r="A1062" s="28"/>
      <c r="B1062" s="45" t="str">
        <f t="shared" si="48"/>
        <v>Oct-2025</v>
      </c>
      <c r="C1062" s="57">
        <v>45951</v>
      </c>
      <c r="D1062" s="43">
        <f t="shared" si="49"/>
        <v>161</v>
      </c>
      <c r="E1062" s="76"/>
      <c r="F1062" s="50">
        <v>150</v>
      </c>
      <c r="G1062" s="49">
        <v>63870</v>
      </c>
      <c r="H1062" s="73">
        <v>147</v>
      </c>
      <c r="I1062" s="77">
        <v>150</v>
      </c>
      <c r="J1062" s="73">
        <v>17825.509999999991</v>
      </c>
      <c r="K1062" s="52">
        <v>10</v>
      </c>
      <c r="L1062" s="51">
        <v>995.18</v>
      </c>
      <c r="M1062" s="77">
        <v>187</v>
      </c>
      <c r="N1062" s="76">
        <v>47111.05</v>
      </c>
      <c r="O1062" s="75">
        <v>168</v>
      </c>
      <c r="P1062" s="74">
        <v>1066.5599999999997</v>
      </c>
      <c r="Q1062" s="74">
        <v>329.6</v>
      </c>
      <c r="R1062" s="53">
        <f t="shared" si="50"/>
        <v>3193.5</v>
      </c>
      <c r="S1062" s="73">
        <v>17825.509999999995</v>
      </c>
    </row>
    <row r="1063" spans="1:22" x14ac:dyDescent="0.25">
      <c r="A1063" s="28"/>
      <c r="B1063" s="45" t="str">
        <f t="shared" si="48"/>
        <v>Oct-2025</v>
      </c>
      <c r="C1063" s="57">
        <v>45952</v>
      </c>
      <c r="D1063" s="43">
        <f t="shared" si="49"/>
        <v>160</v>
      </c>
      <c r="E1063" s="76"/>
      <c r="F1063" s="50">
        <v>144</v>
      </c>
      <c r="G1063" s="49">
        <v>61850</v>
      </c>
      <c r="H1063" s="73">
        <v>140</v>
      </c>
      <c r="I1063" s="77">
        <v>144</v>
      </c>
      <c r="J1063" s="73">
        <v>12057.459999999995</v>
      </c>
      <c r="K1063" s="52">
        <v>6</v>
      </c>
      <c r="L1063" s="51">
        <v>1000.2099999999999</v>
      </c>
      <c r="M1063" s="77">
        <v>150</v>
      </c>
      <c r="N1063" s="76">
        <v>50612.65</v>
      </c>
      <c r="O1063" s="75">
        <v>137</v>
      </c>
      <c r="P1063" s="74">
        <v>820.1100000000007</v>
      </c>
      <c r="Q1063" s="74">
        <v>313.04999999999984</v>
      </c>
      <c r="R1063" s="53">
        <f t="shared" si="50"/>
        <v>3092.5</v>
      </c>
      <c r="S1063" s="73">
        <v>12057.459999999995</v>
      </c>
    </row>
    <row r="1064" spans="1:22" x14ac:dyDescent="0.25">
      <c r="A1064" s="28"/>
      <c r="B1064" s="45" t="str">
        <f t="shared" si="48"/>
        <v>Oct-2025</v>
      </c>
      <c r="C1064" s="57">
        <v>45953</v>
      </c>
      <c r="D1064" s="43">
        <f t="shared" si="49"/>
        <v>159</v>
      </c>
      <c r="E1064" s="76"/>
      <c r="F1064" s="50">
        <v>151</v>
      </c>
      <c r="G1064" s="49">
        <v>62234</v>
      </c>
      <c r="H1064" s="73">
        <v>145</v>
      </c>
      <c r="I1064" s="77">
        <v>151</v>
      </c>
      <c r="J1064" s="73">
        <v>16420.979999999996</v>
      </c>
      <c r="K1064" s="52">
        <v>13</v>
      </c>
      <c r="L1064" s="51">
        <v>4302.1500000000005</v>
      </c>
      <c r="M1064" s="77">
        <v>156</v>
      </c>
      <c r="N1064" s="76">
        <v>46829.56</v>
      </c>
      <c r="O1064" s="75">
        <v>140</v>
      </c>
      <c r="P1064" s="74">
        <v>1016.5400000000002</v>
      </c>
      <c r="Q1064" s="74">
        <v>320.63000000000005</v>
      </c>
      <c r="R1064" s="53">
        <f t="shared" si="50"/>
        <v>3111.7000000000003</v>
      </c>
      <c r="S1064" s="73">
        <v>16420.979999999996</v>
      </c>
    </row>
    <row r="1065" spans="1:22" x14ac:dyDescent="0.25">
      <c r="A1065" s="28"/>
      <c r="B1065" s="45" t="str">
        <f t="shared" si="48"/>
        <v>Oct-2025</v>
      </c>
      <c r="C1065" s="57">
        <v>45954</v>
      </c>
      <c r="D1065" s="43">
        <f t="shared" si="49"/>
        <v>158</v>
      </c>
      <c r="E1065" s="76"/>
      <c r="F1065" s="50">
        <v>161</v>
      </c>
      <c r="G1065" s="49">
        <v>70345</v>
      </c>
      <c r="H1065" s="73">
        <v>158</v>
      </c>
      <c r="I1065" s="77">
        <v>161</v>
      </c>
      <c r="J1065" s="73">
        <v>24054.469999999979</v>
      </c>
      <c r="K1065" s="52">
        <v>6</v>
      </c>
      <c r="L1065" s="51">
        <v>950.84</v>
      </c>
      <c r="M1065" s="77">
        <v>126</v>
      </c>
      <c r="N1065" s="76">
        <v>47519.58</v>
      </c>
      <c r="O1065" s="75">
        <v>117</v>
      </c>
      <c r="P1065" s="74">
        <v>1229.049999999999</v>
      </c>
      <c r="Q1065" s="74">
        <v>234.07000000000008</v>
      </c>
      <c r="R1065" s="53">
        <f t="shared" si="50"/>
        <v>3517.25</v>
      </c>
      <c r="S1065" s="73">
        <v>24054.469999999968</v>
      </c>
    </row>
    <row r="1066" spans="1:22" x14ac:dyDescent="0.25">
      <c r="A1066" s="28"/>
      <c r="B1066" s="45" t="str">
        <f t="shared" si="48"/>
        <v>Oct-2025</v>
      </c>
      <c r="C1066" s="57">
        <v>45955</v>
      </c>
      <c r="D1066" s="43">
        <f t="shared" si="49"/>
        <v>157</v>
      </c>
      <c r="E1066" s="76"/>
      <c r="F1066" s="50">
        <v>144</v>
      </c>
      <c r="G1066" s="49">
        <v>60165</v>
      </c>
      <c r="H1066" s="73">
        <v>140</v>
      </c>
      <c r="I1066" s="77">
        <v>144</v>
      </c>
      <c r="J1066" s="73">
        <v>18851.270000000004</v>
      </c>
      <c r="K1066" s="52">
        <v>5</v>
      </c>
      <c r="L1066" s="51">
        <v>1000.2099999999999</v>
      </c>
      <c r="M1066" s="77">
        <v>137</v>
      </c>
      <c r="N1066" s="76">
        <v>42388.28</v>
      </c>
      <c r="O1066" s="75">
        <v>125</v>
      </c>
      <c r="P1066" s="74">
        <v>1074.55</v>
      </c>
      <c r="Q1066" s="74">
        <v>286.80999999999995</v>
      </c>
      <c r="R1066" s="53">
        <f t="shared" si="50"/>
        <v>3008.25</v>
      </c>
      <c r="S1066" s="73">
        <v>18851.270000000008</v>
      </c>
    </row>
    <row r="1067" spans="1:22" x14ac:dyDescent="0.25">
      <c r="A1067" s="28"/>
      <c r="B1067" s="45" t="str">
        <f t="shared" si="48"/>
        <v>Oct-2025</v>
      </c>
      <c r="C1067" s="57">
        <v>45956</v>
      </c>
      <c r="D1067" s="43">
        <f t="shared" si="49"/>
        <v>156</v>
      </c>
      <c r="E1067" s="76"/>
      <c r="F1067" s="50">
        <v>63</v>
      </c>
      <c r="G1067" s="49">
        <v>27340</v>
      </c>
      <c r="H1067" s="73">
        <v>62</v>
      </c>
      <c r="I1067" s="77">
        <v>63</v>
      </c>
      <c r="J1067" s="73">
        <v>7695.7299999999987</v>
      </c>
      <c r="K1067" s="52">
        <v>4</v>
      </c>
      <c r="L1067" s="51">
        <v>1388.15</v>
      </c>
      <c r="M1067" s="77">
        <v>67</v>
      </c>
      <c r="N1067" s="76">
        <v>20073</v>
      </c>
      <c r="O1067" s="75">
        <v>60</v>
      </c>
      <c r="P1067" s="74">
        <v>428.73000000000008</v>
      </c>
      <c r="Q1067" s="74">
        <v>109.21000000000002</v>
      </c>
      <c r="R1067" s="53">
        <f t="shared" si="50"/>
        <v>1367</v>
      </c>
      <c r="S1067" s="73">
        <v>7695.7299999999968</v>
      </c>
    </row>
    <row r="1068" spans="1:22" x14ac:dyDescent="0.25">
      <c r="A1068" s="28"/>
      <c r="B1068" s="45" t="str">
        <f t="shared" si="48"/>
        <v>Oct-2025</v>
      </c>
      <c r="C1068" s="57">
        <v>45957</v>
      </c>
      <c r="D1068" s="43">
        <f t="shared" si="49"/>
        <v>155</v>
      </c>
      <c r="E1068" s="76"/>
      <c r="F1068" s="50">
        <v>188</v>
      </c>
      <c r="G1068" s="49">
        <v>77728</v>
      </c>
      <c r="H1068" s="73">
        <v>188</v>
      </c>
      <c r="I1068" s="77">
        <v>188</v>
      </c>
      <c r="J1068" s="73">
        <v>29179.490000000013</v>
      </c>
      <c r="K1068" s="52">
        <v>2</v>
      </c>
      <c r="L1068" s="51">
        <v>195.01999999999998</v>
      </c>
      <c r="M1068" s="77">
        <v>194</v>
      </c>
      <c r="N1068" s="76">
        <v>50103.43</v>
      </c>
      <c r="O1068" s="75">
        <v>167</v>
      </c>
      <c r="P1068" s="74">
        <v>1554.920000000001</v>
      </c>
      <c r="Q1068" s="74">
        <v>362.71999999999991</v>
      </c>
      <c r="R1068" s="53">
        <f t="shared" si="50"/>
        <v>3886.4</v>
      </c>
      <c r="S1068" s="73">
        <v>29179.490000000013</v>
      </c>
    </row>
    <row r="1069" spans="1:22" x14ac:dyDescent="0.25">
      <c r="A1069" s="28"/>
      <c r="B1069" s="45" t="str">
        <f t="shared" si="48"/>
        <v>Oct-2025</v>
      </c>
      <c r="C1069" s="57">
        <v>45958</v>
      </c>
      <c r="D1069" s="43">
        <f t="shared" si="49"/>
        <v>154</v>
      </c>
      <c r="E1069" s="76"/>
      <c r="F1069" s="50">
        <v>135</v>
      </c>
      <c r="G1069" s="49">
        <v>60345</v>
      </c>
      <c r="H1069" s="73">
        <v>132</v>
      </c>
      <c r="I1069" s="77">
        <v>135</v>
      </c>
      <c r="J1069" s="73">
        <v>16505.459999999995</v>
      </c>
      <c r="K1069" s="52">
        <v>3</v>
      </c>
      <c r="L1069" s="51">
        <v>300.06</v>
      </c>
      <c r="M1069" s="77">
        <v>148</v>
      </c>
      <c r="N1069" s="76">
        <v>44765.66</v>
      </c>
      <c r="O1069" s="75">
        <v>132</v>
      </c>
      <c r="P1069" s="74">
        <v>926.12</v>
      </c>
      <c r="Q1069" s="74">
        <v>252.02999999999994</v>
      </c>
      <c r="R1069" s="53">
        <f t="shared" si="50"/>
        <v>3017.25</v>
      </c>
      <c r="S1069" s="73">
        <v>16505.459999999988</v>
      </c>
    </row>
    <row r="1070" spans="1:22" x14ac:dyDescent="0.25">
      <c r="A1070" s="28"/>
      <c r="B1070" s="45" t="str">
        <f t="shared" si="48"/>
        <v>Oct-2025</v>
      </c>
      <c r="C1070" s="57">
        <v>45959</v>
      </c>
      <c r="D1070" s="43">
        <f t="shared" si="49"/>
        <v>153</v>
      </c>
      <c r="E1070" s="76"/>
      <c r="F1070" s="50">
        <v>128</v>
      </c>
      <c r="G1070" s="49">
        <v>58445</v>
      </c>
      <c r="H1070" s="73">
        <v>128</v>
      </c>
      <c r="I1070" s="77">
        <v>128</v>
      </c>
      <c r="J1070" s="73">
        <v>14377.710000000006</v>
      </c>
      <c r="K1070" s="52">
        <v>1</v>
      </c>
      <c r="L1070" s="51">
        <v>100.02</v>
      </c>
      <c r="M1070" s="77">
        <v>154</v>
      </c>
      <c r="N1070" s="76">
        <v>44917.96</v>
      </c>
      <c r="O1070" s="75">
        <v>132</v>
      </c>
      <c r="P1070" s="74">
        <v>850.66999999999939</v>
      </c>
      <c r="Q1070" s="74">
        <v>269.71000000000004</v>
      </c>
      <c r="R1070" s="53">
        <f t="shared" si="50"/>
        <v>2922.25</v>
      </c>
      <c r="S1070" s="73">
        <v>14377.71000000001</v>
      </c>
    </row>
    <row r="1071" spans="1:22" x14ac:dyDescent="0.25">
      <c r="A1071" s="28"/>
      <c r="B1071" s="45" t="str">
        <f t="shared" si="48"/>
        <v>Oct-2025</v>
      </c>
      <c r="C1071" s="57">
        <v>45960</v>
      </c>
      <c r="D1071" s="43">
        <f t="shared" si="49"/>
        <v>152</v>
      </c>
      <c r="E1071" s="76"/>
      <c r="F1071" s="50">
        <v>127</v>
      </c>
      <c r="G1071" s="49">
        <v>51705</v>
      </c>
      <c r="H1071" s="73">
        <v>125</v>
      </c>
      <c r="I1071" s="77">
        <v>127</v>
      </c>
      <c r="J1071" s="73">
        <v>14757.52999999999</v>
      </c>
      <c r="K1071" s="52">
        <v>5</v>
      </c>
      <c r="L1071" s="51">
        <v>685.04</v>
      </c>
      <c r="M1071" s="77">
        <v>159</v>
      </c>
      <c r="N1071" s="76">
        <v>37832.1</v>
      </c>
      <c r="O1071" s="75">
        <v>141</v>
      </c>
      <c r="P1071" s="74">
        <v>884.63000000000022</v>
      </c>
      <c r="Q1071" s="74">
        <v>282.27999999999992</v>
      </c>
      <c r="R1071" s="53">
        <f t="shared" si="50"/>
        <v>2585.25</v>
      </c>
      <c r="S1071" s="73">
        <v>14757.529999999993</v>
      </c>
    </row>
    <row r="1072" spans="1:22" x14ac:dyDescent="0.25">
      <c r="A1072" s="28"/>
      <c r="B1072" s="45" t="str">
        <f t="shared" si="48"/>
        <v>Oct-2025</v>
      </c>
      <c r="C1072" s="57">
        <v>45961</v>
      </c>
      <c r="D1072" s="43">
        <f t="shared" si="49"/>
        <v>151</v>
      </c>
      <c r="E1072" s="76"/>
      <c r="F1072" s="50">
        <v>141</v>
      </c>
      <c r="G1072" s="49">
        <v>55465</v>
      </c>
      <c r="H1072" s="73">
        <v>134</v>
      </c>
      <c r="I1072" s="77">
        <v>141</v>
      </c>
      <c r="J1072" s="73">
        <v>13615.689999999995</v>
      </c>
      <c r="K1072" s="52">
        <v>10</v>
      </c>
      <c r="L1072" s="51">
        <v>4601.01</v>
      </c>
      <c r="M1072" s="77">
        <v>141</v>
      </c>
      <c r="N1072" s="76">
        <v>42622.96</v>
      </c>
      <c r="O1072" s="75">
        <v>133</v>
      </c>
      <c r="P1072" s="74">
        <v>773.64999999999941</v>
      </c>
      <c r="Q1072" s="74">
        <v>238.79</v>
      </c>
      <c r="R1072" s="53">
        <f t="shared" si="50"/>
        <v>2773.25</v>
      </c>
      <c r="S1072" s="73">
        <v>13615.689999999995</v>
      </c>
      <c r="V1072" s="76"/>
    </row>
    <row r="1073" spans="1:22" x14ac:dyDescent="0.25">
      <c r="A1073" s="28"/>
      <c r="B1073" s="45" t="str">
        <f t="shared" si="48"/>
        <v>Nov-2025</v>
      </c>
      <c r="C1073" s="57">
        <v>45962</v>
      </c>
      <c r="D1073" s="43">
        <f t="shared" si="49"/>
        <v>150</v>
      </c>
      <c r="E1073" s="76"/>
      <c r="F1073" s="50">
        <v>118</v>
      </c>
      <c r="G1073" s="49">
        <v>59718</v>
      </c>
      <c r="H1073" s="73">
        <v>118</v>
      </c>
      <c r="I1073" s="77">
        <v>118</v>
      </c>
      <c r="J1073" s="73">
        <v>15780.879999999997</v>
      </c>
      <c r="K1073" s="52">
        <v>1</v>
      </c>
      <c r="L1073" s="51">
        <v>20</v>
      </c>
      <c r="M1073" s="77">
        <v>143</v>
      </c>
      <c r="N1073" s="76">
        <v>44899.519999999997</v>
      </c>
      <c r="O1073" s="75">
        <v>129</v>
      </c>
      <c r="P1073" s="74">
        <v>962.40000000000043</v>
      </c>
      <c r="Q1073" s="74">
        <v>343.44</v>
      </c>
      <c r="R1073" s="53">
        <f t="shared" si="50"/>
        <v>2985.9</v>
      </c>
      <c r="S1073" s="73">
        <v>15780.879999999997</v>
      </c>
      <c r="V1073" s="76">
        <v>44899.519999999997</v>
      </c>
    </row>
    <row r="1074" spans="1:22" x14ac:dyDescent="0.25">
      <c r="A1074" s="28"/>
      <c r="B1074" s="45" t="str">
        <f t="shared" si="48"/>
        <v>Nov-2025</v>
      </c>
      <c r="C1074" s="57">
        <v>45963</v>
      </c>
      <c r="D1074" s="43">
        <f t="shared" si="49"/>
        <v>149</v>
      </c>
      <c r="E1074" s="76"/>
      <c r="F1074" s="50">
        <v>133</v>
      </c>
      <c r="G1074" s="49">
        <v>60044</v>
      </c>
      <c r="H1074" s="73">
        <v>133</v>
      </c>
      <c r="I1074" s="77">
        <v>133</v>
      </c>
      <c r="J1074" s="73">
        <v>12243.919999999996</v>
      </c>
      <c r="K1074" s="52"/>
      <c r="L1074" s="51"/>
      <c r="M1074" s="77">
        <v>137</v>
      </c>
      <c r="N1074" s="76">
        <v>48618.34</v>
      </c>
      <c r="O1074" s="75">
        <v>128</v>
      </c>
      <c r="P1074" s="74">
        <v>818.25999999999942</v>
      </c>
      <c r="Q1074" s="74">
        <v>351.64999999999992</v>
      </c>
      <c r="R1074" s="53">
        <f t="shared" si="50"/>
        <v>3002.2000000000003</v>
      </c>
      <c r="S1074" s="73">
        <v>12243.919999999996</v>
      </c>
      <c r="V1074" s="76">
        <v>48618.34</v>
      </c>
    </row>
    <row r="1075" spans="1:22" x14ac:dyDescent="0.25">
      <c r="A1075" s="28"/>
      <c r="B1075" s="45" t="str">
        <f t="shared" si="48"/>
        <v>Nov-2025</v>
      </c>
      <c r="C1075" s="57">
        <v>45964</v>
      </c>
      <c r="D1075" s="43">
        <f t="shared" si="49"/>
        <v>148</v>
      </c>
      <c r="E1075" s="76"/>
      <c r="F1075" s="50">
        <v>117</v>
      </c>
      <c r="G1075" s="49">
        <v>54207</v>
      </c>
      <c r="H1075" s="73">
        <v>115</v>
      </c>
      <c r="I1075" s="77">
        <v>117</v>
      </c>
      <c r="J1075" s="73">
        <v>13273.610000000004</v>
      </c>
      <c r="K1075" s="52">
        <v>5</v>
      </c>
      <c r="L1075" s="51">
        <v>1230.27</v>
      </c>
      <c r="M1075" s="77">
        <v>138</v>
      </c>
      <c r="N1075" s="76">
        <v>41714.36</v>
      </c>
      <c r="O1075" s="75">
        <v>125</v>
      </c>
      <c r="P1075" s="74">
        <v>780.9699999999998</v>
      </c>
      <c r="Q1075" s="74">
        <v>262.83</v>
      </c>
      <c r="R1075" s="53">
        <f t="shared" si="50"/>
        <v>2710.3500000000004</v>
      </c>
      <c r="S1075" s="73">
        <v>13273.61000000001</v>
      </c>
      <c r="V1075" s="76">
        <v>41714.36</v>
      </c>
    </row>
    <row r="1076" spans="1:22" x14ac:dyDescent="0.25">
      <c r="A1076" s="28"/>
      <c r="B1076" s="45" t="str">
        <f t="shared" si="48"/>
        <v>Nov-2025</v>
      </c>
      <c r="C1076" s="57">
        <v>45965</v>
      </c>
      <c r="D1076" s="43">
        <f t="shared" si="49"/>
        <v>147</v>
      </c>
      <c r="E1076" s="76"/>
      <c r="F1076" s="50">
        <v>133</v>
      </c>
      <c r="G1076" s="49">
        <v>58005</v>
      </c>
      <c r="H1076" s="73">
        <v>133</v>
      </c>
      <c r="I1076" s="77">
        <v>133</v>
      </c>
      <c r="J1076" s="73">
        <v>13203.04</v>
      </c>
      <c r="K1076" s="52">
        <v>3</v>
      </c>
      <c r="L1076" s="51">
        <v>204.04</v>
      </c>
      <c r="M1076" s="77">
        <v>142</v>
      </c>
      <c r="N1076" s="76">
        <v>45564.85</v>
      </c>
      <c r="O1076" s="75">
        <v>132</v>
      </c>
      <c r="P1076" s="74">
        <v>762.89000000000033</v>
      </c>
      <c r="Q1076" s="74">
        <v>286.45</v>
      </c>
      <c r="R1076" s="53">
        <f t="shared" si="50"/>
        <v>2900.25</v>
      </c>
      <c r="S1076" s="73">
        <v>13203.039999999999</v>
      </c>
      <c r="V1076" s="76">
        <v>45564.85</v>
      </c>
    </row>
    <row r="1077" spans="1:22" x14ac:dyDescent="0.25">
      <c r="A1077" s="28"/>
      <c r="B1077" s="45" t="str">
        <f t="shared" si="48"/>
        <v>Nov-2025</v>
      </c>
      <c r="C1077" s="57">
        <v>45966</v>
      </c>
      <c r="D1077" s="43">
        <f t="shared" si="49"/>
        <v>146</v>
      </c>
      <c r="E1077" s="76"/>
      <c r="F1077" s="50">
        <v>141</v>
      </c>
      <c r="G1077" s="49">
        <v>70200</v>
      </c>
      <c r="H1077" s="73">
        <v>139</v>
      </c>
      <c r="I1077" s="77">
        <v>141</v>
      </c>
      <c r="J1077" s="73">
        <v>12204.76</v>
      </c>
      <c r="K1077" s="52">
        <v>6</v>
      </c>
      <c r="L1077" s="51">
        <v>1190.23</v>
      </c>
      <c r="M1077" s="77">
        <v>128</v>
      </c>
      <c r="N1077" s="76">
        <v>58838.31</v>
      </c>
      <c r="O1077" s="75">
        <v>123</v>
      </c>
      <c r="P1077" s="74">
        <v>843.07000000000028</v>
      </c>
      <c r="Q1077" s="74">
        <v>373.15000000000003</v>
      </c>
      <c r="R1077" s="53">
        <f t="shared" si="50"/>
        <v>3510</v>
      </c>
      <c r="S1077" s="73">
        <v>12204.76</v>
      </c>
      <c r="V1077" s="76">
        <v>58838.31</v>
      </c>
    </row>
    <row r="1078" spans="1:22" x14ac:dyDescent="0.25">
      <c r="A1078" s="28"/>
      <c r="B1078" s="45" t="str">
        <f t="shared" si="48"/>
        <v>Nov-2025</v>
      </c>
      <c r="C1078" s="57">
        <v>45967</v>
      </c>
      <c r="D1078" s="43">
        <f t="shared" si="49"/>
        <v>145</v>
      </c>
      <c r="E1078" s="76"/>
      <c r="F1078" s="50">
        <v>118</v>
      </c>
      <c r="G1078" s="49">
        <v>48395</v>
      </c>
      <c r="H1078" s="73">
        <v>117</v>
      </c>
      <c r="I1078" s="77">
        <v>118</v>
      </c>
      <c r="J1078" s="73">
        <v>11243.559999999996</v>
      </c>
      <c r="K1078" s="52">
        <v>12</v>
      </c>
      <c r="L1078" s="51">
        <v>525.02</v>
      </c>
      <c r="M1078" s="77">
        <v>146</v>
      </c>
      <c r="N1078" s="76">
        <v>37844.36</v>
      </c>
      <c r="O1078" s="75">
        <v>131</v>
      </c>
      <c r="P1078" s="74">
        <v>692.91999999999916</v>
      </c>
      <c r="Q1078" s="74">
        <v>264.52999999999997</v>
      </c>
      <c r="R1078" s="53">
        <f t="shared" si="50"/>
        <v>2419.75</v>
      </c>
      <c r="S1078" s="73">
        <v>11243.560000000001</v>
      </c>
      <c r="V1078" s="76">
        <v>37844.36</v>
      </c>
    </row>
    <row r="1079" spans="1:22" x14ac:dyDescent="0.25">
      <c r="A1079" s="28"/>
      <c r="B1079" s="45" t="str">
        <f t="shared" si="48"/>
        <v>Nov-2025</v>
      </c>
      <c r="C1079" s="57">
        <v>45968</v>
      </c>
      <c r="D1079" s="43">
        <f t="shared" si="49"/>
        <v>144</v>
      </c>
      <c r="E1079" s="76"/>
      <c r="F1079" s="50">
        <v>190</v>
      </c>
      <c r="G1079" s="49">
        <v>87054</v>
      </c>
      <c r="H1079" s="73">
        <v>190</v>
      </c>
      <c r="I1079" s="77">
        <v>190</v>
      </c>
      <c r="J1079" s="73">
        <v>30342.23999999998</v>
      </c>
      <c r="K1079" s="52">
        <v>4</v>
      </c>
      <c r="L1079" s="51">
        <v>1100.24</v>
      </c>
      <c r="M1079" s="77">
        <v>158</v>
      </c>
      <c r="N1079" s="76">
        <v>58303.45</v>
      </c>
      <c r="O1079" s="75">
        <v>141</v>
      </c>
      <c r="P1079" s="74">
        <v>1591.6899999999998</v>
      </c>
      <c r="Q1079" s="74">
        <v>427.76999999999987</v>
      </c>
      <c r="R1079" s="53">
        <f t="shared" si="50"/>
        <v>4352.7</v>
      </c>
      <c r="S1079" s="73">
        <v>30342.23999999998</v>
      </c>
      <c r="V1079" s="76">
        <v>58303.45</v>
      </c>
    </row>
    <row r="1080" spans="1:22" x14ac:dyDescent="0.25">
      <c r="A1080" s="28"/>
      <c r="B1080" s="45" t="str">
        <f t="shared" si="48"/>
        <v>Nov-2025</v>
      </c>
      <c r="C1080" s="57">
        <v>45969</v>
      </c>
      <c r="D1080" s="43">
        <f t="shared" si="49"/>
        <v>143</v>
      </c>
      <c r="E1080" s="76"/>
      <c r="F1080" s="50">
        <v>197</v>
      </c>
      <c r="G1080" s="49">
        <v>82528</v>
      </c>
      <c r="H1080" s="73">
        <v>188</v>
      </c>
      <c r="I1080" s="77">
        <v>197</v>
      </c>
      <c r="J1080" s="73">
        <v>19992.079999999998</v>
      </c>
      <c r="K1080" s="52">
        <v>11</v>
      </c>
      <c r="L1080" s="51">
        <v>4229.920000000001</v>
      </c>
      <c r="M1080" s="77">
        <v>198</v>
      </c>
      <c r="N1080" s="76">
        <v>63678.51</v>
      </c>
      <c r="O1080" s="75">
        <v>184</v>
      </c>
      <c r="P1080" s="74">
        <v>1142.5900000000015</v>
      </c>
      <c r="Q1080" s="74">
        <v>375.81000000000012</v>
      </c>
      <c r="R1080" s="53">
        <f t="shared" si="50"/>
        <v>4126.4000000000005</v>
      </c>
      <c r="S1080" s="73">
        <v>19992.079999999998</v>
      </c>
      <c r="V1080" s="76">
        <v>63678.51</v>
      </c>
    </row>
    <row r="1081" spans="1:22" x14ac:dyDescent="0.25">
      <c r="A1081" s="28"/>
      <c r="B1081" s="45" t="str">
        <f t="shared" si="48"/>
        <v>Nov-2025</v>
      </c>
      <c r="C1081" s="57">
        <v>45970</v>
      </c>
      <c r="D1081" s="43">
        <f t="shared" si="49"/>
        <v>142</v>
      </c>
      <c r="E1081" s="76"/>
      <c r="F1081" s="50">
        <v>153</v>
      </c>
      <c r="G1081" s="49">
        <v>59000</v>
      </c>
      <c r="H1081" s="73">
        <v>153</v>
      </c>
      <c r="I1081" s="77">
        <v>153</v>
      </c>
      <c r="J1081" s="73">
        <v>17559.930000000004</v>
      </c>
      <c r="K1081" s="52">
        <v>1</v>
      </c>
      <c r="L1081" s="51">
        <v>200.04</v>
      </c>
      <c r="M1081" s="77">
        <v>154</v>
      </c>
      <c r="N1081" s="76">
        <v>42375.040000000001</v>
      </c>
      <c r="O1081" s="75">
        <v>140</v>
      </c>
      <c r="P1081" s="74">
        <v>934.96999999999923</v>
      </c>
      <c r="Q1081" s="74">
        <v>265.72000000000003</v>
      </c>
      <c r="R1081" s="53">
        <f t="shared" si="50"/>
        <v>2950</v>
      </c>
      <c r="S1081" s="73">
        <v>17559.93</v>
      </c>
      <c r="V1081" s="76">
        <v>42375.040000000001</v>
      </c>
    </row>
    <row r="1082" spans="1:22" x14ac:dyDescent="0.25">
      <c r="A1082" s="28"/>
      <c r="B1082" s="45" t="str">
        <f t="shared" si="48"/>
        <v>Nov-2025</v>
      </c>
      <c r="C1082" s="57">
        <v>45971</v>
      </c>
      <c r="D1082" s="43">
        <f t="shared" si="49"/>
        <v>141</v>
      </c>
      <c r="E1082" s="76"/>
      <c r="F1082" s="50">
        <v>136</v>
      </c>
      <c r="G1082" s="49">
        <v>60593</v>
      </c>
      <c r="H1082" s="73">
        <v>134</v>
      </c>
      <c r="I1082" s="77">
        <v>136</v>
      </c>
      <c r="J1082" s="73">
        <v>15331.749999999993</v>
      </c>
      <c r="K1082" s="52">
        <v>12</v>
      </c>
      <c r="L1082" s="51">
        <v>3831.82</v>
      </c>
      <c r="M1082" s="77">
        <v>133</v>
      </c>
      <c r="N1082" s="76">
        <v>46057.42</v>
      </c>
      <c r="O1082" s="75">
        <v>123</v>
      </c>
      <c r="P1082" s="74">
        <v>796.16999999999985</v>
      </c>
      <c r="Q1082" s="74">
        <v>213.56999999999994</v>
      </c>
      <c r="R1082" s="53">
        <f t="shared" si="50"/>
        <v>3029.65</v>
      </c>
      <c r="S1082" s="73">
        <v>15331.749999999993</v>
      </c>
      <c r="V1082" s="76">
        <v>46057.42</v>
      </c>
    </row>
    <row r="1083" spans="1:22" x14ac:dyDescent="0.25">
      <c r="A1083" s="28"/>
      <c r="B1083" s="45" t="str">
        <f t="shared" si="48"/>
        <v>Nov-2025</v>
      </c>
      <c r="C1083" s="57">
        <v>45972</v>
      </c>
      <c r="D1083" s="43">
        <f t="shared" si="49"/>
        <v>140</v>
      </c>
      <c r="E1083" s="76"/>
      <c r="F1083" s="50">
        <v>138</v>
      </c>
      <c r="G1083" s="49">
        <v>52910</v>
      </c>
      <c r="H1083" s="73">
        <v>137</v>
      </c>
      <c r="I1083" s="77">
        <v>138</v>
      </c>
      <c r="J1083" s="73">
        <v>15653.929999999986</v>
      </c>
      <c r="K1083" s="52">
        <v>5</v>
      </c>
      <c r="L1083" s="51">
        <v>728.15</v>
      </c>
      <c r="M1083" s="77">
        <v>120</v>
      </c>
      <c r="N1083" s="76">
        <v>38117.160000000003</v>
      </c>
      <c r="O1083" s="75">
        <v>111</v>
      </c>
      <c r="P1083" s="74">
        <v>861.08999999999946</v>
      </c>
      <c r="Q1083" s="74">
        <v>277.04000000000008</v>
      </c>
      <c r="R1083" s="53">
        <f t="shared" si="50"/>
        <v>2645.5</v>
      </c>
      <c r="S1083" s="73">
        <v>15653.929999999993</v>
      </c>
      <c r="V1083" s="76">
        <v>38117.160000000003</v>
      </c>
    </row>
    <row r="1084" spans="1:22" x14ac:dyDescent="0.25">
      <c r="A1084" s="28"/>
      <c r="B1084" s="45" t="str">
        <f t="shared" si="48"/>
        <v>Nov-2025</v>
      </c>
      <c r="C1084" s="57">
        <v>45973</v>
      </c>
      <c r="D1084" s="43">
        <f t="shared" si="49"/>
        <v>139</v>
      </c>
      <c r="E1084" s="76"/>
      <c r="F1084" s="50">
        <v>145</v>
      </c>
      <c r="G1084" s="49">
        <v>61010</v>
      </c>
      <c r="H1084" s="73">
        <v>145</v>
      </c>
      <c r="I1084" s="77">
        <v>145</v>
      </c>
      <c r="J1084" s="73">
        <v>18834.990000000013</v>
      </c>
      <c r="K1084" s="52">
        <v>3</v>
      </c>
      <c r="L1084" s="51">
        <v>1000.13</v>
      </c>
      <c r="M1084" s="77">
        <v>138</v>
      </c>
      <c r="N1084" s="76">
        <v>43217.52</v>
      </c>
      <c r="O1084" s="75">
        <v>126</v>
      </c>
      <c r="P1084" s="74">
        <v>1042.51</v>
      </c>
      <c r="Q1084" s="74">
        <v>342.03999999999991</v>
      </c>
      <c r="R1084" s="53">
        <f t="shared" si="50"/>
        <v>3050.5</v>
      </c>
      <c r="S1084" s="73">
        <v>18834.989999999998</v>
      </c>
      <c r="V1084" s="76">
        <v>43217.52</v>
      </c>
    </row>
    <row r="1085" spans="1:22" x14ac:dyDescent="0.25">
      <c r="A1085" s="28"/>
      <c r="B1085" s="45" t="str">
        <f t="shared" si="48"/>
        <v>Nov-2025</v>
      </c>
      <c r="C1085" s="57">
        <v>45974</v>
      </c>
      <c r="D1085" s="43">
        <f t="shared" si="49"/>
        <v>138</v>
      </c>
      <c r="E1085" s="76"/>
      <c r="F1085" s="50">
        <v>150</v>
      </c>
      <c r="G1085" s="49">
        <v>71996</v>
      </c>
      <c r="H1085" s="73">
        <v>148</v>
      </c>
      <c r="I1085" s="77">
        <v>150</v>
      </c>
      <c r="J1085" s="73">
        <v>19824.229999999992</v>
      </c>
      <c r="K1085" s="52">
        <v>5</v>
      </c>
      <c r="L1085" s="51">
        <v>900.15</v>
      </c>
      <c r="M1085" s="77">
        <v>168</v>
      </c>
      <c r="N1085" s="76">
        <v>53207.97</v>
      </c>
      <c r="O1085" s="75">
        <v>150</v>
      </c>
      <c r="P1085" s="74">
        <v>1036.2000000000007</v>
      </c>
      <c r="Q1085" s="74">
        <v>300.97000000000003</v>
      </c>
      <c r="R1085" s="53">
        <f t="shared" si="50"/>
        <v>3599.8</v>
      </c>
      <c r="S1085" s="73">
        <v>19824.229999999992</v>
      </c>
      <c r="V1085" s="76">
        <v>53207.97</v>
      </c>
    </row>
    <row r="1086" spans="1:22" x14ac:dyDescent="0.25">
      <c r="A1086" s="28"/>
      <c r="B1086" s="45" t="str">
        <f t="shared" si="48"/>
        <v>Nov-2025</v>
      </c>
      <c r="C1086" s="57">
        <v>45975</v>
      </c>
      <c r="D1086" s="43">
        <f t="shared" si="49"/>
        <v>137</v>
      </c>
      <c r="E1086" s="76"/>
      <c r="F1086" s="50">
        <v>145</v>
      </c>
      <c r="G1086" s="49">
        <v>62169</v>
      </c>
      <c r="H1086" s="73">
        <v>142</v>
      </c>
      <c r="I1086" s="77">
        <v>145</v>
      </c>
      <c r="J1086" s="73">
        <v>20236.350000000009</v>
      </c>
      <c r="K1086" s="52">
        <v>7</v>
      </c>
      <c r="L1086" s="51">
        <v>1160.23</v>
      </c>
      <c r="M1086" s="77">
        <v>141</v>
      </c>
      <c r="N1086" s="76">
        <v>42993.82</v>
      </c>
      <c r="O1086" s="75">
        <v>127</v>
      </c>
      <c r="P1086" s="74">
        <v>1061.1700000000005</v>
      </c>
      <c r="Q1086" s="74">
        <v>318.04999999999995</v>
      </c>
      <c r="R1086" s="53">
        <f t="shared" si="50"/>
        <v>3108.4500000000003</v>
      </c>
      <c r="S1086" s="73">
        <v>20236.350000000013</v>
      </c>
      <c r="V1086" s="76">
        <v>42993.82</v>
      </c>
    </row>
    <row r="1087" spans="1:22" x14ac:dyDescent="0.25">
      <c r="A1087" s="28"/>
      <c r="B1087" s="45" t="str">
        <f t="shared" si="48"/>
        <v>Nov-2025</v>
      </c>
      <c r="C1087" s="57">
        <v>45976</v>
      </c>
      <c r="D1087" s="43">
        <f t="shared" si="49"/>
        <v>136</v>
      </c>
      <c r="E1087" s="76"/>
      <c r="F1087" s="50">
        <v>146</v>
      </c>
      <c r="G1087" s="49">
        <v>70033</v>
      </c>
      <c r="H1087" s="73">
        <v>145</v>
      </c>
      <c r="I1087" s="77">
        <v>146</v>
      </c>
      <c r="J1087" s="73">
        <v>17566.409999999996</v>
      </c>
      <c r="K1087" s="52">
        <v>3</v>
      </c>
      <c r="L1087" s="51">
        <v>154.01999999999998</v>
      </c>
      <c r="M1087" s="77">
        <v>144</v>
      </c>
      <c r="N1087" s="76">
        <v>53485.599999999999</v>
      </c>
      <c r="O1087" s="75">
        <v>137</v>
      </c>
      <c r="P1087" s="74">
        <v>1019.0099999999987</v>
      </c>
      <c r="Q1087" s="74">
        <v>380.36</v>
      </c>
      <c r="R1087" s="53">
        <f t="shared" si="50"/>
        <v>3501.65</v>
      </c>
      <c r="S1087" s="73">
        <v>17566.410000000003</v>
      </c>
      <c r="V1087" s="76">
        <v>53485.599999999999</v>
      </c>
    </row>
    <row r="1088" spans="1:22" x14ac:dyDescent="0.25">
      <c r="A1088" s="28"/>
      <c r="B1088" s="45" t="str">
        <f t="shared" si="48"/>
        <v>Nov-2025</v>
      </c>
      <c r="C1088" s="57">
        <v>45977</v>
      </c>
      <c r="D1088" s="43">
        <f t="shared" si="49"/>
        <v>135</v>
      </c>
      <c r="E1088" s="76"/>
      <c r="F1088" s="50">
        <v>156</v>
      </c>
      <c r="G1088" s="49">
        <v>66720</v>
      </c>
      <c r="H1088" s="73">
        <v>153</v>
      </c>
      <c r="I1088" s="77">
        <v>156</v>
      </c>
      <c r="J1088" s="73">
        <v>16890.459999999995</v>
      </c>
      <c r="K1088" s="52">
        <v>5</v>
      </c>
      <c r="L1088" s="51">
        <v>1900.4099999999999</v>
      </c>
      <c r="M1088" s="77">
        <v>138</v>
      </c>
      <c r="N1088" s="76">
        <v>50755</v>
      </c>
      <c r="O1088" s="75">
        <v>132</v>
      </c>
      <c r="P1088" s="74">
        <v>925.46000000000038</v>
      </c>
      <c r="Q1088" s="74">
        <v>318.04999999999995</v>
      </c>
      <c r="R1088" s="53">
        <f t="shared" si="50"/>
        <v>3336</v>
      </c>
      <c r="S1088" s="73">
        <v>16890.459999999995</v>
      </c>
      <c r="V1088" s="76">
        <v>50755</v>
      </c>
    </row>
    <row r="1089" spans="1:22" x14ac:dyDescent="0.25">
      <c r="A1089" s="28"/>
      <c r="B1089" s="45" t="str">
        <f t="shared" si="48"/>
        <v>Nov-2025</v>
      </c>
      <c r="C1089" s="57">
        <v>45978</v>
      </c>
      <c r="D1089" s="43">
        <f t="shared" si="49"/>
        <v>134</v>
      </c>
      <c r="E1089" s="76"/>
      <c r="F1089" s="50">
        <v>121</v>
      </c>
      <c r="G1089" s="49">
        <v>51455</v>
      </c>
      <c r="H1089" s="73">
        <v>121</v>
      </c>
      <c r="I1089" s="77">
        <v>121</v>
      </c>
      <c r="J1089" s="73">
        <v>14009.499999999995</v>
      </c>
      <c r="K1089" s="52"/>
      <c r="L1089" s="51"/>
      <c r="M1089" s="77">
        <v>111</v>
      </c>
      <c r="N1089" s="76">
        <v>38154.36</v>
      </c>
      <c r="O1089" s="75">
        <v>103</v>
      </c>
      <c r="P1089" s="74">
        <v>708.85999999999967</v>
      </c>
      <c r="Q1089" s="74">
        <v>199.35999999999993</v>
      </c>
      <c r="R1089" s="53">
        <f t="shared" si="50"/>
        <v>2572.75</v>
      </c>
      <c r="S1089" s="73">
        <v>14009.499999999998</v>
      </c>
      <c r="V1089" s="76">
        <v>38154.36</v>
      </c>
    </row>
    <row r="1090" spans="1:22" x14ac:dyDescent="0.25">
      <c r="A1090" s="28"/>
      <c r="B1090" s="45" t="str">
        <f t="shared" si="48"/>
        <v>Nov-2025</v>
      </c>
      <c r="C1090" s="57">
        <v>45979</v>
      </c>
      <c r="D1090" s="43">
        <f t="shared" si="49"/>
        <v>133</v>
      </c>
      <c r="E1090" s="76"/>
      <c r="F1090" s="50">
        <v>136</v>
      </c>
      <c r="G1090" s="49">
        <v>54250</v>
      </c>
      <c r="H1090" s="73">
        <v>135</v>
      </c>
      <c r="I1090" s="77">
        <v>136</v>
      </c>
      <c r="J1090" s="73">
        <v>14536.2</v>
      </c>
      <c r="K1090" s="52">
        <v>3</v>
      </c>
      <c r="L1090" s="51">
        <v>200.04</v>
      </c>
      <c r="M1090" s="77">
        <v>142</v>
      </c>
      <c r="N1090" s="76">
        <v>40500.550000000003</v>
      </c>
      <c r="O1090" s="75">
        <v>134</v>
      </c>
      <c r="P1090" s="74">
        <v>786.75000000000034</v>
      </c>
      <c r="Q1090" s="74">
        <v>269.30000000000007</v>
      </c>
      <c r="R1090" s="53">
        <f t="shared" si="50"/>
        <v>2712.5</v>
      </c>
      <c r="S1090" s="73">
        <v>14536.2</v>
      </c>
      <c r="V1090" s="76">
        <v>40500.550000000003</v>
      </c>
    </row>
    <row r="1091" spans="1:22" x14ac:dyDescent="0.25">
      <c r="A1091" s="28"/>
      <c r="B1091" s="45" t="str">
        <f t="shared" si="48"/>
        <v>Nov-2025</v>
      </c>
      <c r="C1091" s="57">
        <v>45980</v>
      </c>
      <c r="D1091" s="43">
        <f t="shared" si="49"/>
        <v>132</v>
      </c>
      <c r="E1091" s="76">
        <v>1</v>
      </c>
      <c r="F1091" s="50">
        <v>132</v>
      </c>
      <c r="G1091" s="49">
        <v>60764</v>
      </c>
      <c r="H1091" s="73">
        <v>132</v>
      </c>
      <c r="I1091" s="77">
        <v>132</v>
      </c>
      <c r="J1091" s="73">
        <v>19002.960000000006</v>
      </c>
      <c r="K1091" s="52">
        <v>1</v>
      </c>
      <c r="L1091" s="51">
        <v>100.02</v>
      </c>
      <c r="M1091" s="77">
        <v>114</v>
      </c>
      <c r="N1091" s="76">
        <v>42688.83</v>
      </c>
      <c r="O1091" s="75">
        <v>109</v>
      </c>
      <c r="P1091" s="74">
        <v>927.78999999999928</v>
      </c>
      <c r="Q1091" s="74">
        <v>253.83</v>
      </c>
      <c r="R1091" s="53">
        <f t="shared" si="50"/>
        <v>3038.2000000000003</v>
      </c>
      <c r="S1091" s="73">
        <v>19002.960000000006</v>
      </c>
      <c r="V1091" s="76">
        <v>42688.83</v>
      </c>
    </row>
    <row r="1092" spans="1:22" x14ac:dyDescent="0.25">
      <c r="A1092" s="28"/>
      <c r="B1092" s="45" t="str">
        <f t="shared" si="48"/>
        <v>Nov-2025</v>
      </c>
      <c r="C1092" s="57">
        <v>45981</v>
      </c>
      <c r="D1092" s="43">
        <f t="shared" si="49"/>
        <v>131</v>
      </c>
      <c r="E1092" s="76"/>
      <c r="F1092" s="50">
        <v>139</v>
      </c>
      <c r="G1092" s="49">
        <v>63690</v>
      </c>
      <c r="H1092" s="73">
        <v>138</v>
      </c>
      <c r="I1092" s="77">
        <v>139</v>
      </c>
      <c r="J1092" s="73">
        <v>12376.91</v>
      </c>
      <c r="K1092" s="52">
        <v>12</v>
      </c>
      <c r="L1092" s="51">
        <v>1290.25</v>
      </c>
      <c r="M1092" s="77">
        <v>182</v>
      </c>
      <c r="N1092" s="76">
        <v>52109.87</v>
      </c>
      <c r="O1092" s="75">
        <v>164</v>
      </c>
      <c r="P1092" s="74">
        <v>796.77999999999986</v>
      </c>
      <c r="Q1092" s="74">
        <v>389.56999999999994</v>
      </c>
      <c r="R1092" s="53">
        <f t="shared" si="50"/>
        <v>3184.5</v>
      </c>
      <c r="S1092" s="73">
        <v>12376.909999999998</v>
      </c>
      <c r="V1092" s="76">
        <v>52109.87</v>
      </c>
    </row>
    <row r="1093" spans="1:22" x14ac:dyDescent="0.25">
      <c r="A1093" s="28"/>
      <c r="B1093" s="45" t="str">
        <f t="shared" si="48"/>
        <v>Nov-2025</v>
      </c>
      <c r="C1093" s="57">
        <v>45982</v>
      </c>
      <c r="D1093" s="43">
        <f t="shared" si="49"/>
        <v>130</v>
      </c>
      <c r="E1093" s="76"/>
      <c r="F1093" s="50">
        <v>147</v>
      </c>
      <c r="G1093" s="49">
        <v>68030</v>
      </c>
      <c r="H1093" s="73">
        <v>145</v>
      </c>
      <c r="I1093" s="77">
        <v>147</v>
      </c>
      <c r="J1093" s="73">
        <v>19789.370000000006</v>
      </c>
      <c r="K1093" s="52">
        <v>8</v>
      </c>
      <c r="L1093" s="51">
        <v>2518.54</v>
      </c>
      <c r="M1093" s="77">
        <v>146</v>
      </c>
      <c r="N1093" s="76">
        <v>49242.44</v>
      </c>
      <c r="O1093" s="75">
        <v>127</v>
      </c>
      <c r="P1093" s="74">
        <v>1001.8099999999997</v>
      </c>
      <c r="Q1093" s="74">
        <v>337.74999999999989</v>
      </c>
      <c r="R1093" s="53">
        <f t="shared" si="50"/>
        <v>3401.5</v>
      </c>
      <c r="S1093" s="73">
        <v>19789.370000000017</v>
      </c>
      <c r="V1093" s="76">
        <v>49242.44</v>
      </c>
    </row>
    <row r="1094" spans="1:22" x14ac:dyDescent="0.25">
      <c r="A1094" s="28"/>
      <c r="B1094" s="45" t="str">
        <f t="shared" si="48"/>
        <v>Nov-2025</v>
      </c>
      <c r="C1094" s="57">
        <v>45983</v>
      </c>
      <c r="D1094" s="43">
        <f t="shared" si="49"/>
        <v>129</v>
      </c>
      <c r="E1094" s="76"/>
      <c r="F1094" s="50">
        <v>138</v>
      </c>
      <c r="G1094" s="49">
        <v>65190</v>
      </c>
      <c r="H1094" s="73">
        <v>137</v>
      </c>
      <c r="I1094" s="77">
        <v>138</v>
      </c>
      <c r="J1094" s="73">
        <v>10646.699999999992</v>
      </c>
      <c r="K1094" s="52">
        <v>3</v>
      </c>
      <c r="L1094" s="51">
        <v>519.02</v>
      </c>
      <c r="M1094" s="77">
        <v>158</v>
      </c>
      <c r="N1094" s="76">
        <v>55273.22</v>
      </c>
      <c r="O1094" s="75">
        <v>146</v>
      </c>
      <c r="P1094" s="74">
        <v>729.92000000000007</v>
      </c>
      <c r="Q1094" s="74">
        <v>356.04000000000013</v>
      </c>
      <c r="R1094" s="53">
        <f t="shared" si="50"/>
        <v>3259.5</v>
      </c>
      <c r="S1094" s="73">
        <v>10646.699999999993</v>
      </c>
      <c r="V1094" s="76">
        <v>55273.22</v>
      </c>
    </row>
    <row r="1095" spans="1:22" x14ac:dyDescent="0.25">
      <c r="A1095" s="28"/>
      <c r="B1095" s="45" t="str">
        <f t="shared" si="48"/>
        <v>Nov-2025</v>
      </c>
      <c r="C1095" s="57">
        <v>45984</v>
      </c>
      <c r="D1095" s="43">
        <f t="shared" si="49"/>
        <v>128</v>
      </c>
      <c r="E1095" s="76"/>
      <c r="F1095" s="50">
        <v>119</v>
      </c>
      <c r="G1095" s="49">
        <v>50015</v>
      </c>
      <c r="H1095" s="73">
        <v>118</v>
      </c>
      <c r="I1095" s="77">
        <v>119</v>
      </c>
      <c r="J1095" s="73">
        <v>9570.0400000000063</v>
      </c>
      <c r="K1095" s="52">
        <v>2</v>
      </c>
      <c r="L1095" s="51">
        <v>300.02</v>
      </c>
      <c r="M1095" s="77">
        <v>126</v>
      </c>
      <c r="N1095" s="76">
        <v>41029.81</v>
      </c>
      <c r="O1095" s="75">
        <v>121</v>
      </c>
      <c r="P1095" s="74">
        <v>584.85</v>
      </c>
      <c r="Q1095" s="74">
        <v>249.80999999999989</v>
      </c>
      <c r="R1095" s="53">
        <f t="shared" si="50"/>
        <v>2500.75</v>
      </c>
      <c r="S1095" s="73">
        <v>9570.0400000000027</v>
      </c>
      <c r="V1095" s="76">
        <v>41029.81</v>
      </c>
    </row>
    <row r="1096" spans="1:22" x14ac:dyDescent="0.25">
      <c r="A1096" s="28"/>
      <c r="B1096" s="45" t="str">
        <f t="shared" ref="B1096:B1159" si="51">TEXT(C1096,"MMM-YYYY")</f>
        <v>Nov-2025</v>
      </c>
      <c r="C1096" s="57">
        <v>45985</v>
      </c>
      <c r="D1096" s="43">
        <f t="shared" ref="D1096:D1159" si="52">$A$1-C1096</f>
        <v>127</v>
      </c>
      <c r="E1096" s="76"/>
      <c r="F1096" s="50">
        <v>130</v>
      </c>
      <c r="G1096" s="49">
        <v>59509</v>
      </c>
      <c r="H1096" s="73">
        <v>130</v>
      </c>
      <c r="I1096" s="77">
        <v>130</v>
      </c>
      <c r="J1096" s="73">
        <v>14698.679999999993</v>
      </c>
      <c r="K1096" s="52">
        <v>1</v>
      </c>
      <c r="L1096" s="51">
        <v>700.15</v>
      </c>
      <c r="M1096" s="77">
        <v>105</v>
      </c>
      <c r="N1096" s="76">
        <v>45585.41</v>
      </c>
      <c r="O1096" s="75">
        <v>99</v>
      </c>
      <c r="P1096" s="74">
        <v>775.09000000000049</v>
      </c>
      <c r="Q1096" s="74">
        <v>266.40999999999997</v>
      </c>
      <c r="R1096" s="53">
        <f t="shared" ref="R1096:R1159" si="53">G1096*5%</f>
        <v>2975.4500000000003</v>
      </c>
      <c r="S1096" s="73">
        <v>14698.679999999995</v>
      </c>
      <c r="V1096" s="76">
        <v>45585.41</v>
      </c>
    </row>
    <row r="1097" spans="1:22" x14ac:dyDescent="0.25">
      <c r="A1097" s="28"/>
      <c r="B1097" s="45" t="str">
        <f t="shared" si="51"/>
        <v>Nov-2025</v>
      </c>
      <c r="C1097" s="57">
        <v>45986</v>
      </c>
      <c r="D1097" s="43">
        <f t="shared" si="52"/>
        <v>126</v>
      </c>
      <c r="E1097" s="76"/>
      <c r="F1097" s="50">
        <v>111</v>
      </c>
      <c r="G1097" s="49">
        <v>51597</v>
      </c>
      <c r="H1097" s="73">
        <v>101</v>
      </c>
      <c r="I1097" s="77">
        <v>111</v>
      </c>
      <c r="J1097" s="73">
        <v>14341.919999999995</v>
      </c>
      <c r="K1097" s="52">
        <v>11</v>
      </c>
      <c r="L1097" s="51">
        <v>1100.22</v>
      </c>
      <c r="M1097" s="77">
        <v>102</v>
      </c>
      <c r="N1097" s="76">
        <v>37943.160000000003</v>
      </c>
      <c r="O1097" s="75">
        <v>101</v>
      </c>
      <c r="P1097" s="74">
        <v>703.0799999999997</v>
      </c>
      <c r="Q1097" s="74">
        <v>232.15000000000006</v>
      </c>
      <c r="R1097" s="53">
        <f t="shared" si="53"/>
        <v>2579.8500000000004</v>
      </c>
      <c r="S1097" s="73">
        <v>14341.919999999998</v>
      </c>
      <c r="V1097" s="76">
        <v>37943.160000000003</v>
      </c>
    </row>
    <row r="1098" spans="1:22" x14ac:dyDescent="0.25">
      <c r="A1098" s="28"/>
      <c r="B1098" s="45" t="str">
        <f t="shared" si="51"/>
        <v>Nov-2025</v>
      </c>
      <c r="C1098" s="57">
        <v>45987</v>
      </c>
      <c r="D1098" s="43">
        <f t="shared" si="52"/>
        <v>125</v>
      </c>
      <c r="E1098" s="76"/>
      <c r="F1098" s="50">
        <v>101</v>
      </c>
      <c r="G1098" s="49">
        <v>42730</v>
      </c>
      <c r="H1098" s="73">
        <v>101</v>
      </c>
      <c r="I1098" s="77">
        <v>101</v>
      </c>
      <c r="J1098" s="73">
        <v>14623.3</v>
      </c>
      <c r="K1098" s="52">
        <v>2</v>
      </c>
      <c r="L1098" s="51">
        <v>719.15</v>
      </c>
      <c r="M1098" s="77">
        <v>92</v>
      </c>
      <c r="N1098" s="76">
        <v>28815.22</v>
      </c>
      <c r="O1098" s="75">
        <v>84</v>
      </c>
      <c r="P1098" s="74">
        <v>708.51999999999953</v>
      </c>
      <c r="Q1098" s="74">
        <v>221.60999999999999</v>
      </c>
      <c r="R1098" s="53">
        <f t="shared" si="53"/>
        <v>2136.5</v>
      </c>
      <c r="S1098" s="73">
        <v>14623.299999999997</v>
      </c>
      <c r="V1098" s="76">
        <v>28815.22</v>
      </c>
    </row>
    <row r="1099" spans="1:22" x14ac:dyDescent="0.25">
      <c r="A1099" s="28"/>
      <c r="B1099" s="45" t="str">
        <f t="shared" si="51"/>
        <v>Nov-2025</v>
      </c>
      <c r="C1099" s="57">
        <v>45988</v>
      </c>
      <c r="D1099" s="43">
        <f t="shared" si="52"/>
        <v>124</v>
      </c>
      <c r="E1099" s="76"/>
      <c r="F1099" s="50">
        <v>109</v>
      </c>
      <c r="G1099" s="49">
        <v>53455</v>
      </c>
      <c r="H1099" s="73">
        <v>109</v>
      </c>
      <c r="I1099" s="77">
        <v>109</v>
      </c>
      <c r="J1099" s="73">
        <v>10830.479999999998</v>
      </c>
      <c r="K1099" s="52">
        <v>1</v>
      </c>
      <c r="L1099" s="51">
        <v>100.02</v>
      </c>
      <c r="M1099" s="77">
        <v>122</v>
      </c>
      <c r="N1099" s="76">
        <v>43232.480000000003</v>
      </c>
      <c r="O1099" s="75">
        <v>112</v>
      </c>
      <c r="P1099" s="74">
        <v>607.96000000000015</v>
      </c>
      <c r="Q1099" s="74">
        <v>249.17000000000004</v>
      </c>
      <c r="R1099" s="53">
        <f t="shared" si="53"/>
        <v>2672.75</v>
      </c>
      <c r="S1099" s="73">
        <v>10830.479999999998</v>
      </c>
      <c r="V1099" s="76">
        <v>43232.480000000003</v>
      </c>
    </row>
    <row r="1100" spans="1:22" x14ac:dyDescent="0.25">
      <c r="A1100" s="28"/>
      <c r="B1100" s="45" t="str">
        <f t="shared" si="51"/>
        <v>Nov-2025</v>
      </c>
      <c r="C1100" s="57">
        <v>45989</v>
      </c>
      <c r="D1100" s="43">
        <f t="shared" si="52"/>
        <v>123</v>
      </c>
      <c r="E1100" s="76"/>
      <c r="F1100" s="50">
        <v>115</v>
      </c>
      <c r="G1100" s="49">
        <v>49713</v>
      </c>
      <c r="H1100" s="73">
        <v>115</v>
      </c>
      <c r="I1100" s="77">
        <v>115</v>
      </c>
      <c r="J1100" s="73">
        <v>13302.520000000008</v>
      </c>
      <c r="K1100" s="52">
        <v>4</v>
      </c>
      <c r="L1100" s="51">
        <v>1068.1199999999999</v>
      </c>
      <c r="M1100" s="77">
        <v>117</v>
      </c>
      <c r="N1100" s="76">
        <v>37065.97</v>
      </c>
      <c r="O1100" s="75">
        <v>117</v>
      </c>
      <c r="P1100" s="74">
        <v>655.49</v>
      </c>
      <c r="Q1100" s="74">
        <v>226.35999999999987</v>
      </c>
      <c r="R1100" s="53">
        <f t="shared" si="53"/>
        <v>2485.65</v>
      </c>
      <c r="S1100" s="73">
        <v>13302.52000000001</v>
      </c>
      <c r="V1100" s="76">
        <v>37065.97</v>
      </c>
    </row>
    <row r="1101" spans="1:22" x14ac:dyDescent="0.25">
      <c r="A1101" s="28"/>
      <c r="B1101" s="45" t="str">
        <f t="shared" si="51"/>
        <v>Nov-2025</v>
      </c>
      <c r="C1101" s="57">
        <v>45990</v>
      </c>
      <c r="D1101" s="43">
        <f t="shared" si="52"/>
        <v>122</v>
      </c>
      <c r="E1101" s="76"/>
      <c r="F1101" s="50">
        <v>123</v>
      </c>
      <c r="G1101" s="49">
        <v>58650</v>
      </c>
      <c r="H1101" s="73">
        <v>122</v>
      </c>
      <c r="I1101" s="77">
        <v>123</v>
      </c>
      <c r="J1101" s="73">
        <v>14409.689999999999</v>
      </c>
      <c r="K1101" s="52">
        <v>3</v>
      </c>
      <c r="L1101" s="51">
        <v>204.04</v>
      </c>
      <c r="M1101" s="77">
        <v>124</v>
      </c>
      <c r="N1101" s="76">
        <v>45065.7</v>
      </c>
      <c r="O1101" s="75">
        <v>117</v>
      </c>
      <c r="P1101" s="74">
        <v>825.38999999999953</v>
      </c>
      <c r="Q1101" s="74">
        <v>345.7</v>
      </c>
      <c r="R1101" s="53">
        <f t="shared" si="53"/>
        <v>2932.5</v>
      </c>
      <c r="S1101" s="73">
        <v>14409.689999999999</v>
      </c>
      <c r="V1101" s="76">
        <v>45065.7</v>
      </c>
    </row>
    <row r="1102" spans="1:22" x14ac:dyDescent="0.25">
      <c r="A1102" s="28"/>
      <c r="B1102" s="45" t="str">
        <f t="shared" si="51"/>
        <v>Nov-2025</v>
      </c>
      <c r="C1102" s="57">
        <v>45991</v>
      </c>
      <c r="D1102" s="43">
        <f t="shared" si="52"/>
        <v>121</v>
      </c>
      <c r="E1102" s="76"/>
      <c r="F1102" s="50">
        <v>136</v>
      </c>
      <c r="G1102" s="49">
        <v>52426</v>
      </c>
      <c r="H1102" s="73">
        <v>133</v>
      </c>
      <c r="I1102" s="77">
        <v>136</v>
      </c>
      <c r="J1102" s="73">
        <v>13133.15</v>
      </c>
      <c r="K1102" s="52">
        <v>4</v>
      </c>
      <c r="L1102" s="51">
        <v>1049.21</v>
      </c>
      <c r="M1102" s="77">
        <v>163</v>
      </c>
      <c r="N1102" s="76">
        <v>40028.94</v>
      </c>
      <c r="O1102" s="75">
        <v>145</v>
      </c>
      <c r="P1102" s="74">
        <v>736.09000000000049</v>
      </c>
      <c r="Q1102" s="74">
        <v>310.39</v>
      </c>
      <c r="R1102" s="53">
        <f t="shared" si="53"/>
        <v>2621.3000000000002</v>
      </c>
      <c r="S1102" s="73">
        <v>13133.15</v>
      </c>
      <c r="V1102" s="76">
        <v>40028.94</v>
      </c>
    </row>
    <row r="1103" spans="1:22" x14ac:dyDescent="0.25">
      <c r="A1103" s="28"/>
      <c r="B1103" s="45" t="str">
        <f t="shared" si="51"/>
        <v>Dec-2025</v>
      </c>
      <c r="C1103" s="57">
        <v>45992</v>
      </c>
      <c r="D1103" s="43">
        <f t="shared" si="52"/>
        <v>120</v>
      </c>
      <c r="E1103" s="76"/>
      <c r="F1103" s="50">
        <v>131</v>
      </c>
      <c r="G1103" s="49">
        <v>60200</v>
      </c>
      <c r="H1103" s="73">
        <v>131</v>
      </c>
      <c r="I1103" s="77">
        <v>131</v>
      </c>
      <c r="J1103" s="73">
        <v>13838.149999999996</v>
      </c>
      <c r="K1103" s="52"/>
      <c r="L1103" s="51"/>
      <c r="M1103" s="77">
        <v>111</v>
      </c>
      <c r="N1103" s="76">
        <v>47033.19</v>
      </c>
      <c r="O1103" s="75">
        <v>111</v>
      </c>
      <c r="P1103" s="74">
        <v>726.33999999999912</v>
      </c>
      <c r="Q1103" s="74">
        <v>287.81999999999988</v>
      </c>
      <c r="R1103" s="53">
        <f t="shared" si="53"/>
        <v>3010</v>
      </c>
      <c r="S1103" s="73">
        <v>13838.150000000001</v>
      </c>
      <c r="V1103" s="103">
        <f>SUM(V1073:V1102)</f>
        <v>1366407.1899999995</v>
      </c>
    </row>
    <row r="1104" spans="1:22" x14ac:dyDescent="0.25">
      <c r="A1104" s="28"/>
      <c r="B1104" s="45" t="str">
        <f t="shared" si="51"/>
        <v>Dec-2025</v>
      </c>
      <c r="C1104" s="57">
        <v>45993</v>
      </c>
      <c r="D1104" s="43">
        <f t="shared" si="52"/>
        <v>119</v>
      </c>
      <c r="E1104" s="76"/>
      <c r="F1104" s="50">
        <v>115</v>
      </c>
      <c r="G1104" s="49">
        <v>59070</v>
      </c>
      <c r="H1104" s="73">
        <v>115</v>
      </c>
      <c r="I1104" s="77">
        <v>115</v>
      </c>
      <c r="J1104" s="73">
        <v>12964.740000000005</v>
      </c>
      <c r="K1104" s="52">
        <v>3</v>
      </c>
      <c r="L1104" s="51">
        <v>260.03999999999996</v>
      </c>
      <c r="M1104" s="77">
        <v>131</v>
      </c>
      <c r="N1104" s="76">
        <v>46820.98</v>
      </c>
      <c r="O1104" s="75">
        <v>124</v>
      </c>
      <c r="P1104" s="74">
        <v>715.72000000000025</v>
      </c>
      <c r="Q1104" s="74">
        <v>323.99</v>
      </c>
      <c r="R1104" s="53">
        <f t="shared" si="53"/>
        <v>2953.5</v>
      </c>
      <c r="S1104" s="73">
        <v>12964.740000000003</v>
      </c>
    </row>
    <row r="1105" spans="1:19" x14ac:dyDescent="0.25">
      <c r="A1105" s="28"/>
      <c r="B1105" s="45" t="str">
        <f t="shared" si="51"/>
        <v>Dec-2025</v>
      </c>
      <c r="C1105" s="57">
        <v>45994</v>
      </c>
      <c r="D1105" s="43">
        <f t="shared" si="52"/>
        <v>118</v>
      </c>
      <c r="E1105" s="76"/>
      <c r="F1105" s="50">
        <v>123</v>
      </c>
      <c r="G1105" s="49">
        <v>58375</v>
      </c>
      <c r="H1105" s="73">
        <v>123</v>
      </c>
      <c r="I1105" s="77">
        <v>123</v>
      </c>
      <c r="J1105" s="73">
        <v>14188.369999999994</v>
      </c>
      <c r="K1105" s="52">
        <v>2</v>
      </c>
      <c r="L1105" s="51">
        <v>1200.26</v>
      </c>
      <c r="M1105" s="77">
        <v>114</v>
      </c>
      <c r="N1105" s="76">
        <v>44913.94</v>
      </c>
      <c r="O1105" s="75">
        <v>107</v>
      </c>
      <c r="P1105" s="74">
        <v>727.30999999999972</v>
      </c>
      <c r="Q1105" s="74">
        <v>268.94</v>
      </c>
      <c r="R1105" s="53">
        <f t="shared" si="53"/>
        <v>2918.75</v>
      </c>
      <c r="S1105" s="73">
        <v>14188.369999999992</v>
      </c>
    </row>
    <row r="1106" spans="1:19" x14ac:dyDescent="0.25">
      <c r="A1106" s="28"/>
      <c r="B1106" s="45" t="str">
        <f t="shared" si="51"/>
        <v>Dec-2025</v>
      </c>
      <c r="C1106" s="57">
        <v>45995</v>
      </c>
      <c r="D1106" s="43">
        <f t="shared" si="52"/>
        <v>117</v>
      </c>
      <c r="E1106" s="76"/>
      <c r="F1106" s="50">
        <v>110</v>
      </c>
      <c r="G1106" s="49">
        <v>42330</v>
      </c>
      <c r="H1106" s="73">
        <v>109</v>
      </c>
      <c r="I1106" s="77">
        <v>110</v>
      </c>
      <c r="J1106" s="73">
        <v>12909.900000000001</v>
      </c>
      <c r="K1106" s="52">
        <v>2</v>
      </c>
      <c r="L1106" s="51">
        <v>109.02</v>
      </c>
      <c r="M1106" s="77">
        <v>107</v>
      </c>
      <c r="N1106" s="76">
        <v>30021.67</v>
      </c>
      <c r="O1106" s="75">
        <v>100</v>
      </c>
      <c r="P1106" s="74">
        <v>601.56999999999982</v>
      </c>
      <c r="Q1106" s="74">
        <v>206.50999999999996</v>
      </c>
      <c r="R1106" s="53">
        <f t="shared" si="53"/>
        <v>2116.5</v>
      </c>
      <c r="S1106" s="73">
        <v>12909.900000000003</v>
      </c>
    </row>
    <row r="1107" spans="1:19" x14ac:dyDescent="0.25">
      <c r="A1107" s="28"/>
      <c r="B1107" s="45" t="str">
        <f t="shared" si="51"/>
        <v>Dec-2025</v>
      </c>
      <c r="C1107" s="57">
        <v>45996</v>
      </c>
      <c r="D1107" s="43">
        <f t="shared" si="52"/>
        <v>116</v>
      </c>
      <c r="E1107" s="76"/>
      <c r="F1107" s="50">
        <v>104</v>
      </c>
      <c r="G1107" s="49">
        <v>53980</v>
      </c>
      <c r="H1107" s="73">
        <v>103</v>
      </c>
      <c r="I1107" s="77">
        <v>104</v>
      </c>
      <c r="J1107" s="73">
        <v>12595.45</v>
      </c>
      <c r="K1107" s="52">
        <v>3</v>
      </c>
      <c r="L1107" s="51">
        <v>203.04</v>
      </c>
      <c r="M1107" s="77">
        <v>107</v>
      </c>
      <c r="N1107" s="76">
        <v>42044.53</v>
      </c>
      <c r="O1107" s="75">
        <v>102</v>
      </c>
      <c r="P1107" s="74">
        <v>659.98000000000013</v>
      </c>
      <c r="Q1107" s="74">
        <v>264.53000000000003</v>
      </c>
      <c r="R1107" s="53">
        <f t="shared" si="53"/>
        <v>2699</v>
      </c>
      <c r="S1107" s="73">
        <v>12595.449999999995</v>
      </c>
    </row>
    <row r="1108" spans="1:19" x14ac:dyDescent="0.25">
      <c r="A1108" s="28"/>
      <c r="B1108" s="45" t="str">
        <f t="shared" si="51"/>
        <v>Dec-2025</v>
      </c>
      <c r="C1108" s="57">
        <v>45997</v>
      </c>
      <c r="D1108" s="43">
        <f t="shared" si="52"/>
        <v>115</v>
      </c>
      <c r="E1108" s="76"/>
      <c r="F1108" s="50">
        <v>115</v>
      </c>
      <c r="G1108" s="49">
        <v>51580</v>
      </c>
      <c r="H1108" s="73">
        <v>114</v>
      </c>
      <c r="I1108" s="77">
        <v>115</v>
      </c>
      <c r="J1108" s="73">
        <v>9861.94</v>
      </c>
      <c r="K1108" s="52">
        <v>5</v>
      </c>
      <c r="L1108" s="51">
        <v>1070.21</v>
      </c>
      <c r="M1108" s="77">
        <v>137</v>
      </c>
      <c r="N1108" s="76">
        <v>42310.46</v>
      </c>
      <c r="O1108" s="75">
        <v>128</v>
      </c>
      <c r="P1108" s="74">
        <v>592.4</v>
      </c>
      <c r="Q1108" s="74">
        <v>280.52</v>
      </c>
      <c r="R1108" s="53">
        <f t="shared" si="53"/>
        <v>2579</v>
      </c>
      <c r="S1108" s="73">
        <v>9861.9399999999987</v>
      </c>
    </row>
    <row r="1109" spans="1:19" x14ac:dyDescent="0.25">
      <c r="A1109" s="28"/>
      <c r="B1109" s="45" t="str">
        <f t="shared" si="51"/>
        <v>Dec-2025</v>
      </c>
      <c r="C1109" s="57">
        <v>45998</v>
      </c>
      <c r="D1109" s="43">
        <f t="shared" si="52"/>
        <v>114</v>
      </c>
      <c r="E1109" s="76"/>
      <c r="F1109" s="50">
        <v>116</v>
      </c>
      <c r="G1109" s="49">
        <v>53905</v>
      </c>
      <c r="H1109" s="73">
        <v>116</v>
      </c>
      <c r="I1109" s="77">
        <v>116</v>
      </c>
      <c r="J1109" s="73">
        <v>12719.100000000006</v>
      </c>
      <c r="K1109" s="52">
        <v>6</v>
      </c>
      <c r="L1109" s="51">
        <v>1295.28</v>
      </c>
      <c r="M1109" s="77">
        <v>145</v>
      </c>
      <c r="N1109" s="76">
        <v>41854.29</v>
      </c>
      <c r="O1109" s="75">
        <v>130</v>
      </c>
      <c r="P1109" s="74">
        <v>668.39000000000021</v>
      </c>
      <c r="Q1109" s="74">
        <v>283.11999999999995</v>
      </c>
      <c r="R1109" s="53">
        <f t="shared" si="53"/>
        <v>2695.25</v>
      </c>
      <c r="S1109" s="73">
        <v>12719.100000000004</v>
      </c>
    </row>
    <row r="1110" spans="1:19" x14ac:dyDescent="0.25">
      <c r="A1110" s="28"/>
      <c r="B1110" s="45" t="str">
        <f t="shared" si="51"/>
        <v>Dec-2025</v>
      </c>
      <c r="C1110" s="57">
        <v>45999</v>
      </c>
      <c r="D1110" s="43">
        <f t="shared" si="52"/>
        <v>113</v>
      </c>
      <c r="E1110" s="76"/>
      <c r="F1110" s="50">
        <v>97</v>
      </c>
      <c r="G1110" s="49">
        <v>43440</v>
      </c>
      <c r="H1110" s="73">
        <v>96</v>
      </c>
      <c r="I1110" s="77">
        <v>97</v>
      </c>
      <c r="J1110" s="73">
        <v>10042.959999999997</v>
      </c>
      <c r="K1110" s="52">
        <v>2</v>
      </c>
      <c r="L1110" s="51">
        <v>170.04</v>
      </c>
      <c r="M1110" s="77">
        <v>95</v>
      </c>
      <c r="N1110" s="76">
        <v>33940.589999999997</v>
      </c>
      <c r="O1110" s="75">
        <v>90</v>
      </c>
      <c r="P1110" s="74">
        <v>543.54999999999984</v>
      </c>
      <c r="Q1110" s="74">
        <v>238.84000000000003</v>
      </c>
      <c r="R1110" s="53">
        <f t="shared" si="53"/>
        <v>2172</v>
      </c>
      <c r="S1110" s="73">
        <v>10042.959999999997</v>
      </c>
    </row>
    <row r="1111" spans="1:19" x14ac:dyDescent="0.25">
      <c r="A1111" s="28"/>
      <c r="B1111" s="45" t="str">
        <f t="shared" si="51"/>
        <v>Dec-2025</v>
      </c>
      <c r="C1111" s="57">
        <v>46000</v>
      </c>
      <c r="D1111" s="43">
        <f t="shared" si="52"/>
        <v>112</v>
      </c>
      <c r="E1111" s="76"/>
      <c r="F1111" s="50">
        <v>134</v>
      </c>
      <c r="G1111" s="49">
        <v>60630</v>
      </c>
      <c r="H1111" s="73">
        <v>133</v>
      </c>
      <c r="I1111" s="77">
        <v>134</v>
      </c>
      <c r="J1111" s="73">
        <v>14801.180000000011</v>
      </c>
      <c r="K1111" s="52">
        <v>2</v>
      </c>
      <c r="L1111" s="51">
        <v>600.13</v>
      </c>
      <c r="M1111" s="77">
        <v>133</v>
      </c>
      <c r="N1111" s="76">
        <v>46577.8</v>
      </c>
      <c r="O1111" s="75">
        <v>124</v>
      </c>
      <c r="P1111" s="74">
        <v>748.98000000000025</v>
      </c>
      <c r="Q1111" s="74">
        <v>316.70999999999998</v>
      </c>
      <c r="R1111" s="53">
        <f t="shared" si="53"/>
        <v>3031.5</v>
      </c>
      <c r="S1111" s="73">
        <v>14801.180000000011</v>
      </c>
    </row>
    <row r="1112" spans="1:19" x14ac:dyDescent="0.25">
      <c r="A1112" s="28"/>
      <c r="B1112" s="45" t="str">
        <f t="shared" si="51"/>
        <v>Dec-2025</v>
      </c>
      <c r="C1112" s="57">
        <v>46001</v>
      </c>
      <c r="D1112" s="43">
        <f t="shared" si="52"/>
        <v>111</v>
      </c>
      <c r="E1112" s="76"/>
      <c r="F1112" s="50">
        <v>107</v>
      </c>
      <c r="G1112" s="49">
        <v>47270</v>
      </c>
      <c r="H1112" s="73">
        <v>105</v>
      </c>
      <c r="I1112" s="77">
        <v>107</v>
      </c>
      <c r="J1112" s="73">
        <v>8115.5000000000018</v>
      </c>
      <c r="K1112" s="52">
        <v>5</v>
      </c>
      <c r="L1112" s="51">
        <v>380.07</v>
      </c>
      <c r="M1112" s="77">
        <v>127</v>
      </c>
      <c r="N1112" s="76">
        <v>39638.82</v>
      </c>
      <c r="O1112" s="75">
        <v>113</v>
      </c>
      <c r="P1112" s="74">
        <v>484.32</v>
      </c>
      <c r="Q1112" s="74">
        <v>235.03000000000003</v>
      </c>
      <c r="R1112" s="53">
        <f t="shared" si="53"/>
        <v>2363.5</v>
      </c>
      <c r="S1112" s="73">
        <v>8115.5</v>
      </c>
    </row>
    <row r="1113" spans="1:19" x14ac:dyDescent="0.25">
      <c r="A1113" s="28"/>
      <c r="B1113" s="45" t="str">
        <f t="shared" si="51"/>
        <v>Dec-2025</v>
      </c>
      <c r="C1113" s="57">
        <v>46002</v>
      </c>
      <c r="D1113" s="43">
        <f t="shared" si="52"/>
        <v>110</v>
      </c>
      <c r="E1113" s="76"/>
      <c r="F1113" s="50">
        <v>120</v>
      </c>
      <c r="G1113" s="49">
        <v>52000</v>
      </c>
      <c r="H1113" s="73">
        <v>120</v>
      </c>
      <c r="I1113" s="77">
        <v>120</v>
      </c>
      <c r="J1113" s="73">
        <v>14481.8</v>
      </c>
      <c r="K1113" s="52">
        <v>1</v>
      </c>
      <c r="L1113" s="51">
        <v>4</v>
      </c>
      <c r="M1113" s="77">
        <v>118</v>
      </c>
      <c r="N1113" s="76">
        <v>38152.29</v>
      </c>
      <c r="O1113" s="75">
        <v>111</v>
      </c>
      <c r="P1113" s="74">
        <v>634.09000000000026</v>
      </c>
      <c r="Q1113" s="74">
        <v>199.87</v>
      </c>
      <c r="R1113" s="53">
        <f t="shared" si="53"/>
        <v>2600</v>
      </c>
      <c r="S1113" s="73">
        <v>14481.799999999997</v>
      </c>
    </row>
    <row r="1114" spans="1:19" x14ac:dyDescent="0.25">
      <c r="A1114" s="28"/>
      <c r="B1114" s="45" t="str">
        <f t="shared" si="51"/>
        <v>Dec-2025</v>
      </c>
      <c r="C1114" s="57">
        <v>46003</v>
      </c>
      <c r="D1114" s="43">
        <f t="shared" si="52"/>
        <v>109</v>
      </c>
      <c r="E1114" s="76"/>
      <c r="F1114" s="50">
        <v>121</v>
      </c>
      <c r="G1114" s="49">
        <v>47753</v>
      </c>
      <c r="H1114" s="73">
        <v>111</v>
      </c>
      <c r="I1114" s="77">
        <v>121</v>
      </c>
      <c r="J1114" s="73">
        <v>11277.2</v>
      </c>
      <c r="K1114" s="52">
        <v>12</v>
      </c>
      <c r="L1114" s="51">
        <v>994.19999999999993</v>
      </c>
      <c r="M1114" s="77">
        <v>136</v>
      </c>
      <c r="N1114" s="76">
        <v>37060.269999999997</v>
      </c>
      <c r="O1114" s="75">
        <v>120</v>
      </c>
      <c r="P1114" s="74">
        <v>584.46999999999991</v>
      </c>
      <c r="Q1114" s="74">
        <v>246.95999999999998</v>
      </c>
      <c r="R1114" s="53">
        <f t="shared" si="53"/>
        <v>2387.65</v>
      </c>
      <c r="S1114" s="73">
        <v>11277.199999999997</v>
      </c>
    </row>
    <row r="1115" spans="1:19" x14ac:dyDescent="0.25">
      <c r="A1115" s="28"/>
      <c r="B1115" s="45" t="str">
        <f t="shared" si="51"/>
        <v>Dec-2025</v>
      </c>
      <c r="C1115" s="57">
        <v>46004</v>
      </c>
      <c r="D1115" s="43">
        <f t="shared" si="52"/>
        <v>108</v>
      </c>
      <c r="E1115" s="76"/>
      <c r="F1115" s="50">
        <v>108</v>
      </c>
      <c r="G1115" s="49">
        <v>46835</v>
      </c>
      <c r="H1115" s="73">
        <v>108</v>
      </c>
      <c r="I1115" s="77">
        <v>108</v>
      </c>
      <c r="J1115" s="73">
        <v>13827.81</v>
      </c>
      <c r="K1115" s="52">
        <v>4</v>
      </c>
      <c r="L1115" s="51">
        <v>613.01</v>
      </c>
      <c r="M1115" s="77">
        <v>90</v>
      </c>
      <c r="N1115" s="76">
        <v>33605.82</v>
      </c>
      <c r="O1115" s="75">
        <v>83</v>
      </c>
      <c r="P1115" s="74">
        <v>598.62999999999988</v>
      </c>
      <c r="Q1115" s="74">
        <v>190.67999999999995</v>
      </c>
      <c r="R1115" s="53">
        <f t="shared" si="53"/>
        <v>2341.75</v>
      </c>
      <c r="S1115" s="73">
        <v>13827.81</v>
      </c>
    </row>
    <row r="1116" spans="1:19" x14ac:dyDescent="0.25">
      <c r="A1116" s="28"/>
      <c r="B1116" s="45" t="str">
        <f t="shared" si="51"/>
        <v>Dec-2025</v>
      </c>
      <c r="C1116" s="57">
        <v>46005</v>
      </c>
      <c r="D1116" s="43">
        <f t="shared" si="52"/>
        <v>107</v>
      </c>
      <c r="E1116" s="76"/>
      <c r="F1116" s="50">
        <v>128</v>
      </c>
      <c r="G1116" s="49">
        <v>56245</v>
      </c>
      <c r="H1116" s="73">
        <v>128</v>
      </c>
      <c r="I1116" s="77">
        <v>128</v>
      </c>
      <c r="J1116" s="73">
        <v>10746.04</v>
      </c>
      <c r="K1116" s="52">
        <v>1</v>
      </c>
      <c r="L1116" s="51">
        <v>100.02</v>
      </c>
      <c r="M1116" s="77">
        <v>124</v>
      </c>
      <c r="N1116" s="76">
        <v>46108.73</v>
      </c>
      <c r="O1116" s="75">
        <v>109</v>
      </c>
      <c r="P1116" s="74">
        <v>609.76999999999953</v>
      </c>
      <c r="Q1116" s="74">
        <v>298.82999999999987</v>
      </c>
      <c r="R1116" s="53">
        <f t="shared" si="53"/>
        <v>2812.25</v>
      </c>
      <c r="S1116" s="73">
        <v>10746.040000000003</v>
      </c>
    </row>
    <row r="1117" spans="1:19" x14ac:dyDescent="0.25">
      <c r="A1117" s="28"/>
      <c r="B1117" s="45" t="str">
        <f t="shared" si="51"/>
        <v>Dec-2025</v>
      </c>
      <c r="C1117" s="57">
        <v>46006</v>
      </c>
      <c r="D1117" s="43">
        <f t="shared" si="52"/>
        <v>106</v>
      </c>
      <c r="E1117" s="76"/>
      <c r="F1117" s="50">
        <v>125</v>
      </c>
      <c r="G1117" s="49">
        <v>62732</v>
      </c>
      <c r="H1117" s="73">
        <v>124</v>
      </c>
      <c r="I1117" s="77">
        <v>125</v>
      </c>
      <c r="J1117" s="73">
        <v>15456.9</v>
      </c>
      <c r="K1117" s="52">
        <v>3</v>
      </c>
      <c r="L1117" s="51">
        <v>700.12</v>
      </c>
      <c r="M1117" s="77">
        <v>155</v>
      </c>
      <c r="N1117" s="76">
        <v>48000.02</v>
      </c>
      <c r="O1117" s="75">
        <v>142</v>
      </c>
      <c r="P1117" s="74">
        <v>724.92000000000007</v>
      </c>
      <c r="Q1117" s="74">
        <v>331.67</v>
      </c>
      <c r="R1117" s="53">
        <f t="shared" si="53"/>
        <v>3136.6000000000004</v>
      </c>
      <c r="S1117" s="73">
        <v>15456.9</v>
      </c>
    </row>
    <row r="1118" spans="1:19" x14ac:dyDescent="0.25">
      <c r="A1118" s="28"/>
      <c r="B1118" s="45" t="str">
        <f t="shared" si="51"/>
        <v>Dec-2025</v>
      </c>
      <c r="C1118" s="57">
        <v>46007</v>
      </c>
      <c r="D1118" s="43">
        <f t="shared" si="52"/>
        <v>105</v>
      </c>
      <c r="E1118" s="76"/>
      <c r="F1118" s="50">
        <v>26</v>
      </c>
      <c r="G1118" s="49">
        <v>11700</v>
      </c>
      <c r="H1118" s="73">
        <v>26</v>
      </c>
      <c r="I1118" s="77">
        <v>26</v>
      </c>
      <c r="J1118" s="73">
        <v>721.44</v>
      </c>
      <c r="K1118" s="52"/>
      <c r="L1118" s="51"/>
      <c r="M1118" s="77">
        <v>29</v>
      </c>
      <c r="N1118" s="76">
        <v>11058.31</v>
      </c>
      <c r="O1118" s="75">
        <v>28</v>
      </c>
      <c r="P1118" s="74">
        <v>79.749999999999972</v>
      </c>
      <c r="Q1118" s="74">
        <v>58.309999999999988</v>
      </c>
      <c r="R1118" s="53">
        <f t="shared" si="53"/>
        <v>585</v>
      </c>
      <c r="S1118" s="73">
        <v>721.44</v>
      </c>
    </row>
    <row r="1119" spans="1:19" x14ac:dyDescent="0.25">
      <c r="A1119" s="28"/>
      <c r="B1119" s="45" t="str">
        <f t="shared" si="51"/>
        <v>Dec-2025</v>
      </c>
      <c r="C1119" s="57">
        <v>46008</v>
      </c>
      <c r="D1119" s="43">
        <f t="shared" si="52"/>
        <v>104</v>
      </c>
      <c r="E1119" s="76"/>
      <c r="F1119" s="50">
        <v>160</v>
      </c>
      <c r="G1119" s="49">
        <v>74505</v>
      </c>
      <c r="H1119" s="73">
        <v>159</v>
      </c>
      <c r="I1119" s="77">
        <v>160</v>
      </c>
      <c r="J1119" s="73">
        <v>17982.619999999995</v>
      </c>
      <c r="K1119" s="52">
        <v>7</v>
      </c>
      <c r="L1119" s="51">
        <v>817.14</v>
      </c>
      <c r="M1119" s="77">
        <v>161</v>
      </c>
      <c r="N1119" s="76">
        <v>57403.41</v>
      </c>
      <c r="O1119" s="75">
        <v>145</v>
      </c>
      <c r="P1119" s="74">
        <v>881.03000000000043</v>
      </c>
      <c r="Q1119" s="74">
        <v>381.85</v>
      </c>
      <c r="R1119" s="53">
        <f t="shared" si="53"/>
        <v>3725.25</v>
      </c>
      <c r="S1119" s="73">
        <v>17982.619999999995</v>
      </c>
    </row>
    <row r="1120" spans="1:19" x14ac:dyDescent="0.25">
      <c r="A1120" s="28"/>
      <c r="B1120" s="45" t="str">
        <f t="shared" si="51"/>
        <v>Dec-2025</v>
      </c>
      <c r="C1120" s="57">
        <v>46009</v>
      </c>
      <c r="D1120" s="43">
        <f t="shared" si="52"/>
        <v>103</v>
      </c>
      <c r="E1120" s="76"/>
      <c r="F1120" s="50">
        <v>108</v>
      </c>
      <c r="G1120" s="49">
        <v>56240</v>
      </c>
      <c r="H1120" s="73">
        <v>105</v>
      </c>
      <c r="I1120" s="77">
        <v>108</v>
      </c>
      <c r="J1120" s="73">
        <v>15954.660000000007</v>
      </c>
      <c r="K1120" s="52">
        <v>4</v>
      </c>
      <c r="L1120" s="51">
        <v>730.15</v>
      </c>
      <c r="M1120" s="77">
        <v>105</v>
      </c>
      <c r="N1120" s="76">
        <v>40987.07</v>
      </c>
      <c r="O1120" s="75">
        <v>99</v>
      </c>
      <c r="P1120" s="74">
        <v>701.73000000000025</v>
      </c>
      <c r="Q1120" s="74">
        <v>249.94999999999996</v>
      </c>
      <c r="R1120" s="53">
        <f t="shared" si="53"/>
        <v>2812</v>
      </c>
      <c r="S1120" s="73">
        <v>15954.660000000007</v>
      </c>
    </row>
    <row r="1121" spans="1:23" x14ac:dyDescent="0.25">
      <c r="A1121" s="28"/>
      <c r="B1121" s="45" t="str">
        <f t="shared" si="51"/>
        <v>Dec-2025</v>
      </c>
      <c r="C1121" s="57">
        <v>46010</v>
      </c>
      <c r="D1121" s="43">
        <f t="shared" si="52"/>
        <v>102</v>
      </c>
      <c r="E1121" s="76"/>
      <c r="F1121" s="50">
        <v>133</v>
      </c>
      <c r="G1121" s="49">
        <v>56540</v>
      </c>
      <c r="H1121" s="73">
        <v>127</v>
      </c>
      <c r="I1121" s="77">
        <v>133</v>
      </c>
      <c r="J1121" s="73">
        <v>15189.309999999994</v>
      </c>
      <c r="K1121" s="52">
        <v>9</v>
      </c>
      <c r="L1121" s="51">
        <v>2200.4700000000003</v>
      </c>
      <c r="M1121" s="77">
        <v>149</v>
      </c>
      <c r="N1121" s="76">
        <v>41997.34</v>
      </c>
      <c r="O1121" s="75">
        <v>138</v>
      </c>
      <c r="P1121" s="74">
        <v>646.64999999999975</v>
      </c>
      <c r="Q1121" s="74">
        <v>242.05</v>
      </c>
      <c r="R1121" s="53">
        <f t="shared" si="53"/>
        <v>2827</v>
      </c>
      <c r="S1121" s="73">
        <v>15189.309999999994</v>
      </c>
    </row>
    <row r="1122" spans="1:23" x14ac:dyDescent="0.25">
      <c r="A1122" s="28"/>
      <c r="B1122" s="45" t="str">
        <f t="shared" si="51"/>
        <v>Dec-2025</v>
      </c>
      <c r="C1122" s="57">
        <v>46011</v>
      </c>
      <c r="D1122" s="43">
        <f t="shared" si="52"/>
        <v>101</v>
      </c>
      <c r="E1122" s="76">
        <v>1</v>
      </c>
      <c r="F1122" s="50">
        <v>124</v>
      </c>
      <c r="G1122" s="49">
        <v>57510</v>
      </c>
      <c r="H1122" s="73">
        <v>123</v>
      </c>
      <c r="I1122" s="77">
        <v>124</v>
      </c>
      <c r="J1122" s="73">
        <v>13285.859999999997</v>
      </c>
      <c r="K1122" s="52">
        <v>7</v>
      </c>
      <c r="L1122" s="51">
        <v>1070.17</v>
      </c>
      <c r="M1122" s="77">
        <v>138</v>
      </c>
      <c r="N1122" s="76">
        <v>44909.37</v>
      </c>
      <c r="O1122" s="75">
        <v>126</v>
      </c>
      <c r="P1122" s="74">
        <v>694.23</v>
      </c>
      <c r="Q1122" s="74">
        <v>333.63</v>
      </c>
      <c r="R1122" s="53">
        <f t="shared" si="53"/>
        <v>2875.5</v>
      </c>
      <c r="S1122" s="73">
        <v>13285.859999999997</v>
      </c>
    </row>
    <row r="1123" spans="1:23" x14ac:dyDescent="0.25">
      <c r="A1123" s="28"/>
      <c r="B1123" s="45" t="str">
        <f t="shared" si="51"/>
        <v>Dec-2025</v>
      </c>
      <c r="C1123" s="57">
        <v>46012</v>
      </c>
      <c r="D1123" s="43">
        <f t="shared" si="52"/>
        <v>100</v>
      </c>
      <c r="E1123" s="76"/>
      <c r="F1123" s="50">
        <v>116</v>
      </c>
      <c r="G1123" s="49">
        <v>52155</v>
      </c>
      <c r="H1123" s="73">
        <v>108</v>
      </c>
      <c r="I1123" s="77">
        <v>116</v>
      </c>
      <c r="J1123" s="73">
        <v>12636.619999999999</v>
      </c>
      <c r="K1123" s="52">
        <v>12</v>
      </c>
      <c r="L1123" s="51">
        <v>907.16999999999985</v>
      </c>
      <c r="M1123" s="77">
        <v>143</v>
      </c>
      <c r="N1123" s="76">
        <v>40097.040000000001</v>
      </c>
      <c r="O1123" s="75">
        <v>128</v>
      </c>
      <c r="P1123" s="74">
        <v>578.66000000000031</v>
      </c>
      <c r="Q1123" s="74">
        <v>273.33999999999986</v>
      </c>
      <c r="R1123" s="53">
        <f t="shared" si="53"/>
        <v>2607.75</v>
      </c>
      <c r="S1123" s="73">
        <v>12636.619999999999</v>
      </c>
    </row>
    <row r="1124" spans="1:23" x14ac:dyDescent="0.25">
      <c r="A1124" s="28"/>
      <c r="B1124" s="45" t="str">
        <f t="shared" si="51"/>
        <v>Dec-2025</v>
      </c>
      <c r="C1124" s="57">
        <v>46013</v>
      </c>
      <c r="D1124" s="43">
        <f t="shared" si="52"/>
        <v>99</v>
      </c>
      <c r="E1124" s="76"/>
      <c r="F1124" s="50">
        <v>116</v>
      </c>
      <c r="G1124" s="49">
        <v>53305</v>
      </c>
      <c r="H1124" s="73">
        <v>112</v>
      </c>
      <c r="I1124" s="77">
        <v>116</v>
      </c>
      <c r="J1124" s="73">
        <v>11713.149999999998</v>
      </c>
      <c r="K1124" s="52">
        <v>6</v>
      </c>
      <c r="L1124" s="51">
        <v>450.09</v>
      </c>
      <c r="M1124" s="77">
        <v>128</v>
      </c>
      <c r="N1124" s="76">
        <v>42157.3</v>
      </c>
      <c r="O1124" s="75">
        <v>115</v>
      </c>
      <c r="P1124" s="74">
        <v>565.44999999999993</v>
      </c>
      <c r="Q1124" s="74">
        <v>244.13</v>
      </c>
      <c r="R1124" s="53">
        <f t="shared" si="53"/>
        <v>2665.25</v>
      </c>
      <c r="S1124" s="73">
        <v>11713.149999999998</v>
      </c>
    </row>
    <row r="1125" spans="1:23" x14ac:dyDescent="0.25">
      <c r="A1125" s="28"/>
      <c r="B1125" s="45" t="str">
        <f t="shared" si="51"/>
        <v>Dec-2025</v>
      </c>
      <c r="C1125" s="57">
        <v>46014</v>
      </c>
      <c r="D1125" s="43">
        <f t="shared" si="52"/>
        <v>98</v>
      </c>
      <c r="E1125" s="76"/>
      <c r="F1125" s="50">
        <v>124</v>
      </c>
      <c r="G1125" s="49">
        <v>57890</v>
      </c>
      <c r="H1125" s="73">
        <v>117</v>
      </c>
      <c r="I1125" s="77">
        <v>124</v>
      </c>
      <c r="J1125" s="73">
        <v>14814.690000000015</v>
      </c>
      <c r="K1125" s="52">
        <v>8</v>
      </c>
      <c r="L1125" s="51">
        <v>1200.25</v>
      </c>
      <c r="M1125" s="77">
        <v>105</v>
      </c>
      <c r="N1125" s="76">
        <v>43730.02</v>
      </c>
      <c r="O1125" s="75">
        <v>101</v>
      </c>
      <c r="P1125" s="74">
        <v>654.71</v>
      </c>
      <c r="Q1125" s="74">
        <v>271.3</v>
      </c>
      <c r="R1125" s="53">
        <f t="shared" si="53"/>
        <v>2894.5</v>
      </c>
      <c r="S1125" s="73">
        <v>14814.690000000013</v>
      </c>
    </row>
    <row r="1126" spans="1:23" x14ac:dyDescent="0.25">
      <c r="A1126" s="28"/>
      <c r="B1126" s="45" t="str">
        <f t="shared" si="51"/>
        <v>Dec-2025</v>
      </c>
      <c r="C1126" s="57">
        <v>46015</v>
      </c>
      <c r="D1126" s="43">
        <f t="shared" si="52"/>
        <v>97</v>
      </c>
      <c r="E1126" s="76"/>
      <c r="F1126" s="50">
        <v>94</v>
      </c>
      <c r="G1126" s="49">
        <v>46852</v>
      </c>
      <c r="H1126" s="73">
        <v>93</v>
      </c>
      <c r="I1126" s="77">
        <v>94</v>
      </c>
      <c r="J1126" s="73">
        <v>9550.2999999999993</v>
      </c>
      <c r="K1126" s="52">
        <v>1</v>
      </c>
      <c r="L1126" s="51">
        <v>100.02</v>
      </c>
      <c r="M1126" s="77">
        <v>121</v>
      </c>
      <c r="N1126" s="76">
        <v>37806.11</v>
      </c>
      <c r="O1126" s="75">
        <v>108</v>
      </c>
      <c r="P1126" s="74">
        <v>504.40999999999997</v>
      </c>
      <c r="Q1126" s="74">
        <v>246.10999999999993</v>
      </c>
      <c r="R1126" s="53">
        <f t="shared" si="53"/>
        <v>2342.6</v>
      </c>
      <c r="S1126" s="73">
        <v>9550.2999999999993</v>
      </c>
    </row>
    <row r="1127" spans="1:23" x14ac:dyDescent="0.25">
      <c r="A1127" s="28"/>
      <c r="B1127" s="45" t="str">
        <f t="shared" si="51"/>
        <v>Dec-2025</v>
      </c>
      <c r="C1127" s="57">
        <v>46016</v>
      </c>
      <c r="D1127" s="43">
        <f t="shared" si="52"/>
        <v>96</v>
      </c>
      <c r="E1127" s="76"/>
      <c r="F1127" s="50">
        <v>115</v>
      </c>
      <c r="G1127" s="49">
        <v>55205</v>
      </c>
      <c r="H1127" s="73">
        <v>112</v>
      </c>
      <c r="I1127" s="77">
        <v>115</v>
      </c>
      <c r="J1127" s="73">
        <v>13831.019999999997</v>
      </c>
      <c r="K1127" s="52">
        <v>7</v>
      </c>
      <c r="L1127" s="51">
        <v>1235.19</v>
      </c>
      <c r="M1127" s="77">
        <v>122</v>
      </c>
      <c r="N1127" s="76">
        <v>41980.04</v>
      </c>
      <c r="O1127" s="75">
        <v>113</v>
      </c>
      <c r="P1127" s="74">
        <v>606.05999999999983</v>
      </c>
      <c r="Q1127" s="74">
        <v>244.03</v>
      </c>
      <c r="R1127" s="53">
        <f t="shared" si="53"/>
        <v>2760.25</v>
      </c>
      <c r="S1127" s="73">
        <v>13831.02</v>
      </c>
    </row>
    <row r="1128" spans="1:23" x14ac:dyDescent="0.25">
      <c r="A1128" s="28"/>
      <c r="B1128" s="45" t="str">
        <f t="shared" si="51"/>
        <v>Dec-2025</v>
      </c>
      <c r="C1128" s="57">
        <v>46017</v>
      </c>
      <c r="D1128" s="43">
        <f t="shared" si="52"/>
        <v>95</v>
      </c>
      <c r="E1128" s="76"/>
      <c r="F1128" s="50">
        <v>75</v>
      </c>
      <c r="G1128" s="49">
        <v>37611</v>
      </c>
      <c r="H1128" s="73">
        <v>75</v>
      </c>
      <c r="I1128" s="77">
        <v>75</v>
      </c>
      <c r="J1128" s="73">
        <v>7131.1499999999969</v>
      </c>
      <c r="K1128" s="52">
        <v>2</v>
      </c>
      <c r="L1128" s="51">
        <v>550.12</v>
      </c>
      <c r="M1128" s="77">
        <v>82</v>
      </c>
      <c r="N1128" s="76">
        <v>30871.39</v>
      </c>
      <c r="O1128" s="75">
        <v>78</v>
      </c>
      <c r="P1128" s="74">
        <v>391.54</v>
      </c>
      <c r="Q1128" s="74">
        <v>206.4</v>
      </c>
      <c r="R1128" s="53">
        <f t="shared" si="53"/>
        <v>1880.5500000000002</v>
      </c>
      <c r="S1128" s="73">
        <v>7131.1499999999987</v>
      </c>
    </row>
    <row r="1129" spans="1:23" x14ac:dyDescent="0.25">
      <c r="A1129" s="28"/>
      <c r="B1129" s="45" t="str">
        <f t="shared" si="51"/>
        <v>Dec-2025</v>
      </c>
      <c r="C1129" s="57">
        <v>46018</v>
      </c>
      <c r="D1129" s="43">
        <f t="shared" si="52"/>
        <v>94</v>
      </c>
      <c r="E1129" s="76"/>
      <c r="F1129" s="50">
        <v>101</v>
      </c>
      <c r="G1129" s="49">
        <v>43934</v>
      </c>
      <c r="H1129" s="73">
        <v>100</v>
      </c>
      <c r="I1129" s="77">
        <v>101</v>
      </c>
      <c r="J1129" s="73">
        <v>11966.760000000006</v>
      </c>
      <c r="K1129" s="52">
        <v>3</v>
      </c>
      <c r="L1129" s="51">
        <v>250.04999999999998</v>
      </c>
      <c r="M1129" s="77">
        <v>87</v>
      </c>
      <c r="N1129" s="76">
        <v>32448.3</v>
      </c>
      <c r="O1129" s="75">
        <v>81</v>
      </c>
      <c r="P1129" s="74">
        <v>481.06</v>
      </c>
      <c r="Q1129" s="74">
        <v>168.38</v>
      </c>
      <c r="R1129" s="53">
        <f t="shared" si="53"/>
        <v>2196.7000000000003</v>
      </c>
      <c r="S1129" s="73">
        <v>11966.760000000002</v>
      </c>
    </row>
    <row r="1130" spans="1:23" x14ac:dyDescent="0.25">
      <c r="A1130" s="28"/>
      <c r="B1130" s="45" t="str">
        <f t="shared" si="51"/>
        <v>Dec-2025</v>
      </c>
      <c r="C1130" s="57">
        <v>46019</v>
      </c>
      <c r="D1130" s="43">
        <f t="shared" si="52"/>
        <v>93</v>
      </c>
      <c r="E1130" s="76"/>
      <c r="F1130" s="50">
        <v>93</v>
      </c>
      <c r="G1130" s="49">
        <v>38585</v>
      </c>
      <c r="H1130" s="73">
        <v>92</v>
      </c>
      <c r="I1130" s="77">
        <v>93</v>
      </c>
      <c r="J1130" s="73">
        <v>9510.6</v>
      </c>
      <c r="K1130" s="52">
        <v>5</v>
      </c>
      <c r="L1130" s="51">
        <v>1255.27</v>
      </c>
      <c r="M1130" s="77">
        <v>80</v>
      </c>
      <c r="N1130" s="76">
        <v>29002.65</v>
      </c>
      <c r="O1130" s="75">
        <v>73</v>
      </c>
      <c r="P1130" s="74">
        <v>441.34000000000015</v>
      </c>
      <c r="Q1130" s="74">
        <v>203.30999999999995</v>
      </c>
      <c r="R1130" s="53">
        <f t="shared" si="53"/>
        <v>1929.25</v>
      </c>
      <c r="S1130" s="73">
        <v>9510.6</v>
      </c>
    </row>
    <row r="1131" spans="1:23" x14ac:dyDescent="0.25">
      <c r="A1131" s="28"/>
      <c r="B1131" s="45" t="str">
        <f t="shared" si="51"/>
        <v>Dec-2025</v>
      </c>
      <c r="C1131" s="57">
        <v>46020</v>
      </c>
      <c r="D1131" s="43">
        <f t="shared" si="52"/>
        <v>92</v>
      </c>
      <c r="E1131" s="76"/>
      <c r="F1131" s="50">
        <v>102</v>
      </c>
      <c r="G1131" s="49">
        <v>43400</v>
      </c>
      <c r="H1131" s="73">
        <v>99</v>
      </c>
      <c r="I1131" s="77">
        <v>102</v>
      </c>
      <c r="J1131" s="73">
        <v>10367.57</v>
      </c>
      <c r="K1131" s="52">
        <v>7</v>
      </c>
      <c r="L1131" s="51">
        <v>820.17</v>
      </c>
      <c r="M1131" s="77">
        <v>102</v>
      </c>
      <c r="N1131" s="76">
        <v>33485.43</v>
      </c>
      <c r="O1131" s="75">
        <v>97</v>
      </c>
      <c r="P1131" s="74">
        <v>452.99999999999983</v>
      </c>
      <c r="Q1131" s="74">
        <v>184.42000000000004</v>
      </c>
      <c r="R1131" s="53">
        <f t="shared" si="53"/>
        <v>2170</v>
      </c>
      <c r="S1131" s="73">
        <v>10367.570000000003</v>
      </c>
    </row>
    <row r="1132" spans="1:23" x14ac:dyDescent="0.25">
      <c r="A1132" s="28"/>
      <c r="B1132" s="45" t="str">
        <f t="shared" si="51"/>
        <v>Dec-2025</v>
      </c>
      <c r="C1132" s="57">
        <v>46021</v>
      </c>
      <c r="D1132" s="43">
        <f t="shared" si="52"/>
        <v>91</v>
      </c>
      <c r="E1132" s="76"/>
      <c r="F1132" s="50">
        <v>120</v>
      </c>
      <c r="G1132" s="49">
        <v>54120</v>
      </c>
      <c r="H1132" s="73">
        <v>118</v>
      </c>
      <c r="I1132" s="77">
        <v>120</v>
      </c>
      <c r="J1132" s="73">
        <v>12210.039999999995</v>
      </c>
      <c r="K1132" s="52">
        <v>7</v>
      </c>
      <c r="L1132" s="51">
        <v>1008.2099999999999</v>
      </c>
      <c r="M1132" s="77">
        <v>134</v>
      </c>
      <c r="N1132" s="76">
        <v>42477.91</v>
      </c>
      <c r="O1132" s="75">
        <v>125</v>
      </c>
      <c r="P1132" s="74">
        <v>567.95000000000005</v>
      </c>
      <c r="Q1132" s="74">
        <v>258.14</v>
      </c>
      <c r="R1132" s="53">
        <f t="shared" si="53"/>
        <v>2706</v>
      </c>
      <c r="S1132" s="73">
        <v>12210.039999999997</v>
      </c>
    </row>
    <row r="1133" spans="1:23" x14ac:dyDescent="0.25">
      <c r="A1133" s="28"/>
      <c r="B1133" s="45" t="str">
        <f t="shared" si="51"/>
        <v>Dec-2025</v>
      </c>
      <c r="C1133" s="57">
        <v>46022</v>
      </c>
      <c r="D1133" s="43">
        <f t="shared" si="52"/>
        <v>90</v>
      </c>
      <c r="E1133" s="76"/>
      <c r="F1133" s="50">
        <v>117</v>
      </c>
      <c r="G1133" s="49">
        <v>53285</v>
      </c>
      <c r="H1133" s="73">
        <v>116</v>
      </c>
      <c r="I1133" s="77">
        <v>117</v>
      </c>
      <c r="J1133" s="73">
        <v>13751.229999999996</v>
      </c>
      <c r="K1133" s="52">
        <v>4</v>
      </c>
      <c r="L1133" s="51">
        <v>220.04</v>
      </c>
      <c r="M1133" s="77">
        <v>100</v>
      </c>
      <c r="N1133" s="76">
        <v>40164.300000000003</v>
      </c>
      <c r="O1133" s="75">
        <v>93</v>
      </c>
      <c r="P1133" s="74">
        <v>630.53000000000009</v>
      </c>
      <c r="Q1133" s="74">
        <v>279.3</v>
      </c>
      <c r="R1133" s="53">
        <f t="shared" si="53"/>
        <v>2664.25</v>
      </c>
      <c r="S1133" s="73">
        <v>13751.229999999987</v>
      </c>
      <c r="W1133" s="76">
        <v>46172.77</v>
      </c>
    </row>
    <row r="1134" spans="1:23" x14ac:dyDescent="0.25">
      <c r="A1134" s="28"/>
      <c r="B1134" s="45" t="str">
        <f t="shared" si="51"/>
        <v>Jan-2026</v>
      </c>
      <c r="C1134" s="57">
        <v>46023</v>
      </c>
      <c r="D1134" s="43">
        <f t="shared" si="52"/>
        <v>89</v>
      </c>
      <c r="E1134" s="76"/>
      <c r="F1134" s="50">
        <v>112</v>
      </c>
      <c r="G1134" s="49">
        <v>53463</v>
      </c>
      <c r="H1134" s="73">
        <v>111</v>
      </c>
      <c r="I1134" s="77">
        <v>112</v>
      </c>
      <c r="J1134" s="73">
        <v>7686.2400000000025</v>
      </c>
      <c r="K1134" s="52">
        <v>8</v>
      </c>
      <c r="L1134" s="51">
        <v>1768.32</v>
      </c>
      <c r="M1134" s="77">
        <v>135</v>
      </c>
      <c r="N1134" s="76">
        <v>46172.77</v>
      </c>
      <c r="O1134" s="75">
        <v>120</v>
      </c>
      <c r="P1134" s="74">
        <v>396.00999999999993</v>
      </c>
      <c r="Q1134" s="74">
        <v>205.43000000000006</v>
      </c>
      <c r="R1134" s="53">
        <f t="shared" si="53"/>
        <v>2673.15</v>
      </c>
      <c r="S1134" s="73">
        <v>7686.2400000000025</v>
      </c>
      <c r="W1134" s="76">
        <v>32139.3</v>
      </c>
    </row>
    <row r="1135" spans="1:23" x14ac:dyDescent="0.25">
      <c r="A1135" s="28"/>
      <c r="B1135" s="45" t="str">
        <f t="shared" si="51"/>
        <v>Jan-2026</v>
      </c>
      <c r="C1135" s="57">
        <v>46024</v>
      </c>
      <c r="D1135" s="43">
        <f t="shared" si="52"/>
        <v>88</v>
      </c>
      <c r="E1135" s="76"/>
      <c r="F1135" s="50">
        <v>100</v>
      </c>
      <c r="G1135" s="49">
        <v>42863</v>
      </c>
      <c r="H1135" s="73">
        <v>96</v>
      </c>
      <c r="I1135" s="77">
        <v>100</v>
      </c>
      <c r="J1135" s="73">
        <v>11156.939999999997</v>
      </c>
      <c r="K1135" s="52">
        <v>8</v>
      </c>
      <c r="L1135" s="51">
        <v>594.12</v>
      </c>
      <c r="M1135" s="77">
        <v>100</v>
      </c>
      <c r="N1135" s="76">
        <v>32139.3</v>
      </c>
      <c r="O1135" s="75">
        <v>90</v>
      </c>
      <c r="P1135" s="74">
        <v>433.2399999999999</v>
      </c>
      <c r="Q1135" s="74">
        <v>164.66999999999996</v>
      </c>
      <c r="R1135" s="53">
        <f t="shared" si="53"/>
        <v>2143.15</v>
      </c>
      <c r="S1135" s="73">
        <v>11156.939999999997</v>
      </c>
      <c r="W1135" s="76">
        <v>29895.59</v>
      </c>
    </row>
    <row r="1136" spans="1:23" x14ac:dyDescent="0.25">
      <c r="A1136" s="28"/>
      <c r="B1136" s="45" t="str">
        <f t="shared" si="51"/>
        <v>Jan-2026</v>
      </c>
      <c r="C1136" s="57">
        <v>46025</v>
      </c>
      <c r="D1136" s="43">
        <f t="shared" si="52"/>
        <v>87</v>
      </c>
      <c r="E1136" s="76"/>
      <c r="F1136" s="50">
        <v>112</v>
      </c>
      <c r="G1136" s="49">
        <v>46425</v>
      </c>
      <c r="H1136" s="73">
        <v>109</v>
      </c>
      <c r="I1136" s="77">
        <v>112</v>
      </c>
      <c r="J1136" s="73">
        <v>17116.870000000014</v>
      </c>
      <c r="K1136" s="52">
        <v>6</v>
      </c>
      <c r="L1136" s="51">
        <v>630.13</v>
      </c>
      <c r="M1136" s="77">
        <v>98</v>
      </c>
      <c r="N1136" s="76">
        <v>29895.59</v>
      </c>
      <c r="O1136" s="75">
        <v>93</v>
      </c>
      <c r="P1136" s="74">
        <v>587.45999999999992</v>
      </c>
      <c r="Q1136" s="74">
        <v>172.92</v>
      </c>
      <c r="R1136" s="53">
        <f t="shared" si="53"/>
        <v>2321.25</v>
      </c>
      <c r="S1136" s="73">
        <v>17116.870000000021</v>
      </c>
      <c r="W1136" s="76">
        <v>29278.22</v>
      </c>
    </row>
    <row r="1137" spans="1:23" x14ac:dyDescent="0.25">
      <c r="A1137" s="28"/>
      <c r="B1137" s="45" t="str">
        <f t="shared" si="51"/>
        <v>Jan-2026</v>
      </c>
      <c r="C1137" s="57">
        <v>46026</v>
      </c>
      <c r="D1137" s="43">
        <f t="shared" si="52"/>
        <v>86</v>
      </c>
      <c r="E1137" s="76"/>
      <c r="F1137" s="50">
        <v>109</v>
      </c>
      <c r="G1137" s="49">
        <v>44163</v>
      </c>
      <c r="H1137" s="73">
        <v>107</v>
      </c>
      <c r="I1137" s="77">
        <v>109</v>
      </c>
      <c r="J1137" s="73">
        <v>15425.269999999997</v>
      </c>
      <c r="K1137" s="52">
        <v>4</v>
      </c>
      <c r="L1137" s="51">
        <v>400.08</v>
      </c>
      <c r="M1137" s="77">
        <v>116</v>
      </c>
      <c r="N1137" s="76">
        <v>29278.22</v>
      </c>
      <c r="O1137" s="75">
        <v>101</v>
      </c>
      <c r="P1137" s="74">
        <v>540.48999999999978</v>
      </c>
      <c r="Q1137" s="74">
        <v>170.01000000000002</v>
      </c>
      <c r="R1137" s="53">
        <f t="shared" si="53"/>
        <v>2208.15</v>
      </c>
      <c r="S1137" s="73">
        <v>15425.269999999997</v>
      </c>
      <c r="W1137" s="76">
        <v>47998.97</v>
      </c>
    </row>
    <row r="1138" spans="1:23" x14ac:dyDescent="0.25">
      <c r="A1138" s="28"/>
      <c r="B1138" s="45" t="str">
        <f t="shared" si="51"/>
        <v>Jan-2026</v>
      </c>
      <c r="C1138" s="57">
        <v>46027</v>
      </c>
      <c r="D1138" s="43">
        <f t="shared" si="52"/>
        <v>85</v>
      </c>
      <c r="E1138" s="76"/>
      <c r="F1138" s="50">
        <v>112</v>
      </c>
      <c r="G1138" s="49">
        <v>56790</v>
      </c>
      <c r="H1138" s="73">
        <v>111</v>
      </c>
      <c r="I1138" s="77">
        <v>112</v>
      </c>
      <c r="J1138" s="73">
        <v>9294.9499999999989</v>
      </c>
      <c r="K1138" s="52">
        <v>1</v>
      </c>
      <c r="L1138" s="51">
        <v>100.02</v>
      </c>
      <c r="M1138" s="77">
        <v>144</v>
      </c>
      <c r="N1138" s="76">
        <v>47998.97</v>
      </c>
      <c r="O1138" s="75">
        <v>125</v>
      </c>
      <c r="P1138" s="74">
        <v>503.92000000000013</v>
      </c>
      <c r="Q1138" s="74">
        <v>281.27000000000004</v>
      </c>
      <c r="R1138" s="53">
        <f t="shared" si="53"/>
        <v>2839.5</v>
      </c>
      <c r="S1138" s="73">
        <v>9294.9499999999989</v>
      </c>
      <c r="W1138" s="76">
        <v>50567.39</v>
      </c>
    </row>
    <row r="1139" spans="1:23" x14ac:dyDescent="0.25">
      <c r="A1139" s="28"/>
      <c r="B1139" s="45" t="str">
        <f t="shared" si="51"/>
        <v>Jan-2026</v>
      </c>
      <c r="C1139" s="57">
        <v>46028</v>
      </c>
      <c r="D1139" s="43">
        <f t="shared" si="52"/>
        <v>84</v>
      </c>
      <c r="E1139" s="76"/>
      <c r="F1139" s="50">
        <v>113</v>
      </c>
      <c r="G1139" s="49">
        <v>58060</v>
      </c>
      <c r="H1139" s="73">
        <v>110</v>
      </c>
      <c r="I1139" s="77">
        <v>113</v>
      </c>
      <c r="J1139" s="73">
        <v>7959.3799999999983</v>
      </c>
      <c r="K1139" s="52">
        <v>6</v>
      </c>
      <c r="L1139" s="51">
        <v>905.17</v>
      </c>
      <c r="M1139" s="77">
        <v>123</v>
      </c>
      <c r="N1139" s="76">
        <v>50567.39</v>
      </c>
      <c r="O1139" s="75">
        <v>113</v>
      </c>
      <c r="P1139" s="74">
        <v>466.77000000000021</v>
      </c>
      <c r="Q1139" s="74">
        <v>288.61</v>
      </c>
      <c r="R1139" s="53">
        <f t="shared" si="53"/>
        <v>2903</v>
      </c>
      <c r="S1139" s="73">
        <v>7959.3799999999992</v>
      </c>
      <c r="W1139" s="76">
        <v>35655.64</v>
      </c>
    </row>
    <row r="1140" spans="1:23" x14ac:dyDescent="0.25">
      <c r="A1140" s="28"/>
      <c r="B1140" s="45" t="str">
        <f t="shared" si="51"/>
        <v>Jan-2026</v>
      </c>
      <c r="C1140" s="57">
        <v>46029</v>
      </c>
      <c r="D1140" s="43">
        <f t="shared" si="52"/>
        <v>83</v>
      </c>
      <c r="E1140" s="76"/>
      <c r="F1140" s="50">
        <v>100</v>
      </c>
      <c r="G1140" s="49">
        <v>44583</v>
      </c>
      <c r="H1140" s="73">
        <v>99</v>
      </c>
      <c r="I1140" s="77">
        <v>100</v>
      </c>
      <c r="J1140" s="73">
        <v>9412.7500000000018</v>
      </c>
      <c r="K1140" s="52">
        <v>5</v>
      </c>
      <c r="L1140" s="51">
        <v>392.04999999999995</v>
      </c>
      <c r="M1140" s="77">
        <v>103</v>
      </c>
      <c r="N1140" s="76">
        <v>35655.64</v>
      </c>
      <c r="O1140" s="75">
        <v>98</v>
      </c>
      <c r="P1140" s="74">
        <v>485.3899999999997</v>
      </c>
      <c r="Q1140" s="74">
        <v>267.58000000000004</v>
      </c>
      <c r="R1140" s="53">
        <f t="shared" si="53"/>
        <v>2229.15</v>
      </c>
      <c r="S1140" s="73">
        <v>9412.7500000000018</v>
      </c>
      <c r="W1140" s="76">
        <v>40782.620000000003</v>
      </c>
    </row>
    <row r="1141" spans="1:23" x14ac:dyDescent="0.25">
      <c r="A1141" s="28"/>
      <c r="B1141" s="45" t="str">
        <f t="shared" si="51"/>
        <v>Jan-2026</v>
      </c>
      <c r="C1141" s="57">
        <v>46030</v>
      </c>
      <c r="D1141" s="43">
        <f t="shared" si="52"/>
        <v>82</v>
      </c>
      <c r="E1141" s="76"/>
      <c r="F1141" s="50">
        <v>128</v>
      </c>
      <c r="G1141" s="49">
        <v>55180</v>
      </c>
      <c r="H1141" s="73">
        <v>126</v>
      </c>
      <c r="I1141" s="77">
        <v>128</v>
      </c>
      <c r="J1141" s="73">
        <v>14988.550000000007</v>
      </c>
      <c r="K1141" s="52">
        <v>8</v>
      </c>
      <c r="L1141" s="51">
        <v>1358.21</v>
      </c>
      <c r="M1141" s="77">
        <v>134</v>
      </c>
      <c r="N1141" s="76">
        <v>40782.620000000003</v>
      </c>
      <c r="O1141" s="75">
        <v>128</v>
      </c>
      <c r="P1141" s="74">
        <v>591.16999999999985</v>
      </c>
      <c r="Q1141" s="74">
        <v>261.36</v>
      </c>
      <c r="R1141" s="53">
        <f t="shared" si="53"/>
        <v>2759</v>
      </c>
      <c r="S1141" s="73">
        <v>14988.550000000003</v>
      </c>
      <c r="W1141" s="76">
        <v>35058.230000000003</v>
      </c>
    </row>
    <row r="1142" spans="1:23" x14ac:dyDescent="0.25">
      <c r="A1142" s="28"/>
      <c r="B1142" s="45" t="str">
        <f t="shared" si="51"/>
        <v>Jan-2026</v>
      </c>
      <c r="C1142" s="57">
        <v>46031</v>
      </c>
      <c r="D1142" s="43">
        <f t="shared" si="52"/>
        <v>81</v>
      </c>
      <c r="E1142" s="76"/>
      <c r="F1142" s="50">
        <v>118</v>
      </c>
      <c r="G1142" s="49">
        <v>55020</v>
      </c>
      <c r="H1142" s="73">
        <v>118</v>
      </c>
      <c r="I1142" s="77">
        <v>118</v>
      </c>
      <c r="J1142" s="73">
        <v>20670.080000000005</v>
      </c>
      <c r="K1142" s="52"/>
      <c r="L1142" s="51"/>
      <c r="M1142" s="77">
        <v>101</v>
      </c>
      <c r="N1142" s="76">
        <v>35058.230000000003</v>
      </c>
      <c r="O1142" s="75">
        <v>91</v>
      </c>
      <c r="P1142" s="74">
        <v>708.31000000000017</v>
      </c>
      <c r="Q1142" s="74">
        <v>248.16000000000003</v>
      </c>
      <c r="R1142" s="53">
        <f t="shared" si="53"/>
        <v>2751</v>
      </c>
      <c r="S1142" s="73">
        <v>20670.080000000009</v>
      </c>
      <c r="W1142" s="76">
        <v>53798.61</v>
      </c>
    </row>
    <row r="1143" spans="1:23" x14ac:dyDescent="0.25">
      <c r="A1143" s="28"/>
      <c r="B1143" s="45" t="str">
        <f t="shared" si="51"/>
        <v>Jan-2026</v>
      </c>
      <c r="C1143" s="57">
        <v>46032</v>
      </c>
      <c r="D1143" s="43">
        <f t="shared" si="52"/>
        <v>80</v>
      </c>
      <c r="E1143" s="76"/>
      <c r="F1143" s="50">
        <v>138</v>
      </c>
      <c r="G1143" s="49">
        <v>72139</v>
      </c>
      <c r="H1143" s="73">
        <v>132</v>
      </c>
      <c r="I1143" s="77">
        <v>138</v>
      </c>
      <c r="J1143" s="73">
        <v>19054.920000000006</v>
      </c>
      <c r="K1143" s="52">
        <v>6</v>
      </c>
      <c r="L1143" s="51">
        <v>1000.2099999999999</v>
      </c>
      <c r="M1143" s="77">
        <v>125</v>
      </c>
      <c r="N1143" s="76">
        <v>53798.61</v>
      </c>
      <c r="O1143" s="75">
        <v>117</v>
      </c>
      <c r="P1143" s="74">
        <v>714.52999999999986</v>
      </c>
      <c r="Q1143" s="74">
        <v>300.84999999999991</v>
      </c>
      <c r="R1143" s="53">
        <f t="shared" si="53"/>
        <v>3606.9500000000003</v>
      </c>
      <c r="S1143" s="73">
        <v>19054.920000000006</v>
      </c>
      <c r="W1143" s="76">
        <v>37200.230000000003</v>
      </c>
    </row>
    <row r="1144" spans="1:23" x14ac:dyDescent="0.25">
      <c r="A1144" s="28"/>
      <c r="B1144" s="45" t="str">
        <f t="shared" si="51"/>
        <v>Jan-2026</v>
      </c>
      <c r="C1144" s="57">
        <v>46033</v>
      </c>
      <c r="D1144" s="43">
        <f t="shared" si="52"/>
        <v>79</v>
      </c>
      <c r="E1144" s="76"/>
      <c r="F1144" s="50">
        <v>125</v>
      </c>
      <c r="G1144" s="49">
        <v>53955</v>
      </c>
      <c r="H1144" s="73">
        <v>120</v>
      </c>
      <c r="I1144" s="77">
        <v>125</v>
      </c>
      <c r="J1144" s="73">
        <v>17294.749999999993</v>
      </c>
      <c r="K1144" s="52">
        <v>7</v>
      </c>
      <c r="L1144" s="51">
        <v>750.15</v>
      </c>
      <c r="M1144" s="77">
        <v>126</v>
      </c>
      <c r="N1144" s="76">
        <v>37200.230000000003</v>
      </c>
      <c r="O1144" s="75">
        <v>113</v>
      </c>
      <c r="P1144" s="74">
        <v>539.98000000000025</v>
      </c>
      <c r="Q1144" s="74">
        <v>152.34</v>
      </c>
      <c r="R1144" s="53">
        <f t="shared" si="53"/>
        <v>2697.75</v>
      </c>
      <c r="S1144" s="73">
        <v>17294.749999999993</v>
      </c>
      <c r="W1144" s="76">
        <v>44201.08</v>
      </c>
    </row>
    <row r="1145" spans="1:23" x14ac:dyDescent="0.25">
      <c r="A1145" s="28"/>
      <c r="B1145" s="45" t="str">
        <f t="shared" si="51"/>
        <v>Jan-2026</v>
      </c>
      <c r="C1145" s="57">
        <v>46034</v>
      </c>
      <c r="D1145" s="43">
        <f t="shared" si="52"/>
        <v>78</v>
      </c>
      <c r="E1145" s="76"/>
      <c r="F1145" s="50">
        <v>134</v>
      </c>
      <c r="G1145" s="49">
        <v>64375</v>
      </c>
      <c r="H1145" s="73">
        <v>127</v>
      </c>
      <c r="I1145" s="77">
        <v>134</v>
      </c>
      <c r="J1145" s="73">
        <v>20814.200000000012</v>
      </c>
      <c r="K1145" s="52">
        <v>10</v>
      </c>
      <c r="L1145" s="51">
        <v>1680.35</v>
      </c>
      <c r="M1145" s="77">
        <v>130</v>
      </c>
      <c r="N1145" s="76">
        <v>44201.08</v>
      </c>
      <c r="O1145" s="75">
        <v>124</v>
      </c>
      <c r="P1145" s="74">
        <v>640.27999999999952</v>
      </c>
      <c r="Q1145" s="74">
        <v>188.79</v>
      </c>
      <c r="R1145" s="53">
        <f t="shared" si="53"/>
        <v>3218.75</v>
      </c>
      <c r="S1145" s="73">
        <v>20814.200000000012</v>
      </c>
      <c r="W1145" s="76">
        <v>45901.36</v>
      </c>
    </row>
    <row r="1146" spans="1:23" x14ac:dyDescent="0.25">
      <c r="A1146" s="28"/>
      <c r="B1146" s="45" t="str">
        <f t="shared" si="51"/>
        <v>Jan-2026</v>
      </c>
      <c r="C1146" s="57">
        <v>46035</v>
      </c>
      <c r="D1146" s="43">
        <f t="shared" si="52"/>
        <v>77</v>
      </c>
      <c r="E1146" s="76"/>
      <c r="F1146" s="50">
        <v>139</v>
      </c>
      <c r="G1146" s="49">
        <v>63850</v>
      </c>
      <c r="H1146" s="73">
        <v>134</v>
      </c>
      <c r="I1146" s="77">
        <v>139</v>
      </c>
      <c r="J1146" s="73">
        <v>18604.539999999994</v>
      </c>
      <c r="K1146" s="52">
        <v>6</v>
      </c>
      <c r="L1146" s="51">
        <v>1200.25</v>
      </c>
      <c r="M1146" s="77">
        <v>127</v>
      </c>
      <c r="N1146" s="76">
        <v>45901.36</v>
      </c>
      <c r="O1146" s="75">
        <v>116</v>
      </c>
      <c r="P1146" s="74">
        <v>655.89999999999986</v>
      </c>
      <c r="Q1146" s="74">
        <v>259.91000000000003</v>
      </c>
      <c r="R1146" s="53">
        <f t="shared" si="53"/>
        <v>3192.5</v>
      </c>
      <c r="S1146" s="73">
        <v>18604.53999999999</v>
      </c>
      <c r="W1146" s="76">
        <v>43904.67</v>
      </c>
    </row>
    <row r="1147" spans="1:23" x14ac:dyDescent="0.25">
      <c r="A1147" s="28"/>
      <c r="B1147" s="45" t="str">
        <f t="shared" si="51"/>
        <v>Jan-2026</v>
      </c>
      <c r="C1147" s="57">
        <v>46036</v>
      </c>
      <c r="D1147" s="43">
        <f t="shared" si="52"/>
        <v>76</v>
      </c>
      <c r="E1147" s="76"/>
      <c r="F1147" s="50">
        <v>119</v>
      </c>
      <c r="G1147" s="49">
        <v>57420</v>
      </c>
      <c r="H1147" s="73">
        <v>118</v>
      </c>
      <c r="I1147" s="77">
        <v>119</v>
      </c>
      <c r="J1147" s="73">
        <v>14034.55</v>
      </c>
      <c r="K1147" s="52">
        <v>1</v>
      </c>
      <c r="L1147" s="51">
        <v>100.02</v>
      </c>
      <c r="M1147" s="77">
        <v>131</v>
      </c>
      <c r="N1147" s="76">
        <v>43904.67</v>
      </c>
      <c r="O1147" s="75">
        <v>117</v>
      </c>
      <c r="P1147" s="74">
        <v>519.22</v>
      </c>
      <c r="Q1147" s="74">
        <v>214.86999999999995</v>
      </c>
      <c r="R1147" s="53">
        <f t="shared" si="53"/>
        <v>2871</v>
      </c>
      <c r="S1147" s="73">
        <v>14034.549999999997</v>
      </c>
      <c r="W1147" s="76">
        <v>43307.97</v>
      </c>
    </row>
    <row r="1148" spans="1:23" x14ac:dyDescent="0.25">
      <c r="A1148" s="28"/>
      <c r="B1148" s="45" t="str">
        <f t="shared" si="51"/>
        <v>Jan-2026</v>
      </c>
      <c r="C1148" s="57">
        <v>46037</v>
      </c>
      <c r="D1148" s="43">
        <f t="shared" si="52"/>
        <v>75</v>
      </c>
      <c r="E1148" s="76"/>
      <c r="F1148" s="50">
        <v>148</v>
      </c>
      <c r="G1148" s="49">
        <v>58415</v>
      </c>
      <c r="H1148" s="73">
        <v>141</v>
      </c>
      <c r="I1148" s="77">
        <v>148</v>
      </c>
      <c r="J1148" s="73">
        <v>15170.13</v>
      </c>
      <c r="K1148" s="52">
        <v>10</v>
      </c>
      <c r="L1148" s="51">
        <v>950.17999999999984</v>
      </c>
      <c r="M1148" s="77">
        <v>133</v>
      </c>
      <c r="N1148" s="76">
        <v>43307.97</v>
      </c>
      <c r="O1148" s="75">
        <v>127</v>
      </c>
      <c r="P1148" s="74">
        <v>573.9799999999999</v>
      </c>
      <c r="Q1148" s="74">
        <v>252.51</v>
      </c>
      <c r="R1148" s="53">
        <f t="shared" si="53"/>
        <v>2920.75</v>
      </c>
      <c r="S1148" s="73">
        <v>15170.129999999996</v>
      </c>
      <c r="W1148" s="76">
        <v>40022.26</v>
      </c>
    </row>
    <row r="1149" spans="1:23" x14ac:dyDescent="0.25">
      <c r="A1149" s="28"/>
      <c r="B1149" s="45" t="str">
        <f t="shared" si="51"/>
        <v>Jan-2026</v>
      </c>
      <c r="C1149" s="57">
        <v>46038</v>
      </c>
      <c r="D1149" s="43">
        <f t="shared" si="52"/>
        <v>74</v>
      </c>
      <c r="E1149" s="76"/>
      <c r="F1149" s="50">
        <v>136</v>
      </c>
      <c r="G1149" s="49">
        <v>61445</v>
      </c>
      <c r="H1149" s="73">
        <v>131</v>
      </c>
      <c r="I1149" s="77">
        <v>136</v>
      </c>
      <c r="J1149" s="73">
        <v>22065.049999999996</v>
      </c>
      <c r="K1149" s="52">
        <v>6</v>
      </c>
      <c r="L1149" s="51">
        <v>900.09999999999991</v>
      </c>
      <c r="M1149" s="77">
        <v>123</v>
      </c>
      <c r="N1149" s="76">
        <v>40022.26</v>
      </c>
      <c r="O1149" s="75">
        <v>116</v>
      </c>
      <c r="P1149" s="74">
        <v>642.30999999999938</v>
      </c>
      <c r="Q1149" s="74">
        <v>182.84000000000003</v>
      </c>
      <c r="R1149" s="53">
        <f t="shared" si="53"/>
        <v>3072.25</v>
      </c>
      <c r="S1149" s="73">
        <v>22065.050000000003</v>
      </c>
      <c r="W1149" s="76">
        <v>62692.15</v>
      </c>
    </row>
    <row r="1150" spans="1:23" x14ac:dyDescent="0.25">
      <c r="A1150" s="28"/>
      <c r="B1150" s="45" t="str">
        <f t="shared" si="51"/>
        <v>Jan-2026</v>
      </c>
      <c r="C1150" s="57">
        <v>46039</v>
      </c>
      <c r="D1150" s="43">
        <f t="shared" si="52"/>
        <v>73</v>
      </c>
      <c r="E1150" s="76"/>
      <c r="F1150" s="50">
        <v>171</v>
      </c>
      <c r="G1150" s="49">
        <v>83390</v>
      </c>
      <c r="H1150" s="73">
        <v>165</v>
      </c>
      <c r="I1150" s="77">
        <v>171</v>
      </c>
      <c r="J1150" s="73">
        <v>21429.57</v>
      </c>
      <c r="K1150" s="52">
        <v>12</v>
      </c>
      <c r="L1150" s="51">
        <v>1953.4</v>
      </c>
      <c r="M1150" s="77">
        <v>180</v>
      </c>
      <c r="N1150" s="76">
        <v>62692.15</v>
      </c>
      <c r="O1150" s="75">
        <v>168</v>
      </c>
      <c r="P1150" s="74">
        <v>731.71999999999957</v>
      </c>
      <c r="Q1150" s="74">
        <v>285.46999999999986</v>
      </c>
      <c r="R1150" s="53">
        <f t="shared" si="53"/>
        <v>4169.5</v>
      </c>
      <c r="S1150" s="73">
        <v>21429.570000000003</v>
      </c>
      <c r="W1150" s="76">
        <v>43541.94</v>
      </c>
    </row>
    <row r="1151" spans="1:23" x14ac:dyDescent="0.25">
      <c r="A1151" s="28"/>
      <c r="B1151" s="45" t="str">
        <f t="shared" si="51"/>
        <v>Jan-2026</v>
      </c>
      <c r="C1151" s="57">
        <v>46040</v>
      </c>
      <c r="D1151" s="43">
        <f t="shared" si="52"/>
        <v>72</v>
      </c>
      <c r="E1151" s="76"/>
      <c r="F1151" s="50">
        <v>139</v>
      </c>
      <c r="G1151" s="49">
        <v>65610</v>
      </c>
      <c r="H1151" s="73">
        <v>136</v>
      </c>
      <c r="I1151" s="77">
        <v>139</v>
      </c>
      <c r="J1151" s="73">
        <v>22751.820000000014</v>
      </c>
      <c r="K1151" s="52">
        <v>6</v>
      </c>
      <c r="L1151" s="51">
        <v>735.15</v>
      </c>
      <c r="M1151" s="77">
        <v>108</v>
      </c>
      <c r="N1151" s="76">
        <v>43541.94</v>
      </c>
      <c r="O1151" s="75">
        <v>96</v>
      </c>
      <c r="P1151" s="74">
        <v>683.7600000000001</v>
      </c>
      <c r="Q1151" s="74">
        <v>212.70999999999998</v>
      </c>
      <c r="R1151" s="53">
        <f t="shared" si="53"/>
        <v>3280.5</v>
      </c>
      <c r="S1151" s="73">
        <v>22751.820000000011</v>
      </c>
      <c r="W1151" s="76">
        <v>50476.79</v>
      </c>
    </row>
    <row r="1152" spans="1:23" x14ac:dyDescent="0.25">
      <c r="A1152" s="28"/>
      <c r="B1152" s="45" t="str">
        <f t="shared" si="51"/>
        <v>Jan-2026</v>
      </c>
      <c r="C1152" s="57">
        <v>46041</v>
      </c>
      <c r="D1152" s="43">
        <f t="shared" si="52"/>
        <v>71</v>
      </c>
      <c r="E1152" s="76"/>
      <c r="F1152" s="50">
        <v>167</v>
      </c>
      <c r="G1152" s="49">
        <v>76155</v>
      </c>
      <c r="H1152" s="73">
        <v>160</v>
      </c>
      <c r="I1152" s="77">
        <v>167</v>
      </c>
      <c r="J1152" s="73">
        <v>26492.660000000022</v>
      </c>
      <c r="K1152" s="52">
        <v>9</v>
      </c>
      <c r="L1152" s="51">
        <v>1100.23</v>
      </c>
      <c r="M1152" s="77">
        <v>125</v>
      </c>
      <c r="N1152" s="76">
        <v>50476.79</v>
      </c>
      <c r="O1152" s="75">
        <v>117</v>
      </c>
      <c r="P1152" s="74">
        <v>814.45000000000039</v>
      </c>
      <c r="Q1152" s="74">
        <v>271.78999999999991</v>
      </c>
      <c r="R1152" s="53">
        <f t="shared" si="53"/>
        <v>3807.75</v>
      </c>
      <c r="S1152" s="73">
        <v>26492.660000000018</v>
      </c>
      <c r="W1152" s="76">
        <v>40537.769999999997</v>
      </c>
    </row>
    <row r="1153" spans="1:23" x14ac:dyDescent="0.25">
      <c r="A1153" s="28"/>
      <c r="B1153" s="45" t="str">
        <f t="shared" si="51"/>
        <v>Jan-2026</v>
      </c>
      <c r="C1153" s="57">
        <v>46042</v>
      </c>
      <c r="D1153" s="43">
        <f t="shared" si="52"/>
        <v>70</v>
      </c>
      <c r="E1153" s="76"/>
      <c r="F1153" s="50">
        <v>138</v>
      </c>
      <c r="G1153" s="49">
        <v>62390</v>
      </c>
      <c r="H1153" s="73">
        <v>132</v>
      </c>
      <c r="I1153" s="77">
        <v>138</v>
      </c>
      <c r="J1153" s="73">
        <v>22493.799999999988</v>
      </c>
      <c r="K1153" s="52">
        <v>13</v>
      </c>
      <c r="L1153" s="51">
        <v>1382.27</v>
      </c>
      <c r="M1153" s="77">
        <v>106</v>
      </c>
      <c r="N1153" s="76">
        <v>40537.769999999997</v>
      </c>
      <c r="O1153" s="75">
        <v>99</v>
      </c>
      <c r="P1153" s="74">
        <v>641.56999999999948</v>
      </c>
      <c r="Q1153" s="74">
        <v>198.04999999999995</v>
      </c>
      <c r="R1153" s="53">
        <f t="shared" si="53"/>
        <v>3119.5</v>
      </c>
      <c r="S1153" s="73">
        <v>22493.799999999981</v>
      </c>
      <c r="W1153" s="76">
        <v>35910.89</v>
      </c>
    </row>
    <row r="1154" spans="1:23" x14ac:dyDescent="0.25">
      <c r="A1154" s="28"/>
      <c r="B1154" s="45" t="str">
        <f t="shared" si="51"/>
        <v>Jan-2026</v>
      </c>
      <c r="C1154" s="57">
        <v>46043</v>
      </c>
      <c r="D1154" s="43">
        <f t="shared" si="52"/>
        <v>69</v>
      </c>
      <c r="E1154" s="76"/>
      <c r="F1154" s="50">
        <v>120</v>
      </c>
      <c r="G1154" s="49">
        <v>49994</v>
      </c>
      <c r="H1154" s="73">
        <v>119</v>
      </c>
      <c r="I1154" s="77">
        <v>120</v>
      </c>
      <c r="J1154" s="73">
        <v>14599.340000000004</v>
      </c>
      <c r="K1154" s="52">
        <v>3</v>
      </c>
      <c r="L1154" s="51">
        <v>1090.1300000000001</v>
      </c>
      <c r="M1154" s="77">
        <v>109</v>
      </c>
      <c r="N1154" s="76">
        <v>35910.89</v>
      </c>
      <c r="O1154" s="75">
        <v>103</v>
      </c>
      <c r="P1154" s="74">
        <v>516.23000000000013</v>
      </c>
      <c r="Q1154" s="74">
        <v>226.98</v>
      </c>
      <c r="R1154" s="53">
        <f t="shared" si="53"/>
        <v>2499.7000000000003</v>
      </c>
      <c r="S1154" s="73">
        <v>14599.340000000002</v>
      </c>
      <c r="W1154" s="76">
        <v>39235.31</v>
      </c>
    </row>
    <row r="1155" spans="1:23" x14ac:dyDescent="0.25">
      <c r="A1155" s="28"/>
      <c r="B1155" s="45" t="str">
        <f t="shared" si="51"/>
        <v>Jan-2026</v>
      </c>
      <c r="C1155" s="57">
        <v>46044</v>
      </c>
      <c r="D1155" s="43">
        <f t="shared" si="52"/>
        <v>68</v>
      </c>
      <c r="E1155" s="76"/>
      <c r="F1155" s="50">
        <v>126</v>
      </c>
      <c r="G1155" s="49">
        <v>60614</v>
      </c>
      <c r="H1155" s="73">
        <v>125</v>
      </c>
      <c r="I1155" s="77">
        <v>126</v>
      </c>
      <c r="J1155" s="73">
        <v>21909.87000000001</v>
      </c>
      <c r="K1155" s="52">
        <v>4</v>
      </c>
      <c r="L1155" s="51">
        <v>1165.22</v>
      </c>
      <c r="M1155" s="77">
        <v>135</v>
      </c>
      <c r="N1155" s="76">
        <v>39235.31</v>
      </c>
      <c r="O1155" s="75">
        <v>114</v>
      </c>
      <c r="P1155" s="74">
        <v>633.40000000000009</v>
      </c>
      <c r="Q1155" s="74">
        <v>251.48999999999998</v>
      </c>
      <c r="R1155" s="53">
        <f t="shared" si="53"/>
        <v>3030.7000000000003</v>
      </c>
      <c r="S1155" s="73">
        <v>21909.870000000006</v>
      </c>
      <c r="W1155" s="76">
        <v>44376.2</v>
      </c>
    </row>
    <row r="1156" spans="1:23" x14ac:dyDescent="0.25">
      <c r="A1156" s="28"/>
      <c r="B1156" s="45" t="str">
        <f t="shared" si="51"/>
        <v>Jan-2026</v>
      </c>
      <c r="C1156" s="57">
        <v>46045</v>
      </c>
      <c r="D1156" s="43">
        <f t="shared" si="52"/>
        <v>67</v>
      </c>
      <c r="E1156" s="76"/>
      <c r="F1156" s="50">
        <v>140</v>
      </c>
      <c r="G1156" s="49">
        <v>60038</v>
      </c>
      <c r="H1156" s="73">
        <v>139</v>
      </c>
      <c r="I1156" s="77">
        <v>140</v>
      </c>
      <c r="J1156" s="73">
        <v>16162.580000000007</v>
      </c>
      <c r="K1156" s="52">
        <v>6</v>
      </c>
      <c r="L1156" s="51">
        <v>954.07999999999993</v>
      </c>
      <c r="M1156" s="77">
        <v>164</v>
      </c>
      <c r="N1156" s="76">
        <v>44376.2</v>
      </c>
      <c r="O1156" s="75">
        <v>141</v>
      </c>
      <c r="P1156" s="74">
        <v>500.78000000000009</v>
      </c>
      <c r="Q1156" s="74">
        <v>189.67</v>
      </c>
      <c r="R1156" s="53">
        <f t="shared" si="53"/>
        <v>3001.9</v>
      </c>
      <c r="S1156" s="73">
        <v>16162.580000000004</v>
      </c>
      <c r="W1156" s="76">
        <v>49299.93</v>
      </c>
    </row>
    <row r="1157" spans="1:23" x14ac:dyDescent="0.25">
      <c r="A1157" s="28"/>
      <c r="B1157" s="45" t="str">
        <f t="shared" si="51"/>
        <v>Jan-2026</v>
      </c>
      <c r="C1157" s="57">
        <v>46046</v>
      </c>
      <c r="D1157" s="43">
        <f t="shared" si="52"/>
        <v>66</v>
      </c>
      <c r="E1157" s="76"/>
      <c r="F1157" s="50">
        <v>125</v>
      </c>
      <c r="G1157" s="49">
        <v>65298</v>
      </c>
      <c r="H1157" s="73">
        <v>124</v>
      </c>
      <c r="I1157" s="77">
        <v>125</v>
      </c>
      <c r="J1157" s="73">
        <v>16566.459999999988</v>
      </c>
      <c r="K1157" s="52">
        <v>2</v>
      </c>
      <c r="L1157" s="51">
        <v>600.13</v>
      </c>
      <c r="M1157" s="77">
        <v>113</v>
      </c>
      <c r="N1157" s="76">
        <v>49299.93</v>
      </c>
      <c r="O1157" s="75">
        <v>110</v>
      </c>
      <c r="P1157" s="74">
        <v>568.39</v>
      </c>
      <c r="Q1157" s="74">
        <v>249.92999999999998</v>
      </c>
      <c r="R1157" s="53">
        <f t="shared" si="53"/>
        <v>3264.9</v>
      </c>
      <c r="S1157" s="73">
        <v>16566.459999999992</v>
      </c>
      <c r="W1157" s="76">
        <v>36688.910000000003</v>
      </c>
    </row>
    <row r="1158" spans="1:23" x14ac:dyDescent="0.25">
      <c r="A1158" s="28"/>
      <c r="B1158" s="45" t="str">
        <f t="shared" si="51"/>
        <v>Jan-2026</v>
      </c>
      <c r="C1158" s="57">
        <v>46047</v>
      </c>
      <c r="D1158" s="43">
        <f t="shared" si="52"/>
        <v>65</v>
      </c>
      <c r="E1158" s="76"/>
      <c r="F1158" s="50">
        <v>104</v>
      </c>
      <c r="G1158" s="49">
        <v>46280</v>
      </c>
      <c r="H1158" s="73">
        <v>103</v>
      </c>
      <c r="I1158" s="77">
        <v>104</v>
      </c>
      <c r="J1158" s="73">
        <v>9939.64</v>
      </c>
      <c r="K1158" s="52">
        <v>4</v>
      </c>
      <c r="L1158" s="51">
        <v>610.13</v>
      </c>
      <c r="M1158" s="77">
        <v>127</v>
      </c>
      <c r="N1158" s="76">
        <v>36688.910000000003</v>
      </c>
      <c r="O1158" s="75">
        <v>116</v>
      </c>
      <c r="P1158" s="74">
        <v>348.54999999999967</v>
      </c>
      <c r="Q1158" s="74">
        <v>158.91</v>
      </c>
      <c r="R1158" s="53">
        <f t="shared" si="53"/>
        <v>2314</v>
      </c>
      <c r="S1158" s="73">
        <v>9939.6399999999958</v>
      </c>
      <c r="W1158" s="76">
        <v>36188.86</v>
      </c>
    </row>
    <row r="1159" spans="1:23" x14ac:dyDescent="0.25">
      <c r="A1159" s="28"/>
      <c r="B1159" s="45" t="str">
        <f t="shared" si="51"/>
        <v>Jan-2026</v>
      </c>
      <c r="C1159" s="57">
        <v>46048</v>
      </c>
      <c r="D1159" s="43">
        <f t="shared" si="52"/>
        <v>64</v>
      </c>
      <c r="E1159" s="76"/>
      <c r="F1159" s="50">
        <v>119</v>
      </c>
      <c r="G1159" s="49">
        <v>55575</v>
      </c>
      <c r="H1159" s="73">
        <v>119</v>
      </c>
      <c r="I1159" s="77">
        <v>119</v>
      </c>
      <c r="J1159" s="73">
        <v>19923.130000000008</v>
      </c>
      <c r="K1159" s="52"/>
      <c r="L1159" s="51"/>
      <c r="M1159" s="77">
        <v>142</v>
      </c>
      <c r="N1159" s="76">
        <v>36188.86</v>
      </c>
      <c r="O1159" s="75">
        <v>122</v>
      </c>
      <c r="P1159" s="74">
        <v>536.99000000000012</v>
      </c>
      <c r="Q1159" s="74">
        <v>172.29000000000002</v>
      </c>
      <c r="R1159" s="53">
        <f t="shared" si="53"/>
        <v>2778.75</v>
      </c>
      <c r="S1159" s="73">
        <v>19923.130000000005</v>
      </c>
      <c r="W1159" s="76">
        <v>36256.57</v>
      </c>
    </row>
    <row r="1160" spans="1:23" x14ac:dyDescent="0.25">
      <c r="A1160" s="28"/>
      <c r="B1160" s="45" t="str">
        <f t="shared" ref="B1160:B1223" si="54">TEXT(C1160,"MMM-YYYY")</f>
        <v>Jan-2026</v>
      </c>
      <c r="C1160" s="57">
        <v>46049</v>
      </c>
      <c r="D1160" s="43">
        <f t="shared" ref="D1160:D1223" si="55">$A$1-C1160</f>
        <v>63</v>
      </c>
      <c r="E1160" s="76"/>
      <c r="F1160" s="50">
        <v>114</v>
      </c>
      <c r="G1160" s="49">
        <v>50610</v>
      </c>
      <c r="H1160" s="73">
        <v>114</v>
      </c>
      <c r="I1160" s="77">
        <v>114</v>
      </c>
      <c r="J1160" s="73">
        <v>14840.509999999995</v>
      </c>
      <c r="K1160" s="52">
        <v>3</v>
      </c>
      <c r="L1160" s="51">
        <v>554.12</v>
      </c>
      <c r="M1160" s="77">
        <v>112</v>
      </c>
      <c r="N1160" s="76">
        <v>36256.57</v>
      </c>
      <c r="O1160" s="75">
        <v>107</v>
      </c>
      <c r="P1160" s="74">
        <v>487.0800000000001</v>
      </c>
      <c r="Q1160" s="74">
        <v>217.81999999999994</v>
      </c>
      <c r="R1160" s="53">
        <f t="shared" ref="R1160:R1223" si="56">G1160*5%</f>
        <v>2530.5</v>
      </c>
      <c r="S1160" s="73">
        <v>14840.509999999998</v>
      </c>
      <c r="W1160" s="76">
        <v>33350.49</v>
      </c>
    </row>
    <row r="1161" spans="1:23" x14ac:dyDescent="0.25">
      <c r="A1161" s="28"/>
      <c r="B1161" s="45" t="str">
        <f t="shared" si="54"/>
        <v>Jan-2026</v>
      </c>
      <c r="C1161" s="57">
        <v>46050</v>
      </c>
      <c r="D1161" s="43">
        <f t="shared" si="55"/>
        <v>62</v>
      </c>
      <c r="E1161" s="76"/>
      <c r="F1161" s="50">
        <v>103</v>
      </c>
      <c r="G1161" s="49">
        <v>46400</v>
      </c>
      <c r="H1161" s="73">
        <v>102</v>
      </c>
      <c r="I1161" s="77">
        <v>103</v>
      </c>
      <c r="J1161" s="73">
        <v>13444.010000000007</v>
      </c>
      <c r="K1161" s="52">
        <v>2</v>
      </c>
      <c r="L1161" s="51">
        <v>200.04</v>
      </c>
      <c r="M1161" s="77">
        <v>119</v>
      </c>
      <c r="N1161" s="76">
        <v>33350.49</v>
      </c>
      <c r="O1161" s="75">
        <v>107</v>
      </c>
      <c r="P1161" s="74">
        <v>394.50000000000006</v>
      </c>
      <c r="Q1161" s="74">
        <v>150.31</v>
      </c>
      <c r="R1161" s="53">
        <f t="shared" si="56"/>
        <v>2320</v>
      </c>
      <c r="S1161" s="73">
        <v>13444.010000000007</v>
      </c>
      <c r="W1161" s="76">
        <v>42937.120000000003</v>
      </c>
    </row>
    <row r="1162" spans="1:23" x14ac:dyDescent="0.25">
      <c r="A1162" s="28"/>
      <c r="B1162" s="45" t="str">
        <f t="shared" si="54"/>
        <v>Jan-2026</v>
      </c>
      <c r="C1162" s="57">
        <v>46051</v>
      </c>
      <c r="D1162" s="43">
        <f t="shared" si="55"/>
        <v>61</v>
      </c>
      <c r="E1162" s="76"/>
      <c r="F1162" s="50">
        <v>139</v>
      </c>
      <c r="G1162" s="49">
        <v>73900</v>
      </c>
      <c r="H1162" s="73">
        <v>137</v>
      </c>
      <c r="I1162" s="77">
        <v>139</v>
      </c>
      <c r="J1162" s="73">
        <v>31753.670000000013</v>
      </c>
      <c r="K1162" s="52">
        <v>5</v>
      </c>
      <c r="L1162" s="51">
        <v>1670.36</v>
      </c>
      <c r="M1162" s="77">
        <v>113</v>
      </c>
      <c r="N1162" s="76">
        <v>42937.120000000003</v>
      </c>
      <c r="O1162" s="75">
        <v>105</v>
      </c>
      <c r="P1162" s="74">
        <v>790.79000000000019</v>
      </c>
      <c r="Q1162" s="74">
        <v>241.81</v>
      </c>
      <c r="R1162" s="53">
        <f t="shared" si="56"/>
        <v>3695</v>
      </c>
      <c r="S1162" s="73">
        <v>31753.64000000001</v>
      </c>
      <c r="W1162" s="76">
        <v>43224.07</v>
      </c>
    </row>
    <row r="1163" spans="1:23" x14ac:dyDescent="0.25">
      <c r="A1163" s="28"/>
      <c r="B1163" s="45" t="str">
        <f t="shared" si="54"/>
        <v>Jan-2026</v>
      </c>
      <c r="C1163" s="57">
        <v>46052</v>
      </c>
      <c r="D1163" s="43">
        <f t="shared" si="55"/>
        <v>60</v>
      </c>
      <c r="E1163" s="76"/>
      <c r="F1163" s="50">
        <v>144</v>
      </c>
      <c r="G1163" s="49">
        <v>64029</v>
      </c>
      <c r="H1163" s="73">
        <v>138</v>
      </c>
      <c r="I1163" s="77">
        <v>144</v>
      </c>
      <c r="J1163" s="73">
        <v>21377.440000000002</v>
      </c>
      <c r="K1163" s="52">
        <v>7</v>
      </c>
      <c r="L1163" s="51">
        <v>1200.21</v>
      </c>
      <c r="M1163" s="77">
        <v>127</v>
      </c>
      <c r="N1163" s="76">
        <v>43224.07</v>
      </c>
      <c r="O1163" s="75">
        <v>120</v>
      </c>
      <c r="P1163" s="74">
        <v>572.51000000000022</v>
      </c>
      <c r="Q1163" s="74">
        <v>204.42000000000007</v>
      </c>
      <c r="R1163" s="53">
        <f t="shared" si="56"/>
        <v>3201.4500000000003</v>
      </c>
      <c r="S1163" s="73">
        <v>21377.439999999999</v>
      </c>
      <c r="W1163" s="76">
        <v>46810.61</v>
      </c>
    </row>
    <row r="1164" spans="1:23" x14ac:dyDescent="0.25">
      <c r="A1164" s="28"/>
      <c r="B1164" s="45" t="str">
        <f t="shared" si="54"/>
        <v>Jan-2026</v>
      </c>
      <c r="C1164" s="57">
        <v>46053</v>
      </c>
      <c r="D1164" s="43">
        <f t="shared" si="55"/>
        <v>59</v>
      </c>
      <c r="E1164" s="76"/>
      <c r="F1164" s="50">
        <v>132</v>
      </c>
      <c r="G1164" s="49">
        <v>67712</v>
      </c>
      <c r="H1164" s="73">
        <v>131</v>
      </c>
      <c r="I1164" s="77">
        <v>132</v>
      </c>
      <c r="J1164" s="73">
        <v>21497.909999999996</v>
      </c>
      <c r="K1164" s="52">
        <v>5</v>
      </c>
      <c r="L1164" s="51">
        <v>2200.48</v>
      </c>
      <c r="M1164" s="77">
        <v>154</v>
      </c>
      <c r="N1164" s="76">
        <v>46810.61</v>
      </c>
      <c r="O1164" s="75">
        <v>137</v>
      </c>
      <c r="P1164" s="74">
        <v>596.51999999999987</v>
      </c>
      <c r="Q1164" s="74">
        <v>232.98000000000002</v>
      </c>
      <c r="R1164" s="53">
        <f t="shared" si="56"/>
        <v>3385.6000000000004</v>
      </c>
      <c r="S1164" s="73">
        <v>21497.909999999996</v>
      </c>
      <c r="W1164" s="103">
        <f>SUM(W1133:W1163)</f>
        <v>1297412.5200000005</v>
      </c>
    </row>
    <row r="1165" spans="1:23" x14ac:dyDescent="0.25">
      <c r="A1165" s="28"/>
      <c r="B1165" s="45" t="str">
        <f t="shared" si="54"/>
        <v>Feb-2026</v>
      </c>
      <c r="C1165" s="57">
        <v>46054</v>
      </c>
      <c r="D1165" s="43">
        <f t="shared" si="55"/>
        <v>58</v>
      </c>
      <c r="E1165" s="76"/>
      <c r="F1165" s="50">
        <v>117</v>
      </c>
      <c r="G1165" s="49">
        <v>45572</v>
      </c>
      <c r="H1165" s="73">
        <v>116</v>
      </c>
      <c r="I1165" s="77">
        <v>117</v>
      </c>
      <c r="J1165" s="73">
        <v>16596.79</v>
      </c>
      <c r="K1165" s="52">
        <v>3</v>
      </c>
      <c r="L1165" s="51">
        <v>700.15</v>
      </c>
      <c r="M1165" s="77">
        <v>115</v>
      </c>
      <c r="N1165" s="76">
        <v>29391.439999999999</v>
      </c>
      <c r="O1165" s="75">
        <v>103</v>
      </c>
      <c r="P1165" s="74">
        <v>416.23000000000019</v>
      </c>
      <c r="Q1165" s="74">
        <v>130.92999999999998</v>
      </c>
      <c r="R1165" s="53">
        <f t="shared" si="56"/>
        <v>2278.6</v>
      </c>
      <c r="S1165" s="73">
        <v>16596.79</v>
      </c>
    </row>
    <row r="1166" spans="1:23" x14ac:dyDescent="0.25">
      <c r="A1166" s="28"/>
      <c r="B1166" s="45" t="str">
        <f t="shared" si="54"/>
        <v>Feb-2026</v>
      </c>
      <c r="C1166" s="57">
        <v>46055</v>
      </c>
      <c r="D1166" s="43">
        <f t="shared" si="55"/>
        <v>57</v>
      </c>
      <c r="E1166" s="76"/>
      <c r="F1166" s="50">
        <v>127</v>
      </c>
      <c r="G1166" s="49">
        <v>58515</v>
      </c>
      <c r="H1166" s="73">
        <v>127</v>
      </c>
      <c r="I1166" s="77">
        <v>127</v>
      </c>
      <c r="J1166" s="73">
        <v>17435.130000000012</v>
      </c>
      <c r="K1166" s="52">
        <v>1</v>
      </c>
      <c r="L1166" s="51">
        <v>96</v>
      </c>
      <c r="M1166" s="77">
        <v>125</v>
      </c>
      <c r="N1166" s="76">
        <v>41612.949999999997</v>
      </c>
      <c r="O1166" s="75">
        <v>110</v>
      </c>
      <c r="P1166" s="74">
        <v>533.07999999999981</v>
      </c>
      <c r="Q1166" s="74">
        <v>238.83000000000004</v>
      </c>
      <c r="R1166" s="53">
        <f t="shared" si="56"/>
        <v>2925.75</v>
      </c>
      <c r="S1166" s="73">
        <v>17435.130000000005</v>
      </c>
    </row>
    <row r="1167" spans="1:23" x14ac:dyDescent="0.25">
      <c r="A1167" s="28"/>
      <c r="B1167" s="45" t="str">
        <f t="shared" si="54"/>
        <v>Feb-2026</v>
      </c>
      <c r="C1167" s="57">
        <v>46056</v>
      </c>
      <c r="D1167" s="43">
        <f t="shared" si="55"/>
        <v>56</v>
      </c>
      <c r="E1167" s="76"/>
      <c r="F1167" s="50">
        <v>123</v>
      </c>
      <c r="G1167" s="49">
        <v>58490</v>
      </c>
      <c r="H1167" s="73">
        <v>119</v>
      </c>
      <c r="I1167" s="77">
        <v>123</v>
      </c>
      <c r="J1167" s="73">
        <v>23054.670000000002</v>
      </c>
      <c r="K1167" s="52">
        <v>7</v>
      </c>
      <c r="L1167" s="51">
        <v>1100.23</v>
      </c>
      <c r="M1167" s="77">
        <v>114</v>
      </c>
      <c r="N1167" s="76">
        <v>35996.519999999997</v>
      </c>
      <c r="O1167" s="75">
        <v>95</v>
      </c>
      <c r="P1167" s="74">
        <v>561.19000000000005</v>
      </c>
      <c r="Q1167" s="74">
        <v>187.69000000000003</v>
      </c>
      <c r="R1167" s="53">
        <f t="shared" si="56"/>
        <v>2924.5</v>
      </c>
      <c r="S1167" s="73">
        <v>23054.67</v>
      </c>
    </row>
    <row r="1168" spans="1:23" x14ac:dyDescent="0.25">
      <c r="A1168" s="28"/>
      <c r="B1168" s="45" t="str">
        <f t="shared" si="54"/>
        <v>Feb-2026</v>
      </c>
      <c r="C1168" s="57">
        <v>46057</v>
      </c>
      <c r="D1168" s="43">
        <f t="shared" si="55"/>
        <v>55</v>
      </c>
      <c r="E1168" s="76"/>
      <c r="F1168" s="50">
        <v>112</v>
      </c>
      <c r="G1168" s="49">
        <v>61920</v>
      </c>
      <c r="H1168" s="73">
        <v>112</v>
      </c>
      <c r="I1168" s="77">
        <v>112</v>
      </c>
      <c r="J1168" s="73">
        <v>15164.030000000002</v>
      </c>
      <c r="K1168" s="52">
        <v>3</v>
      </c>
      <c r="L1168" s="51">
        <v>120.48</v>
      </c>
      <c r="M1168" s="77">
        <v>99</v>
      </c>
      <c r="N1168" s="76">
        <v>47275.7</v>
      </c>
      <c r="O1168" s="75">
        <v>90</v>
      </c>
      <c r="P1168" s="74">
        <v>519.73000000000013</v>
      </c>
      <c r="Q1168" s="74">
        <v>273.93999999999994</v>
      </c>
      <c r="R1168" s="53">
        <f t="shared" si="56"/>
        <v>3096</v>
      </c>
      <c r="S1168" s="73">
        <v>15164.030000000002</v>
      </c>
    </row>
    <row r="1169" spans="1:24" x14ac:dyDescent="0.25">
      <c r="A1169" s="28"/>
      <c r="B1169" s="45" t="str">
        <f t="shared" si="54"/>
        <v>Feb-2026</v>
      </c>
      <c r="C1169" s="57">
        <v>46058</v>
      </c>
      <c r="D1169" s="43">
        <f t="shared" si="55"/>
        <v>54</v>
      </c>
      <c r="E1169" s="76"/>
      <c r="F1169" s="50">
        <v>129</v>
      </c>
      <c r="G1169" s="49">
        <v>61383</v>
      </c>
      <c r="H1169" s="73">
        <v>126</v>
      </c>
      <c r="I1169" s="77">
        <v>129</v>
      </c>
      <c r="J1169" s="73">
        <v>19706.589999999993</v>
      </c>
      <c r="K1169" s="52">
        <v>7</v>
      </c>
      <c r="L1169" s="51">
        <v>1106.23</v>
      </c>
      <c r="M1169" s="77">
        <v>120</v>
      </c>
      <c r="N1169" s="76">
        <v>42107.85</v>
      </c>
      <c r="O1169" s="75">
        <v>105</v>
      </c>
      <c r="P1169" s="74">
        <v>531.44000000000005</v>
      </c>
      <c r="Q1169" s="74">
        <v>220.65000000000003</v>
      </c>
      <c r="R1169" s="53">
        <f t="shared" si="56"/>
        <v>3069.15</v>
      </c>
      <c r="S1169" s="73">
        <v>19706.589999999993</v>
      </c>
      <c r="X1169" s="76">
        <v>29391.439999999999</v>
      </c>
    </row>
    <row r="1170" spans="1:24" x14ac:dyDescent="0.25">
      <c r="A1170" s="28"/>
      <c r="B1170" s="45" t="str">
        <f t="shared" si="54"/>
        <v>Feb-2026</v>
      </c>
      <c r="C1170" s="57">
        <v>46059</v>
      </c>
      <c r="D1170" s="43">
        <f t="shared" si="55"/>
        <v>53</v>
      </c>
      <c r="E1170" s="76"/>
      <c r="F1170" s="50">
        <v>110</v>
      </c>
      <c r="G1170" s="49">
        <v>63151</v>
      </c>
      <c r="H1170" s="73">
        <v>110</v>
      </c>
      <c r="I1170" s="77">
        <v>110</v>
      </c>
      <c r="J1170" s="73">
        <v>16314.970000000007</v>
      </c>
      <c r="K1170" s="52"/>
      <c r="L1170" s="51"/>
      <c r="M1170" s="77">
        <v>104</v>
      </c>
      <c r="N1170" s="76">
        <v>47354.92</v>
      </c>
      <c r="O1170" s="75">
        <v>93</v>
      </c>
      <c r="P1170" s="74">
        <v>518.88999999999976</v>
      </c>
      <c r="Q1170" s="74">
        <v>266.23000000000008</v>
      </c>
      <c r="R1170" s="53">
        <f t="shared" si="56"/>
        <v>3157.55</v>
      </c>
      <c r="S1170" s="73">
        <v>16314.970000000008</v>
      </c>
      <c r="X1170" s="76">
        <v>41612.949999999997</v>
      </c>
    </row>
    <row r="1171" spans="1:24" x14ac:dyDescent="0.25">
      <c r="A1171" s="28"/>
      <c r="B1171" s="45" t="str">
        <f t="shared" si="54"/>
        <v>Feb-2026</v>
      </c>
      <c r="C1171" s="57">
        <v>46060</v>
      </c>
      <c r="D1171" s="43">
        <f t="shared" si="55"/>
        <v>52</v>
      </c>
      <c r="E1171" s="76"/>
      <c r="F1171" s="50">
        <v>119</v>
      </c>
      <c r="G1171" s="49">
        <v>64560</v>
      </c>
      <c r="H1171" s="73">
        <v>118</v>
      </c>
      <c r="I1171" s="77">
        <v>119</v>
      </c>
      <c r="J1171" s="73">
        <v>15391.989999999993</v>
      </c>
      <c r="K1171" s="52">
        <v>3</v>
      </c>
      <c r="L1171" s="51">
        <v>2000.26</v>
      </c>
      <c r="M1171" s="77">
        <v>136</v>
      </c>
      <c r="N1171" s="76">
        <v>49597.97</v>
      </c>
      <c r="O1171" s="75">
        <v>122</v>
      </c>
      <c r="P1171" s="74">
        <v>429.96000000000038</v>
      </c>
      <c r="Q1171" s="74">
        <v>193</v>
      </c>
      <c r="R1171" s="53">
        <f t="shared" si="56"/>
        <v>3228</v>
      </c>
      <c r="S1171" s="73">
        <v>15391.989999999993</v>
      </c>
      <c r="X1171" s="76">
        <v>35996.519999999997</v>
      </c>
    </row>
    <row r="1172" spans="1:24" x14ac:dyDescent="0.25">
      <c r="A1172" s="28"/>
      <c r="B1172" s="45" t="str">
        <f t="shared" si="54"/>
        <v>Feb-2026</v>
      </c>
      <c r="C1172" s="57">
        <v>46061</v>
      </c>
      <c r="D1172" s="43">
        <f t="shared" si="55"/>
        <v>51</v>
      </c>
      <c r="E1172" s="76"/>
      <c r="F1172" s="50">
        <v>122</v>
      </c>
      <c r="G1172" s="49">
        <v>53290</v>
      </c>
      <c r="H1172" s="73">
        <v>119</v>
      </c>
      <c r="I1172" s="77">
        <v>122</v>
      </c>
      <c r="J1172" s="73">
        <v>23411.57999999998</v>
      </c>
      <c r="K1172" s="52">
        <v>5</v>
      </c>
      <c r="L1172" s="51">
        <v>500.09999999999997</v>
      </c>
      <c r="M1172" s="77">
        <v>106</v>
      </c>
      <c r="N1172" s="76">
        <v>30380.13</v>
      </c>
      <c r="O1172" s="75">
        <v>91</v>
      </c>
      <c r="P1172" s="74">
        <v>501.70999999999958</v>
      </c>
      <c r="Q1172" s="74">
        <v>145.24</v>
      </c>
      <c r="R1172" s="53">
        <f t="shared" si="56"/>
        <v>2664.5</v>
      </c>
      <c r="S1172" s="73">
        <v>23411.579999999984</v>
      </c>
      <c r="X1172" s="76">
        <v>47275.7</v>
      </c>
    </row>
    <row r="1173" spans="1:24" x14ac:dyDescent="0.25">
      <c r="A1173" s="28"/>
      <c r="B1173" s="45" t="str">
        <f t="shared" si="54"/>
        <v>Feb-2026</v>
      </c>
      <c r="C1173" s="57">
        <v>46062</v>
      </c>
      <c r="D1173" s="43">
        <f t="shared" si="55"/>
        <v>50</v>
      </c>
      <c r="E1173" s="76"/>
      <c r="F1173" s="50">
        <v>96</v>
      </c>
      <c r="G1173" s="49">
        <v>46390</v>
      </c>
      <c r="H1173" s="73">
        <v>92</v>
      </c>
      <c r="I1173" s="77">
        <v>96</v>
      </c>
      <c r="J1173" s="73">
        <v>16855.919999999998</v>
      </c>
      <c r="K1173" s="52">
        <v>5</v>
      </c>
      <c r="L1173" s="51">
        <v>1200.26</v>
      </c>
      <c r="M1173" s="77">
        <v>98</v>
      </c>
      <c r="N1173" s="76">
        <v>29913.3</v>
      </c>
      <c r="O1173" s="75">
        <v>85</v>
      </c>
      <c r="P1173" s="74">
        <v>379.22000000000008</v>
      </c>
      <c r="Q1173" s="74">
        <v>133.73999999999998</v>
      </c>
      <c r="R1173" s="53">
        <f t="shared" si="56"/>
        <v>2319.5</v>
      </c>
      <c r="S1173" s="73">
        <v>16855.919999999998</v>
      </c>
      <c r="X1173" s="76">
        <v>42107.85</v>
      </c>
    </row>
    <row r="1174" spans="1:24" x14ac:dyDescent="0.25">
      <c r="A1174" s="28"/>
      <c r="B1174" s="45" t="str">
        <f t="shared" si="54"/>
        <v>Feb-2026</v>
      </c>
      <c r="C1174" s="57">
        <v>46063</v>
      </c>
      <c r="D1174" s="43">
        <f t="shared" si="55"/>
        <v>49</v>
      </c>
      <c r="E1174" s="76"/>
      <c r="F1174" s="50">
        <v>105</v>
      </c>
      <c r="G1174" s="49">
        <v>52230</v>
      </c>
      <c r="H1174" s="73">
        <v>103</v>
      </c>
      <c r="I1174" s="77">
        <v>105</v>
      </c>
      <c r="J1174" s="73">
        <v>14708.509999999997</v>
      </c>
      <c r="K1174" s="52">
        <v>7</v>
      </c>
      <c r="L1174" s="51">
        <v>1752.3400000000001</v>
      </c>
      <c r="M1174" s="77">
        <v>117</v>
      </c>
      <c r="N1174" s="76">
        <v>37888.53</v>
      </c>
      <c r="O1174" s="75">
        <v>103</v>
      </c>
      <c r="P1174" s="74">
        <v>401.56000000000012</v>
      </c>
      <c r="Q1174" s="74">
        <v>186.23999999999995</v>
      </c>
      <c r="R1174" s="53">
        <f t="shared" si="56"/>
        <v>2611.5</v>
      </c>
      <c r="S1174" s="73">
        <v>14708.509999999998</v>
      </c>
      <c r="X1174" s="76">
        <v>47354.92</v>
      </c>
    </row>
    <row r="1175" spans="1:24" x14ac:dyDescent="0.25">
      <c r="A1175" s="28"/>
      <c r="B1175" s="45" t="str">
        <f t="shared" si="54"/>
        <v>Feb-2026</v>
      </c>
      <c r="C1175" s="57">
        <v>46064</v>
      </c>
      <c r="D1175" s="43">
        <f t="shared" si="55"/>
        <v>48</v>
      </c>
      <c r="E1175" s="76"/>
      <c r="F1175" s="50">
        <v>102</v>
      </c>
      <c r="G1175" s="49">
        <v>43280</v>
      </c>
      <c r="H1175" s="73">
        <v>99</v>
      </c>
      <c r="I1175" s="77">
        <v>102</v>
      </c>
      <c r="J1175" s="73">
        <v>16139.880000000014</v>
      </c>
      <c r="K1175" s="52">
        <v>3</v>
      </c>
      <c r="L1175" s="51">
        <v>300.06</v>
      </c>
      <c r="M1175" s="77">
        <v>104</v>
      </c>
      <c r="N1175" s="76">
        <v>27506.83</v>
      </c>
      <c r="O1175" s="75">
        <v>90</v>
      </c>
      <c r="P1175" s="74">
        <v>366.71</v>
      </c>
      <c r="Q1175" s="74">
        <v>144.19999999999999</v>
      </c>
      <c r="R1175" s="53">
        <f t="shared" si="56"/>
        <v>2164</v>
      </c>
      <c r="S1175" s="73">
        <v>16139.88000000001</v>
      </c>
      <c r="X1175" s="76">
        <v>49597.97</v>
      </c>
    </row>
    <row r="1176" spans="1:24" x14ac:dyDescent="0.25">
      <c r="A1176" s="28"/>
      <c r="B1176" s="45" t="str">
        <f t="shared" si="54"/>
        <v>Feb-2026</v>
      </c>
      <c r="C1176" s="57">
        <v>46065</v>
      </c>
      <c r="D1176" s="43">
        <f t="shared" si="55"/>
        <v>47</v>
      </c>
      <c r="E1176" s="76"/>
      <c r="F1176" s="50">
        <v>117</v>
      </c>
      <c r="G1176" s="49">
        <v>48938</v>
      </c>
      <c r="H1176" s="73">
        <v>115</v>
      </c>
      <c r="I1176" s="77">
        <v>117</v>
      </c>
      <c r="J1176" s="73">
        <v>16700.539999999997</v>
      </c>
      <c r="K1176" s="52">
        <v>4</v>
      </c>
      <c r="L1176" s="51">
        <v>785.13</v>
      </c>
      <c r="M1176" s="77">
        <v>95</v>
      </c>
      <c r="N1176" s="76">
        <v>32611.75</v>
      </c>
      <c r="O1176" s="75">
        <v>85</v>
      </c>
      <c r="P1176" s="74">
        <v>374.29</v>
      </c>
      <c r="Q1176" s="74">
        <v>146.54999999999998</v>
      </c>
      <c r="R1176" s="53">
        <f t="shared" si="56"/>
        <v>2446.9</v>
      </c>
      <c r="S1176" s="73">
        <v>16700.54</v>
      </c>
      <c r="X1176" s="76">
        <v>30380.13</v>
      </c>
    </row>
    <row r="1177" spans="1:24" x14ac:dyDescent="0.25">
      <c r="A1177" s="28"/>
      <c r="B1177" s="45" t="str">
        <f t="shared" si="54"/>
        <v>Feb-2026</v>
      </c>
      <c r="C1177" s="57">
        <v>46066</v>
      </c>
      <c r="D1177" s="43">
        <f t="shared" si="55"/>
        <v>46</v>
      </c>
      <c r="E1177" s="76"/>
      <c r="F1177" s="50">
        <v>87</v>
      </c>
      <c r="G1177" s="49">
        <v>46235</v>
      </c>
      <c r="H1177" s="73">
        <v>87</v>
      </c>
      <c r="I1177" s="77">
        <v>87</v>
      </c>
      <c r="J1177" s="73">
        <v>14380.230000000003</v>
      </c>
      <c r="K1177" s="52"/>
      <c r="L1177" s="51"/>
      <c r="M1177" s="77">
        <v>84</v>
      </c>
      <c r="N1177" s="76">
        <v>32181.22</v>
      </c>
      <c r="O1177" s="75">
        <v>79</v>
      </c>
      <c r="P1177" s="74">
        <v>326.4500000000001</v>
      </c>
      <c r="Q1177" s="74">
        <v>135.94</v>
      </c>
      <c r="R1177" s="53">
        <f t="shared" si="56"/>
        <v>2311.75</v>
      </c>
      <c r="S1177" s="73">
        <v>14380.230000000003</v>
      </c>
      <c r="X1177" s="76">
        <v>29913.3</v>
      </c>
    </row>
    <row r="1178" spans="1:24" x14ac:dyDescent="0.25">
      <c r="A1178" s="28"/>
      <c r="B1178" s="45" t="str">
        <f t="shared" si="54"/>
        <v>Feb-2026</v>
      </c>
      <c r="C1178" s="57">
        <v>46067</v>
      </c>
      <c r="D1178" s="43">
        <f t="shared" si="55"/>
        <v>45</v>
      </c>
      <c r="E1178" s="76"/>
      <c r="F1178" s="50">
        <v>72</v>
      </c>
      <c r="G1178" s="49">
        <v>40090</v>
      </c>
      <c r="H1178" s="73">
        <v>72</v>
      </c>
      <c r="I1178" s="77">
        <v>72</v>
      </c>
      <c r="J1178" s="73">
        <v>8655.0600000000013</v>
      </c>
      <c r="K1178" s="52"/>
      <c r="L1178" s="51"/>
      <c r="M1178" s="77">
        <v>66</v>
      </c>
      <c r="N1178" s="76">
        <v>31706.69</v>
      </c>
      <c r="O1178" s="75">
        <v>62</v>
      </c>
      <c r="P1178" s="74">
        <v>271.75</v>
      </c>
      <c r="Q1178" s="74">
        <v>160.08000000000007</v>
      </c>
      <c r="R1178" s="53">
        <f t="shared" si="56"/>
        <v>2004.5</v>
      </c>
      <c r="S1178" s="73">
        <v>8655.0600000000013</v>
      </c>
      <c r="X1178" s="76">
        <v>37888.53</v>
      </c>
    </row>
    <row r="1179" spans="1:24" x14ac:dyDescent="0.25">
      <c r="A1179" s="28"/>
      <c r="B1179" s="45" t="str">
        <f t="shared" si="54"/>
        <v>Feb-2026</v>
      </c>
      <c r="C1179" s="57">
        <v>46068</v>
      </c>
      <c r="D1179" s="43">
        <f t="shared" si="55"/>
        <v>44</v>
      </c>
      <c r="E1179" s="76"/>
      <c r="F1179" s="50">
        <v>55</v>
      </c>
      <c r="G1179" s="49">
        <v>31590</v>
      </c>
      <c r="H1179" s="73">
        <v>55</v>
      </c>
      <c r="I1179" s="77">
        <v>55</v>
      </c>
      <c r="J1179" s="73">
        <v>7530.6200000000008</v>
      </c>
      <c r="K1179" s="52"/>
      <c r="L1179" s="51"/>
      <c r="M1179" s="77">
        <v>59</v>
      </c>
      <c r="N1179" s="76">
        <v>24243.599999999999</v>
      </c>
      <c r="O1179" s="75">
        <v>50</v>
      </c>
      <c r="P1179" s="74">
        <v>184.22000000000006</v>
      </c>
      <c r="Q1179" s="74">
        <v>85.38000000000001</v>
      </c>
      <c r="R1179" s="53">
        <f t="shared" si="56"/>
        <v>1579.5</v>
      </c>
      <c r="S1179" s="73">
        <v>7530.6200000000026</v>
      </c>
      <c r="X1179" s="76">
        <v>27506.83</v>
      </c>
    </row>
    <row r="1180" spans="1:24" x14ac:dyDescent="0.25">
      <c r="A1180" s="28"/>
      <c r="B1180" s="45" t="str">
        <f t="shared" si="54"/>
        <v>Feb-2026</v>
      </c>
      <c r="C1180" s="57">
        <v>46069</v>
      </c>
      <c r="D1180" s="43">
        <f t="shared" si="55"/>
        <v>43</v>
      </c>
      <c r="E1180" s="76"/>
      <c r="F1180" s="50">
        <v>95</v>
      </c>
      <c r="G1180" s="49">
        <v>39450</v>
      </c>
      <c r="H1180" s="73">
        <v>90</v>
      </c>
      <c r="I1180" s="77">
        <v>95</v>
      </c>
      <c r="J1180" s="73">
        <v>9927.5399999999991</v>
      </c>
      <c r="K1180" s="52">
        <v>8</v>
      </c>
      <c r="L1180" s="51">
        <v>750.15</v>
      </c>
      <c r="M1180" s="77">
        <v>80</v>
      </c>
      <c r="N1180" s="76">
        <v>29752.19</v>
      </c>
      <c r="O1180" s="75">
        <v>78</v>
      </c>
      <c r="P1180" s="74">
        <v>229.73000000000002</v>
      </c>
      <c r="Q1180" s="74">
        <v>102.92999999999998</v>
      </c>
      <c r="R1180" s="53">
        <f t="shared" si="56"/>
        <v>1972.5</v>
      </c>
      <c r="S1180" s="73">
        <v>9927.5399999999972</v>
      </c>
      <c r="X1180" s="76">
        <v>32611.75</v>
      </c>
    </row>
    <row r="1181" spans="1:24" x14ac:dyDescent="0.25">
      <c r="A1181" s="28"/>
      <c r="B1181" s="45" t="str">
        <f t="shared" si="54"/>
        <v>Feb-2026</v>
      </c>
      <c r="C1181" s="57">
        <v>46070</v>
      </c>
      <c r="D1181" s="43">
        <f t="shared" si="55"/>
        <v>42</v>
      </c>
      <c r="E1181" s="76"/>
      <c r="F1181" s="50">
        <v>177</v>
      </c>
      <c r="G1181" s="49">
        <v>86720</v>
      </c>
      <c r="H1181" s="73">
        <v>174</v>
      </c>
      <c r="I1181" s="77">
        <v>177</v>
      </c>
      <c r="J1181" s="73">
        <v>24701.07999999998</v>
      </c>
      <c r="K1181" s="52">
        <v>14</v>
      </c>
      <c r="L1181" s="51">
        <v>1600.9799999999998</v>
      </c>
      <c r="M1181" s="77">
        <v>178</v>
      </c>
      <c r="N1181" s="76">
        <v>62577.65</v>
      </c>
      <c r="O1181" s="75">
        <v>164</v>
      </c>
      <c r="P1181" s="74">
        <v>558.73</v>
      </c>
      <c r="Q1181" s="74">
        <v>247.35999999999999</v>
      </c>
      <c r="R1181" s="53">
        <f t="shared" si="56"/>
        <v>4336</v>
      </c>
      <c r="S1181" s="73">
        <v>24701.079999999984</v>
      </c>
      <c r="X1181" s="76">
        <v>32181.22</v>
      </c>
    </row>
    <row r="1182" spans="1:24" x14ac:dyDescent="0.25">
      <c r="A1182" s="28"/>
      <c r="B1182" s="45" t="str">
        <f t="shared" si="54"/>
        <v>Feb-2026</v>
      </c>
      <c r="C1182" s="57">
        <v>46071</v>
      </c>
      <c r="D1182" s="43">
        <f t="shared" si="55"/>
        <v>41</v>
      </c>
      <c r="E1182" s="76"/>
      <c r="F1182" s="50">
        <v>117</v>
      </c>
      <c r="G1182" s="49">
        <v>60620</v>
      </c>
      <c r="H1182" s="73">
        <v>114</v>
      </c>
      <c r="I1182" s="77">
        <v>117</v>
      </c>
      <c r="J1182" s="73">
        <v>15006.749999999996</v>
      </c>
      <c r="K1182" s="52">
        <v>5</v>
      </c>
      <c r="L1182" s="51">
        <v>752.15</v>
      </c>
      <c r="M1182" s="77">
        <v>116</v>
      </c>
      <c r="N1182" s="76">
        <v>45967.71</v>
      </c>
      <c r="O1182" s="75">
        <v>106</v>
      </c>
      <c r="P1182" s="74">
        <v>354.46</v>
      </c>
      <c r="Q1182" s="74">
        <v>175.9</v>
      </c>
      <c r="R1182" s="53">
        <f t="shared" si="56"/>
        <v>3031</v>
      </c>
      <c r="S1182" s="73">
        <v>15006.749999999993</v>
      </c>
      <c r="X1182" s="76">
        <v>31706.69</v>
      </c>
    </row>
    <row r="1183" spans="1:24" x14ac:dyDescent="0.25">
      <c r="A1183" s="28"/>
      <c r="B1183" s="45" t="str">
        <f t="shared" si="54"/>
        <v>Feb-2026</v>
      </c>
      <c r="C1183" s="57">
        <v>46072</v>
      </c>
      <c r="D1183" s="43">
        <f t="shared" si="55"/>
        <v>40</v>
      </c>
      <c r="E1183" s="76"/>
      <c r="F1183" s="50">
        <v>117</v>
      </c>
      <c r="G1183" s="49">
        <v>52780</v>
      </c>
      <c r="H1183" s="73">
        <v>113</v>
      </c>
      <c r="I1183" s="77">
        <v>117</v>
      </c>
      <c r="J1183" s="73">
        <v>13174.860000000011</v>
      </c>
      <c r="K1183" s="52">
        <v>9</v>
      </c>
      <c r="L1183" s="51">
        <v>1912.4099999999999</v>
      </c>
      <c r="M1183" s="77">
        <v>128</v>
      </c>
      <c r="N1183" s="76">
        <v>39926.089999999997</v>
      </c>
      <c r="O1183" s="75">
        <v>116</v>
      </c>
      <c r="P1183" s="74">
        <v>320.95</v>
      </c>
      <c r="Q1183" s="74">
        <v>167.71000000000004</v>
      </c>
      <c r="R1183" s="53">
        <f t="shared" si="56"/>
        <v>2639</v>
      </c>
      <c r="S1183" s="73">
        <v>13174.860000000006</v>
      </c>
      <c r="X1183" s="76">
        <v>24243.599999999999</v>
      </c>
    </row>
    <row r="1184" spans="1:24" x14ac:dyDescent="0.25">
      <c r="A1184" s="28"/>
      <c r="B1184" s="45" t="str">
        <f t="shared" si="54"/>
        <v>Feb-2026</v>
      </c>
      <c r="C1184" s="57">
        <v>46073</v>
      </c>
      <c r="D1184" s="43">
        <f t="shared" si="55"/>
        <v>39</v>
      </c>
      <c r="E1184" s="76"/>
      <c r="F1184" s="50">
        <v>106</v>
      </c>
      <c r="G1184" s="49">
        <v>47280</v>
      </c>
      <c r="H1184" s="73">
        <v>106</v>
      </c>
      <c r="I1184" s="77">
        <v>106</v>
      </c>
      <c r="J1184" s="73">
        <v>13631.789999999994</v>
      </c>
      <c r="K1184" s="52">
        <v>1</v>
      </c>
      <c r="L1184" s="51">
        <v>100.02</v>
      </c>
      <c r="M1184" s="77">
        <v>90</v>
      </c>
      <c r="N1184" s="76">
        <v>33941.910000000003</v>
      </c>
      <c r="O1184" s="75">
        <v>83</v>
      </c>
      <c r="P1184" s="74">
        <v>293.7</v>
      </c>
      <c r="Q1184" s="74">
        <v>140.79999999999998</v>
      </c>
      <c r="R1184" s="53">
        <f t="shared" si="56"/>
        <v>2364</v>
      </c>
      <c r="S1184" s="73">
        <v>13631.789999999995</v>
      </c>
      <c r="X1184" s="76">
        <v>29752.19</v>
      </c>
    </row>
    <row r="1185" spans="1:24" x14ac:dyDescent="0.25">
      <c r="A1185" s="28"/>
      <c r="B1185" s="45" t="str">
        <f t="shared" si="54"/>
        <v>Feb-2026</v>
      </c>
      <c r="C1185" s="57">
        <v>46074</v>
      </c>
      <c r="D1185" s="43">
        <f t="shared" si="55"/>
        <v>38</v>
      </c>
      <c r="E1185" s="76"/>
      <c r="F1185" s="50">
        <v>115</v>
      </c>
      <c r="G1185" s="49">
        <v>55038</v>
      </c>
      <c r="H1185" s="73">
        <v>113</v>
      </c>
      <c r="I1185" s="77">
        <v>115</v>
      </c>
      <c r="J1185" s="73">
        <v>15117.030000000008</v>
      </c>
      <c r="K1185" s="52">
        <v>2</v>
      </c>
      <c r="L1185" s="51">
        <v>500.10999999999996</v>
      </c>
      <c r="M1185" s="77">
        <v>115</v>
      </c>
      <c r="N1185" s="76">
        <v>40233.11</v>
      </c>
      <c r="O1185" s="75">
        <v>105</v>
      </c>
      <c r="P1185" s="74">
        <v>312.14000000000016</v>
      </c>
      <c r="Q1185" s="74">
        <v>140.45000000000002</v>
      </c>
      <c r="R1185" s="53">
        <f t="shared" si="56"/>
        <v>2751.9</v>
      </c>
      <c r="S1185" s="73">
        <v>15117.030000000012</v>
      </c>
      <c r="X1185" s="76">
        <v>62577.65</v>
      </c>
    </row>
    <row r="1186" spans="1:24" x14ac:dyDescent="0.25">
      <c r="A1186" s="28"/>
      <c r="B1186" s="45" t="str">
        <f t="shared" si="54"/>
        <v>Feb-2026</v>
      </c>
      <c r="C1186" s="57">
        <v>46075</v>
      </c>
      <c r="D1186" s="43">
        <f t="shared" si="55"/>
        <v>37</v>
      </c>
      <c r="E1186" s="76"/>
      <c r="F1186" s="50">
        <v>97</v>
      </c>
      <c r="G1186" s="49">
        <v>38740</v>
      </c>
      <c r="H1186" s="73">
        <v>94</v>
      </c>
      <c r="I1186" s="77">
        <v>97</v>
      </c>
      <c r="J1186" s="73">
        <v>16351.499999999998</v>
      </c>
      <c r="K1186" s="52">
        <v>4</v>
      </c>
      <c r="L1186" s="51">
        <v>470.07999999999993</v>
      </c>
      <c r="M1186" s="77">
        <v>76</v>
      </c>
      <c r="N1186" s="76">
        <v>22658.880000000001</v>
      </c>
      <c r="O1186" s="75">
        <v>69</v>
      </c>
      <c r="P1186" s="74">
        <v>270.38</v>
      </c>
      <c r="Q1186" s="74">
        <v>86.000000000000014</v>
      </c>
      <c r="R1186" s="53">
        <f t="shared" si="56"/>
        <v>1937</v>
      </c>
      <c r="S1186" s="73">
        <v>16351.499999999998</v>
      </c>
      <c r="X1186" s="76">
        <v>45967.71</v>
      </c>
    </row>
    <row r="1187" spans="1:24" x14ac:dyDescent="0.25">
      <c r="A1187" s="28"/>
      <c r="B1187" s="45" t="str">
        <f t="shared" si="54"/>
        <v>Feb-2026</v>
      </c>
      <c r="C1187" s="57">
        <v>46076</v>
      </c>
      <c r="D1187" s="43">
        <f t="shared" si="55"/>
        <v>36</v>
      </c>
      <c r="E1187" s="76"/>
      <c r="F1187" s="50">
        <v>103</v>
      </c>
      <c r="G1187" s="49">
        <v>49950</v>
      </c>
      <c r="H1187" s="73">
        <v>103</v>
      </c>
      <c r="I1187" s="77">
        <v>103</v>
      </c>
      <c r="J1187" s="73">
        <v>16284.53</v>
      </c>
      <c r="K1187" s="52">
        <v>2</v>
      </c>
      <c r="L1187" s="51">
        <v>600.13</v>
      </c>
      <c r="M1187" s="77">
        <v>91</v>
      </c>
      <c r="N1187" s="76">
        <v>33979.370000000003</v>
      </c>
      <c r="O1187" s="75">
        <v>85</v>
      </c>
      <c r="P1187" s="74">
        <v>313.90000000000009</v>
      </c>
      <c r="Q1187" s="74">
        <v>133.31999999999996</v>
      </c>
      <c r="R1187" s="53">
        <f t="shared" si="56"/>
        <v>2497.5</v>
      </c>
      <c r="S1187" s="73">
        <v>16284.53</v>
      </c>
      <c r="X1187" s="76">
        <v>39926.089999999997</v>
      </c>
    </row>
    <row r="1188" spans="1:24" x14ac:dyDescent="0.25">
      <c r="A1188" s="28"/>
      <c r="B1188" s="45" t="str">
        <f t="shared" si="54"/>
        <v>Feb-2026</v>
      </c>
      <c r="C1188" s="57">
        <v>46077</v>
      </c>
      <c r="D1188" s="43">
        <f t="shared" si="55"/>
        <v>35</v>
      </c>
      <c r="E1188" s="76"/>
      <c r="F1188" s="50">
        <v>61</v>
      </c>
      <c r="G1188" s="49">
        <v>31490</v>
      </c>
      <c r="H1188" s="73">
        <v>61</v>
      </c>
      <c r="I1188" s="77">
        <v>61</v>
      </c>
      <c r="J1188" s="73">
        <v>11621.55</v>
      </c>
      <c r="K1188" s="52">
        <v>1</v>
      </c>
      <c r="L1188" s="51">
        <v>500.11</v>
      </c>
      <c r="M1188" s="77">
        <v>56</v>
      </c>
      <c r="N1188" s="76">
        <v>20072.43</v>
      </c>
      <c r="O1188" s="75">
        <v>55</v>
      </c>
      <c r="P1188" s="74">
        <v>203.98000000000005</v>
      </c>
      <c r="Q1188" s="74">
        <v>85.570000000000007</v>
      </c>
      <c r="R1188" s="53">
        <f t="shared" si="56"/>
        <v>1574.5</v>
      </c>
      <c r="S1188" s="73">
        <v>11621.550000000001</v>
      </c>
      <c r="X1188" s="76">
        <v>33941.910000000003</v>
      </c>
    </row>
    <row r="1189" spans="1:24" x14ac:dyDescent="0.25">
      <c r="A1189" s="28"/>
      <c r="B1189" s="45" t="str">
        <f t="shared" si="54"/>
        <v>Feb-2026</v>
      </c>
      <c r="C1189" s="57">
        <v>46078</v>
      </c>
      <c r="D1189" s="43">
        <f t="shared" si="55"/>
        <v>34</v>
      </c>
      <c r="E1189" s="76"/>
      <c r="F1189" s="50">
        <v>99</v>
      </c>
      <c r="G1189" s="49">
        <v>53355</v>
      </c>
      <c r="H1189" s="73">
        <v>99</v>
      </c>
      <c r="I1189" s="77">
        <v>99</v>
      </c>
      <c r="J1189" s="73">
        <v>18023.329999999994</v>
      </c>
      <c r="K1189" s="52">
        <v>1</v>
      </c>
      <c r="L1189" s="51">
        <v>45</v>
      </c>
      <c r="M1189" s="77">
        <v>86</v>
      </c>
      <c r="N1189" s="76">
        <v>35563.19</v>
      </c>
      <c r="O1189" s="75">
        <v>79</v>
      </c>
      <c r="P1189" s="74">
        <v>311.52</v>
      </c>
      <c r="Q1189" s="74">
        <v>122.26999999999997</v>
      </c>
      <c r="R1189" s="53">
        <f t="shared" si="56"/>
        <v>2667.75</v>
      </c>
      <c r="S1189" s="73">
        <v>18023.329999999991</v>
      </c>
      <c r="X1189" s="76">
        <v>40233.11</v>
      </c>
    </row>
    <row r="1190" spans="1:24" x14ac:dyDescent="0.25">
      <c r="A1190" s="28"/>
      <c r="B1190" s="45" t="str">
        <f t="shared" si="54"/>
        <v>Feb-2026</v>
      </c>
      <c r="C1190" s="57">
        <v>46079</v>
      </c>
      <c r="D1190" s="43">
        <f t="shared" si="55"/>
        <v>33</v>
      </c>
      <c r="E1190" s="76"/>
      <c r="F1190" s="50">
        <v>113</v>
      </c>
      <c r="G1190" s="49">
        <v>47590</v>
      </c>
      <c r="H1190" s="73">
        <v>111</v>
      </c>
      <c r="I1190" s="77">
        <v>113</v>
      </c>
      <c r="J1190" s="73">
        <v>16912.05000000001</v>
      </c>
      <c r="K1190" s="52">
        <v>5</v>
      </c>
      <c r="L1190" s="51">
        <v>850.17</v>
      </c>
      <c r="M1190" s="77">
        <v>85</v>
      </c>
      <c r="N1190" s="76">
        <v>30983.22</v>
      </c>
      <c r="O1190" s="75">
        <v>80</v>
      </c>
      <c r="P1190" s="74">
        <v>305.2700000000001</v>
      </c>
      <c r="Q1190" s="74">
        <v>128.39999999999998</v>
      </c>
      <c r="R1190" s="53">
        <f t="shared" si="56"/>
        <v>2379.5</v>
      </c>
      <c r="S1190" s="73">
        <v>16912.050000000007</v>
      </c>
      <c r="X1190" s="76">
        <v>22658.880000000001</v>
      </c>
    </row>
    <row r="1191" spans="1:24" x14ac:dyDescent="0.25">
      <c r="A1191" s="28"/>
      <c r="B1191" s="45" t="str">
        <f t="shared" si="54"/>
        <v>Feb-2026</v>
      </c>
      <c r="C1191" s="57">
        <v>46080</v>
      </c>
      <c r="D1191" s="43">
        <f t="shared" si="55"/>
        <v>32</v>
      </c>
      <c r="E1191" s="76"/>
      <c r="F1191" s="50">
        <v>98</v>
      </c>
      <c r="G1191" s="49">
        <v>47447</v>
      </c>
      <c r="H1191" s="73">
        <v>95</v>
      </c>
      <c r="I1191" s="77">
        <v>98</v>
      </c>
      <c r="J1191" s="73">
        <v>16780.509999999998</v>
      </c>
      <c r="K1191" s="52">
        <v>5</v>
      </c>
      <c r="L1191" s="51">
        <v>408.08</v>
      </c>
      <c r="M1191" s="77">
        <v>106</v>
      </c>
      <c r="N1191" s="76">
        <v>30968.22</v>
      </c>
      <c r="O1191" s="75">
        <v>96</v>
      </c>
      <c r="P1191" s="74">
        <v>301.7299999999999</v>
      </c>
      <c r="Q1191" s="74">
        <v>140.36000000000004</v>
      </c>
      <c r="R1191" s="53">
        <f t="shared" si="56"/>
        <v>2372.35</v>
      </c>
      <c r="S1191" s="73">
        <v>16780.509999999998</v>
      </c>
      <c r="X1191" s="76">
        <v>33979.370000000003</v>
      </c>
    </row>
    <row r="1192" spans="1:24" x14ac:dyDescent="0.25">
      <c r="A1192" s="28"/>
      <c r="B1192" s="45" t="str">
        <f t="shared" si="54"/>
        <v>Feb-2026</v>
      </c>
      <c r="C1192" s="57">
        <v>46081</v>
      </c>
      <c r="D1192" s="43">
        <f t="shared" si="55"/>
        <v>31</v>
      </c>
      <c r="E1192" s="76"/>
      <c r="F1192" s="50">
        <v>100</v>
      </c>
      <c r="G1192" s="49">
        <v>54015</v>
      </c>
      <c r="H1192" s="73">
        <v>100</v>
      </c>
      <c r="I1192" s="77">
        <v>100</v>
      </c>
      <c r="J1192" s="73">
        <v>22243.259999999991</v>
      </c>
      <c r="K1192" s="52"/>
      <c r="L1192" s="51"/>
      <c r="M1192" s="77">
        <v>78</v>
      </c>
      <c r="N1192" s="76">
        <v>32142.5</v>
      </c>
      <c r="O1192" s="75">
        <v>73</v>
      </c>
      <c r="P1192" s="74">
        <v>370.76000000000016</v>
      </c>
      <c r="Q1192" s="74">
        <v>161.97999999999996</v>
      </c>
      <c r="R1192" s="53">
        <f t="shared" si="56"/>
        <v>2700.75</v>
      </c>
      <c r="S1192" s="73">
        <v>22243.26</v>
      </c>
      <c r="X1192" s="76">
        <v>20072.43</v>
      </c>
    </row>
    <row r="1193" spans="1:24" x14ac:dyDescent="0.25">
      <c r="A1193" s="28"/>
      <c r="B1193" s="45" t="str">
        <f t="shared" si="54"/>
        <v>Mar-2026</v>
      </c>
      <c r="C1193" s="57">
        <v>46082</v>
      </c>
      <c r="D1193" s="43">
        <f t="shared" si="55"/>
        <v>30</v>
      </c>
      <c r="E1193" s="76"/>
      <c r="F1193" s="50">
        <v>97</v>
      </c>
      <c r="G1193" s="49">
        <v>53600</v>
      </c>
      <c r="H1193" s="73">
        <v>96</v>
      </c>
      <c r="I1193" s="77">
        <v>97</v>
      </c>
      <c r="J1193" s="73">
        <v>14356.330000000002</v>
      </c>
      <c r="K1193" s="52">
        <v>2</v>
      </c>
      <c r="L1193" s="51">
        <v>850.19</v>
      </c>
      <c r="M1193" s="77">
        <v>105</v>
      </c>
      <c r="N1193" s="76">
        <v>39537.99</v>
      </c>
      <c r="O1193" s="75">
        <v>97</v>
      </c>
      <c r="P1193" s="74">
        <v>294.32000000000005</v>
      </c>
      <c r="Q1193" s="74">
        <v>161.20999999999998</v>
      </c>
      <c r="R1193" s="53">
        <f t="shared" si="56"/>
        <v>2680</v>
      </c>
      <c r="S1193" s="73">
        <v>14356.330000000002</v>
      </c>
      <c r="X1193" s="76">
        <v>35563.19</v>
      </c>
    </row>
    <row r="1194" spans="1:24" x14ac:dyDescent="0.25">
      <c r="A1194" s="28"/>
      <c r="B1194" s="45" t="str">
        <f t="shared" si="54"/>
        <v>Mar-2026</v>
      </c>
      <c r="C1194" s="57">
        <v>46083</v>
      </c>
      <c r="D1194" s="43">
        <f t="shared" si="55"/>
        <v>29</v>
      </c>
      <c r="E1194" s="76"/>
      <c r="F1194" s="50">
        <v>110</v>
      </c>
      <c r="G1194" s="49">
        <v>52070</v>
      </c>
      <c r="H1194" s="73">
        <v>110</v>
      </c>
      <c r="I1194" s="77">
        <v>110</v>
      </c>
      <c r="J1194" s="73">
        <v>20416.950000000004</v>
      </c>
      <c r="K1194" s="52">
        <v>4</v>
      </c>
      <c r="L1194" s="51">
        <v>750.15</v>
      </c>
      <c r="M1194" s="77">
        <v>97</v>
      </c>
      <c r="N1194" s="76">
        <v>31467.23</v>
      </c>
      <c r="O1194" s="75">
        <v>86</v>
      </c>
      <c r="P1194" s="74">
        <v>318.96999999999991</v>
      </c>
      <c r="Q1194" s="74">
        <v>133.08000000000001</v>
      </c>
      <c r="R1194" s="53">
        <f t="shared" si="56"/>
        <v>2603.5</v>
      </c>
      <c r="S1194" s="73">
        <v>20416.950000000008</v>
      </c>
      <c r="X1194" s="76">
        <v>30983.22</v>
      </c>
    </row>
    <row r="1195" spans="1:24" x14ac:dyDescent="0.25">
      <c r="A1195" s="28"/>
      <c r="B1195" s="45" t="str">
        <f t="shared" si="54"/>
        <v>Mar-2026</v>
      </c>
      <c r="C1195" s="57">
        <v>46084</v>
      </c>
      <c r="D1195" s="43">
        <f t="shared" si="55"/>
        <v>28</v>
      </c>
      <c r="E1195" s="76"/>
      <c r="F1195" s="50">
        <v>81</v>
      </c>
      <c r="G1195" s="49">
        <v>32900</v>
      </c>
      <c r="H1195" s="73">
        <v>81</v>
      </c>
      <c r="I1195" s="77">
        <v>81</v>
      </c>
      <c r="J1195" s="73">
        <v>16397.429999999997</v>
      </c>
      <c r="K1195" s="52">
        <v>1</v>
      </c>
      <c r="L1195" s="51">
        <v>50.01</v>
      </c>
      <c r="M1195" s="77">
        <v>40</v>
      </c>
      <c r="N1195" s="76">
        <v>16712.03</v>
      </c>
      <c r="O1195" s="75">
        <v>40</v>
      </c>
      <c r="P1195" s="74">
        <v>209.45999999999992</v>
      </c>
      <c r="Q1195" s="74">
        <v>60.780000000000022</v>
      </c>
      <c r="R1195" s="53">
        <f t="shared" si="56"/>
        <v>1645</v>
      </c>
      <c r="S1195" s="73">
        <v>16397.429999999997</v>
      </c>
      <c r="X1195" s="76">
        <v>30968.22</v>
      </c>
    </row>
    <row r="1196" spans="1:24" x14ac:dyDescent="0.25">
      <c r="A1196" s="28"/>
      <c r="B1196" s="45" t="str">
        <f t="shared" si="54"/>
        <v>Mar-2026</v>
      </c>
      <c r="C1196" s="57">
        <v>46085</v>
      </c>
      <c r="D1196" s="43">
        <f t="shared" si="55"/>
        <v>27</v>
      </c>
      <c r="E1196" s="76"/>
      <c r="F1196" s="50">
        <v>95</v>
      </c>
      <c r="G1196" s="49">
        <v>46090</v>
      </c>
      <c r="H1196" s="73">
        <v>95</v>
      </c>
      <c r="I1196" s="77">
        <v>95</v>
      </c>
      <c r="J1196" s="73">
        <v>15993.649999999998</v>
      </c>
      <c r="K1196" s="52"/>
      <c r="L1196" s="51"/>
      <c r="M1196" s="77">
        <v>79</v>
      </c>
      <c r="N1196" s="76">
        <v>30355.21</v>
      </c>
      <c r="O1196" s="75">
        <v>77</v>
      </c>
      <c r="P1196" s="74">
        <v>258.86000000000007</v>
      </c>
      <c r="Q1196" s="74">
        <v>116.69</v>
      </c>
      <c r="R1196" s="53">
        <f t="shared" si="56"/>
        <v>2304.5</v>
      </c>
      <c r="S1196" s="73">
        <v>15993.650000000001</v>
      </c>
      <c r="X1196" s="76">
        <v>32142.5</v>
      </c>
    </row>
    <row r="1197" spans="1:24" x14ac:dyDescent="0.25">
      <c r="A1197" s="28"/>
      <c r="B1197" s="45" t="str">
        <f t="shared" si="54"/>
        <v>Mar-2026</v>
      </c>
      <c r="C1197" s="57">
        <v>46086</v>
      </c>
      <c r="D1197" s="43">
        <f t="shared" si="55"/>
        <v>26</v>
      </c>
      <c r="E1197" s="76"/>
      <c r="F1197" s="50">
        <v>113</v>
      </c>
      <c r="G1197" s="49">
        <v>61290</v>
      </c>
      <c r="H1197" s="73">
        <v>112</v>
      </c>
      <c r="I1197" s="77">
        <v>113</v>
      </c>
      <c r="J1197" s="73">
        <v>17882.859999999997</v>
      </c>
      <c r="K1197" s="52">
        <v>1</v>
      </c>
      <c r="L1197" s="51">
        <v>500.11</v>
      </c>
      <c r="M1197" s="77">
        <v>121</v>
      </c>
      <c r="N1197" s="76">
        <v>43639.1</v>
      </c>
      <c r="O1197" s="75">
        <v>118</v>
      </c>
      <c r="P1197" s="74">
        <v>332.87000000000006</v>
      </c>
      <c r="Q1197" s="74">
        <v>195.46999999999994</v>
      </c>
      <c r="R1197" s="53">
        <f t="shared" si="56"/>
        <v>3064.5</v>
      </c>
      <c r="S1197" s="73">
        <v>17882.86</v>
      </c>
      <c r="X1197" s="103">
        <f>SUM(X1169:X1196)</f>
        <v>998535.86999999988</v>
      </c>
    </row>
    <row r="1198" spans="1:24" x14ac:dyDescent="0.25">
      <c r="A1198" s="28"/>
      <c r="B1198" s="45" t="str">
        <f t="shared" si="54"/>
        <v>Mar-2026</v>
      </c>
      <c r="C1198" s="57">
        <v>46087</v>
      </c>
      <c r="D1198" s="43">
        <f t="shared" si="55"/>
        <v>25</v>
      </c>
      <c r="E1198" s="76"/>
      <c r="F1198" s="50">
        <v>121</v>
      </c>
      <c r="G1198" s="49">
        <v>63522</v>
      </c>
      <c r="H1198" s="73">
        <v>121</v>
      </c>
      <c r="I1198" s="77">
        <v>121</v>
      </c>
      <c r="J1198" s="73">
        <v>25124.150000000005</v>
      </c>
      <c r="K1198" s="52">
        <v>3</v>
      </c>
      <c r="L1198" s="51">
        <v>510.11</v>
      </c>
      <c r="M1198" s="77">
        <v>94</v>
      </c>
      <c r="N1198" s="76">
        <v>37574.69</v>
      </c>
      <c r="O1198" s="75">
        <v>83</v>
      </c>
      <c r="P1198" s="74">
        <v>386.99000000000012</v>
      </c>
      <c r="Q1198" s="74">
        <v>174.82999999999998</v>
      </c>
      <c r="R1198" s="53">
        <f t="shared" si="56"/>
        <v>3176.1000000000004</v>
      </c>
      <c r="S1198" s="73">
        <v>25124.150000000005</v>
      </c>
    </row>
    <row r="1199" spans="1:24" x14ac:dyDescent="0.25">
      <c r="A1199" s="28"/>
      <c r="B1199" s="45" t="str">
        <f t="shared" si="54"/>
        <v>Mar-2026</v>
      </c>
      <c r="C1199" s="57">
        <v>46088</v>
      </c>
      <c r="D1199" s="43">
        <f t="shared" si="55"/>
        <v>24</v>
      </c>
      <c r="E1199" s="76"/>
      <c r="F1199" s="50">
        <v>107</v>
      </c>
      <c r="G1199" s="49">
        <v>56590</v>
      </c>
      <c r="H1199" s="73">
        <v>107</v>
      </c>
      <c r="I1199" s="77">
        <v>107</v>
      </c>
      <c r="J1199" s="73">
        <v>23156.65</v>
      </c>
      <c r="K1199" s="52">
        <v>4</v>
      </c>
      <c r="L1199" s="51">
        <v>211.02999999999997</v>
      </c>
      <c r="M1199" s="77">
        <v>85</v>
      </c>
      <c r="N1199" s="76">
        <v>33622.42</v>
      </c>
      <c r="O1199" s="75">
        <v>82</v>
      </c>
      <c r="P1199" s="74">
        <v>309.06999999999988</v>
      </c>
      <c r="Q1199" s="74">
        <v>131.33000000000004</v>
      </c>
      <c r="R1199" s="53">
        <f t="shared" si="56"/>
        <v>2829.5</v>
      </c>
      <c r="S1199" s="73">
        <v>23156.649999999994</v>
      </c>
    </row>
    <row r="1200" spans="1:24" x14ac:dyDescent="0.25">
      <c r="A1200" s="28"/>
      <c r="B1200" s="45" t="str">
        <f t="shared" si="54"/>
        <v>Mar-2026</v>
      </c>
      <c r="C1200" s="57">
        <v>46089</v>
      </c>
      <c r="D1200" s="43">
        <f t="shared" si="55"/>
        <v>23</v>
      </c>
      <c r="E1200" s="76"/>
      <c r="F1200" s="50">
        <v>83</v>
      </c>
      <c r="G1200" s="49">
        <v>44710</v>
      </c>
      <c r="H1200" s="73">
        <v>83</v>
      </c>
      <c r="I1200" s="77">
        <v>83</v>
      </c>
      <c r="J1200" s="73">
        <v>14596.300000000007</v>
      </c>
      <c r="K1200" s="52">
        <v>1</v>
      </c>
      <c r="L1200" s="51">
        <v>17</v>
      </c>
      <c r="M1200" s="77">
        <v>100</v>
      </c>
      <c r="N1200" s="76">
        <v>30368.400000000001</v>
      </c>
      <c r="O1200" s="75">
        <v>86</v>
      </c>
      <c r="P1200" s="74">
        <v>254.7</v>
      </c>
      <c r="Q1200" s="74">
        <v>139.70000000000007</v>
      </c>
      <c r="R1200" s="53">
        <f t="shared" si="56"/>
        <v>2235.5</v>
      </c>
      <c r="S1200" s="73">
        <v>14596.300000000007</v>
      </c>
    </row>
    <row r="1201" spans="1:19" x14ac:dyDescent="0.25">
      <c r="A1201" s="28"/>
      <c r="B1201" s="45" t="str">
        <f t="shared" si="54"/>
        <v>Mar-2026</v>
      </c>
      <c r="C1201" s="57">
        <v>46090</v>
      </c>
      <c r="D1201" s="43">
        <f t="shared" si="55"/>
        <v>22</v>
      </c>
      <c r="E1201" s="76"/>
      <c r="F1201" s="50">
        <v>85</v>
      </c>
      <c r="G1201" s="49">
        <v>44550</v>
      </c>
      <c r="H1201" s="73">
        <v>83</v>
      </c>
      <c r="I1201" s="77">
        <v>85</v>
      </c>
      <c r="J1201" s="73">
        <v>17988.909999999996</v>
      </c>
      <c r="K1201" s="52">
        <v>6</v>
      </c>
      <c r="L1201" s="51">
        <v>507.06</v>
      </c>
      <c r="M1201" s="77">
        <v>68</v>
      </c>
      <c r="N1201" s="76">
        <v>26797.65</v>
      </c>
      <c r="O1201" s="75">
        <v>64</v>
      </c>
      <c r="P1201" s="74">
        <v>236.56</v>
      </c>
      <c r="Q1201" s="74">
        <v>102.91000000000001</v>
      </c>
      <c r="R1201" s="53">
        <f t="shared" si="56"/>
        <v>2227.5</v>
      </c>
      <c r="S1201" s="73">
        <v>17988.909999999996</v>
      </c>
    </row>
    <row r="1202" spans="1:19" x14ac:dyDescent="0.25">
      <c r="A1202" s="28"/>
      <c r="B1202" s="45" t="str">
        <f t="shared" si="54"/>
        <v>Mar-2026</v>
      </c>
      <c r="C1202" s="57">
        <v>46091</v>
      </c>
      <c r="D1202" s="43">
        <f t="shared" si="55"/>
        <v>21</v>
      </c>
      <c r="E1202" s="76"/>
      <c r="F1202" s="50">
        <v>93</v>
      </c>
      <c r="G1202" s="49">
        <v>42180</v>
      </c>
      <c r="H1202" s="73">
        <v>93</v>
      </c>
      <c r="I1202" s="77">
        <v>93</v>
      </c>
      <c r="J1202" s="73">
        <v>15511.030000000004</v>
      </c>
      <c r="K1202" s="52">
        <v>2</v>
      </c>
      <c r="L1202" s="51">
        <v>200.04</v>
      </c>
      <c r="M1202" s="77">
        <v>77</v>
      </c>
      <c r="N1202" s="76">
        <v>26872.21</v>
      </c>
      <c r="O1202" s="75">
        <v>74</v>
      </c>
      <c r="P1202" s="74">
        <v>203.24000000000007</v>
      </c>
      <c r="Q1202" s="74">
        <v>92.69</v>
      </c>
      <c r="R1202" s="53">
        <f t="shared" si="56"/>
        <v>2109</v>
      </c>
      <c r="S1202" s="73"/>
    </row>
    <row r="1203" spans="1:19" x14ac:dyDescent="0.25">
      <c r="A1203" s="28"/>
      <c r="B1203" s="45" t="str">
        <f t="shared" si="54"/>
        <v>Mar-2026</v>
      </c>
      <c r="C1203" s="57">
        <v>46092</v>
      </c>
      <c r="D1203" s="43">
        <f t="shared" si="55"/>
        <v>20</v>
      </c>
      <c r="E1203" s="76"/>
      <c r="F1203" s="50">
        <v>105</v>
      </c>
      <c r="G1203" s="49">
        <v>56309</v>
      </c>
      <c r="H1203" s="73">
        <v>105</v>
      </c>
      <c r="I1203" s="77">
        <v>105</v>
      </c>
      <c r="J1203" s="73">
        <v>20952.249999999996</v>
      </c>
      <c r="K1203" s="52"/>
      <c r="L1203" s="51"/>
      <c r="M1203" s="77">
        <v>66</v>
      </c>
      <c r="N1203" s="76">
        <v>35426.21</v>
      </c>
      <c r="O1203" s="75">
        <v>65</v>
      </c>
      <c r="P1203" s="74">
        <v>270.21999999999997</v>
      </c>
      <c r="Q1203" s="74">
        <v>121.25999999999999</v>
      </c>
      <c r="R1203" s="53">
        <f t="shared" si="56"/>
        <v>2815.4500000000003</v>
      </c>
      <c r="S1203" s="73"/>
    </row>
    <row r="1204" spans="1:19" x14ac:dyDescent="0.25">
      <c r="A1204" s="28"/>
      <c r="B1204" s="45" t="str">
        <f t="shared" si="54"/>
        <v>Mar-2026</v>
      </c>
      <c r="C1204" s="57">
        <v>46093</v>
      </c>
      <c r="D1204" s="43">
        <f t="shared" si="55"/>
        <v>19</v>
      </c>
      <c r="E1204" s="76"/>
      <c r="F1204" s="50">
        <v>96</v>
      </c>
      <c r="G1204" s="49">
        <v>46680</v>
      </c>
      <c r="H1204" s="73">
        <v>95</v>
      </c>
      <c r="I1204" s="77">
        <v>96</v>
      </c>
      <c r="J1204" s="73">
        <v>19199.41</v>
      </c>
      <c r="K1204" s="52">
        <v>1</v>
      </c>
      <c r="L1204" s="51">
        <v>200.04</v>
      </c>
      <c r="M1204" s="77">
        <v>89</v>
      </c>
      <c r="N1204" s="76">
        <v>25202.83</v>
      </c>
      <c r="O1204" s="75">
        <v>77</v>
      </c>
      <c r="P1204" s="74">
        <v>236.93</v>
      </c>
      <c r="Q1204" s="74">
        <v>113.47999999999999</v>
      </c>
      <c r="R1204" s="53">
        <f t="shared" si="56"/>
        <v>2334</v>
      </c>
      <c r="S1204" s="73"/>
    </row>
    <row r="1205" spans="1:19" x14ac:dyDescent="0.25">
      <c r="A1205" s="28"/>
      <c r="B1205" s="45" t="str">
        <f t="shared" si="54"/>
        <v>Mar-2026</v>
      </c>
      <c r="C1205" s="57">
        <v>46094</v>
      </c>
      <c r="D1205" s="43">
        <f t="shared" si="55"/>
        <v>18</v>
      </c>
      <c r="E1205" s="76"/>
      <c r="F1205" s="50">
        <v>96</v>
      </c>
      <c r="G1205" s="49">
        <v>53276</v>
      </c>
      <c r="H1205" s="73">
        <v>96</v>
      </c>
      <c r="I1205" s="77">
        <v>96</v>
      </c>
      <c r="J1205" s="73">
        <v>24293.79</v>
      </c>
      <c r="K1205" s="52"/>
      <c r="L1205" s="51"/>
      <c r="M1205" s="77">
        <v>92</v>
      </c>
      <c r="N1205" s="76">
        <v>29133.919999999998</v>
      </c>
      <c r="O1205" s="75">
        <v>70</v>
      </c>
      <c r="P1205" s="74">
        <v>252.43</v>
      </c>
      <c r="Q1205" s="74">
        <v>92.249999999999972</v>
      </c>
      <c r="R1205" s="53">
        <f t="shared" si="56"/>
        <v>2663.8</v>
      </c>
      <c r="S1205" s="73"/>
    </row>
    <row r="1206" spans="1:19" x14ac:dyDescent="0.25">
      <c r="A1206" s="28"/>
      <c r="B1206" s="45" t="str">
        <f t="shared" si="54"/>
        <v>Mar-2026</v>
      </c>
      <c r="C1206" s="57">
        <v>46095</v>
      </c>
      <c r="D1206" s="43">
        <f t="shared" si="55"/>
        <v>17</v>
      </c>
      <c r="E1206" s="76"/>
      <c r="F1206" s="50">
        <v>102</v>
      </c>
      <c r="G1206" s="49">
        <v>55780</v>
      </c>
      <c r="H1206" s="73">
        <v>102</v>
      </c>
      <c r="I1206" s="77">
        <v>102</v>
      </c>
      <c r="J1206" s="73">
        <v>29273.48</v>
      </c>
      <c r="K1206" s="52"/>
      <c r="L1206" s="51"/>
      <c r="M1206" s="77">
        <v>87</v>
      </c>
      <c r="N1206" s="76">
        <v>26803.52</v>
      </c>
      <c r="O1206" s="75">
        <v>74</v>
      </c>
      <c r="P1206" s="74">
        <v>297.00000000000017</v>
      </c>
      <c r="Q1206" s="74">
        <v>110.38000000000002</v>
      </c>
      <c r="R1206" s="53">
        <f t="shared" si="56"/>
        <v>2789</v>
      </c>
      <c r="S1206" s="73"/>
    </row>
    <row r="1207" spans="1:19" x14ac:dyDescent="0.25">
      <c r="A1207" s="28"/>
      <c r="B1207" s="45" t="str">
        <f t="shared" si="54"/>
        <v>Mar-2026</v>
      </c>
      <c r="C1207" s="57">
        <v>46096</v>
      </c>
      <c r="D1207" s="43">
        <f t="shared" si="55"/>
        <v>16</v>
      </c>
      <c r="E1207" s="76"/>
      <c r="F1207" s="50">
        <v>85</v>
      </c>
      <c r="G1207" s="49">
        <v>38015</v>
      </c>
      <c r="H1207" s="73">
        <v>85</v>
      </c>
      <c r="I1207" s="77">
        <v>85</v>
      </c>
      <c r="J1207" s="73">
        <v>19242.669999999991</v>
      </c>
      <c r="K1207" s="52"/>
      <c r="L1207" s="51"/>
      <c r="M1207" s="77">
        <v>57</v>
      </c>
      <c r="N1207" s="76">
        <v>17940.7</v>
      </c>
      <c r="O1207" s="75">
        <v>46</v>
      </c>
      <c r="P1207" s="74">
        <v>174.78999999999994</v>
      </c>
      <c r="Q1207" s="74">
        <v>52.119999999999976</v>
      </c>
      <c r="R1207" s="53">
        <f t="shared" si="56"/>
        <v>1900.75</v>
      </c>
      <c r="S1207" s="73"/>
    </row>
    <row r="1208" spans="1:19" x14ac:dyDescent="0.25">
      <c r="A1208" s="28"/>
      <c r="B1208" s="45" t="str">
        <f t="shared" si="54"/>
        <v>Mar-2026</v>
      </c>
      <c r="C1208" s="57">
        <v>46097</v>
      </c>
      <c r="D1208" s="43">
        <f t="shared" si="55"/>
        <v>15</v>
      </c>
      <c r="E1208" s="76"/>
      <c r="F1208" s="50">
        <v>95</v>
      </c>
      <c r="G1208" s="49">
        <v>53580</v>
      </c>
      <c r="H1208" s="73">
        <v>95</v>
      </c>
      <c r="I1208" s="77">
        <v>95</v>
      </c>
      <c r="J1208" s="73">
        <v>27329.460000000017</v>
      </c>
      <c r="K1208" s="52"/>
      <c r="L1208" s="51"/>
      <c r="M1208" s="77">
        <v>56</v>
      </c>
      <c r="N1208" s="76">
        <v>26493.15</v>
      </c>
      <c r="O1208" s="75">
        <v>49</v>
      </c>
      <c r="P1208" s="74">
        <v>242.61000000000007</v>
      </c>
      <c r="Q1208" s="74">
        <v>80.05999999999996</v>
      </c>
      <c r="R1208" s="53">
        <f t="shared" si="56"/>
        <v>2679</v>
      </c>
      <c r="S1208" s="73"/>
    </row>
    <row r="1209" spans="1:19" x14ac:dyDescent="0.25">
      <c r="A1209" s="28"/>
      <c r="B1209" s="45" t="str">
        <f t="shared" si="54"/>
        <v>Mar-2026</v>
      </c>
      <c r="C1209" s="57">
        <v>46098</v>
      </c>
      <c r="D1209" s="43">
        <f t="shared" si="55"/>
        <v>14</v>
      </c>
      <c r="E1209" s="76"/>
      <c r="F1209" s="50">
        <v>92</v>
      </c>
      <c r="G1209" s="49">
        <v>46300</v>
      </c>
      <c r="H1209" s="73">
        <v>87</v>
      </c>
      <c r="I1209" s="77">
        <v>92</v>
      </c>
      <c r="J1209" s="73">
        <v>17009.800000000003</v>
      </c>
      <c r="K1209" s="52">
        <v>9</v>
      </c>
      <c r="L1209" s="51">
        <v>1550.33</v>
      </c>
      <c r="M1209" s="77">
        <v>82</v>
      </c>
      <c r="N1209" s="76">
        <v>29218.37</v>
      </c>
      <c r="O1209" s="75">
        <v>69</v>
      </c>
      <c r="P1209" s="74">
        <v>184.45000000000007</v>
      </c>
      <c r="Q1209" s="74">
        <v>84.649999999999949</v>
      </c>
      <c r="R1209" s="53">
        <f t="shared" si="56"/>
        <v>2315</v>
      </c>
      <c r="S1209" s="73"/>
    </row>
    <row r="1210" spans="1:19" x14ac:dyDescent="0.25">
      <c r="A1210" s="28"/>
      <c r="B1210" s="45" t="str">
        <f t="shared" si="54"/>
        <v>Mar-2026</v>
      </c>
      <c r="C1210" s="57">
        <v>46099</v>
      </c>
      <c r="D1210" s="43">
        <f t="shared" si="55"/>
        <v>13</v>
      </c>
      <c r="E1210" s="76"/>
      <c r="F1210" s="50">
        <v>102</v>
      </c>
      <c r="G1210" s="49">
        <v>52485</v>
      </c>
      <c r="H1210" s="73">
        <v>101</v>
      </c>
      <c r="I1210" s="77">
        <v>102</v>
      </c>
      <c r="J1210" s="73">
        <v>24713.179999999993</v>
      </c>
      <c r="K1210" s="52">
        <v>1</v>
      </c>
      <c r="L1210" s="51">
        <v>500.11</v>
      </c>
      <c r="M1210" s="77">
        <v>61</v>
      </c>
      <c r="N1210" s="76">
        <v>27886.1</v>
      </c>
      <c r="O1210" s="75">
        <v>57</v>
      </c>
      <c r="P1210" s="74">
        <v>214.84999999999994</v>
      </c>
      <c r="Q1210" s="74">
        <v>86.729999999999961</v>
      </c>
      <c r="R1210" s="53">
        <f t="shared" si="56"/>
        <v>2624.25</v>
      </c>
      <c r="S1210" s="73"/>
    </row>
    <row r="1211" spans="1:19" x14ac:dyDescent="0.25">
      <c r="A1211" s="28"/>
      <c r="B1211" s="45" t="str">
        <f t="shared" si="54"/>
        <v>Mar-2026</v>
      </c>
      <c r="C1211" s="57">
        <v>46100</v>
      </c>
      <c r="D1211" s="43">
        <f t="shared" si="55"/>
        <v>12</v>
      </c>
      <c r="E1211" s="76"/>
      <c r="F1211" s="50">
        <v>86</v>
      </c>
      <c r="G1211" s="49">
        <v>41626</v>
      </c>
      <c r="H1211" s="73">
        <v>86</v>
      </c>
      <c r="I1211" s="77">
        <v>86</v>
      </c>
      <c r="J1211" s="73">
        <v>23111.640000000003</v>
      </c>
      <c r="K1211" s="52">
        <v>1</v>
      </c>
      <c r="L1211" s="51">
        <v>100.02</v>
      </c>
      <c r="M1211" s="77">
        <v>62</v>
      </c>
      <c r="N1211" s="76">
        <v>18690.900000000001</v>
      </c>
      <c r="O1211" s="75">
        <v>55</v>
      </c>
      <c r="P1211" s="74">
        <v>176.54</v>
      </c>
      <c r="Q1211" s="74">
        <v>57.889999999999993</v>
      </c>
      <c r="R1211" s="53">
        <f t="shared" si="56"/>
        <v>2081.3000000000002</v>
      </c>
      <c r="S1211" s="73"/>
    </row>
    <row r="1212" spans="1:19" x14ac:dyDescent="0.25">
      <c r="A1212" s="28"/>
      <c r="B1212" s="45" t="str">
        <f t="shared" si="54"/>
        <v>Mar-2026</v>
      </c>
      <c r="C1212" s="57">
        <v>46101</v>
      </c>
      <c r="D1212" s="43">
        <f t="shared" si="55"/>
        <v>11</v>
      </c>
      <c r="E1212" s="76"/>
      <c r="F1212" s="50">
        <v>88</v>
      </c>
      <c r="G1212" s="49">
        <v>46880</v>
      </c>
      <c r="H1212" s="73">
        <v>88</v>
      </c>
      <c r="I1212" s="77">
        <v>88</v>
      </c>
      <c r="J1212" s="73">
        <v>25631.129999999997</v>
      </c>
      <c r="K1212" s="52"/>
      <c r="L1212" s="51"/>
      <c r="M1212" s="77">
        <v>57</v>
      </c>
      <c r="N1212" s="76">
        <v>21343.08</v>
      </c>
      <c r="O1212" s="75">
        <v>50</v>
      </c>
      <c r="P1212" s="74">
        <v>194.72000000000008</v>
      </c>
      <c r="Q1212" s="74">
        <v>67.229999999999976</v>
      </c>
      <c r="R1212" s="53">
        <f t="shared" si="56"/>
        <v>2344</v>
      </c>
      <c r="S1212" s="73"/>
    </row>
    <row r="1213" spans="1:19" x14ac:dyDescent="0.25">
      <c r="A1213" s="28"/>
      <c r="B1213" s="45" t="str">
        <f t="shared" si="54"/>
        <v>Mar-2026</v>
      </c>
      <c r="C1213" s="57">
        <v>46102</v>
      </c>
      <c r="D1213" s="43">
        <f t="shared" si="55"/>
        <v>10</v>
      </c>
      <c r="E1213" s="76"/>
      <c r="F1213" s="50">
        <v>91</v>
      </c>
      <c r="G1213" s="49">
        <v>39640</v>
      </c>
      <c r="H1213" s="73">
        <v>90</v>
      </c>
      <c r="I1213" s="77">
        <v>91</v>
      </c>
      <c r="J1213" s="73">
        <v>18268.579999999998</v>
      </c>
      <c r="K1213" s="52">
        <v>7</v>
      </c>
      <c r="L1213" s="51">
        <v>1380.28</v>
      </c>
      <c r="M1213" s="77">
        <v>65</v>
      </c>
      <c r="N1213" s="76">
        <v>21517.18</v>
      </c>
      <c r="O1213" s="75">
        <v>60</v>
      </c>
      <c r="P1213" s="74">
        <v>145.76000000000008</v>
      </c>
      <c r="Q1213" s="74">
        <v>59.93</v>
      </c>
      <c r="R1213" s="53">
        <f t="shared" si="56"/>
        <v>1982</v>
      </c>
      <c r="S1213" s="73"/>
    </row>
    <row r="1214" spans="1:19" x14ac:dyDescent="0.25">
      <c r="A1214" s="28"/>
      <c r="B1214" s="45" t="str">
        <f t="shared" si="54"/>
        <v>Mar-2026</v>
      </c>
      <c r="C1214" s="57">
        <v>46103</v>
      </c>
      <c r="D1214" s="43">
        <f t="shared" si="55"/>
        <v>9</v>
      </c>
      <c r="E1214" s="76"/>
      <c r="F1214" s="50">
        <v>62</v>
      </c>
      <c r="G1214" s="49">
        <v>29095</v>
      </c>
      <c r="H1214" s="73">
        <v>62</v>
      </c>
      <c r="I1214" s="77">
        <v>62</v>
      </c>
      <c r="J1214" s="73">
        <v>13154.439999999997</v>
      </c>
      <c r="K1214" s="52">
        <v>1</v>
      </c>
      <c r="L1214" s="51">
        <v>4</v>
      </c>
      <c r="M1214" s="77">
        <v>51</v>
      </c>
      <c r="N1214" s="76">
        <v>15528.57</v>
      </c>
      <c r="O1214" s="75">
        <v>45</v>
      </c>
      <c r="P1214" s="74">
        <v>90.309999999999988</v>
      </c>
      <c r="Q1214" s="74">
        <v>32.130000000000003</v>
      </c>
      <c r="R1214" s="53">
        <f t="shared" si="56"/>
        <v>1454.75</v>
      </c>
      <c r="S1214" s="73"/>
    </row>
    <row r="1215" spans="1:19" x14ac:dyDescent="0.25">
      <c r="A1215" s="28"/>
      <c r="B1215" s="45" t="str">
        <f t="shared" si="54"/>
        <v>Mar-2026</v>
      </c>
      <c r="C1215" s="57">
        <v>46104</v>
      </c>
      <c r="D1215" s="43">
        <f t="shared" si="55"/>
        <v>8</v>
      </c>
      <c r="E1215" s="76"/>
      <c r="F1215" s="50">
        <v>86</v>
      </c>
      <c r="G1215" s="49">
        <v>49655</v>
      </c>
      <c r="H1215" s="73">
        <v>86</v>
      </c>
      <c r="I1215" s="77">
        <v>86</v>
      </c>
      <c r="J1215" s="73">
        <v>30506.359999999979</v>
      </c>
      <c r="K1215" s="52"/>
      <c r="L1215" s="51"/>
      <c r="M1215" s="77">
        <v>37</v>
      </c>
      <c r="N1215" s="76">
        <v>19220.61</v>
      </c>
      <c r="O1215" s="75">
        <v>32</v>
      </c>
      <c r="P1215" s="74">
        <v>172.3900000000001</v>
      </c>
      <c r="Q1215" s="74">
        <v>41.03</v>
      </c>
      <c r="R1215" s="53">
        <f t="shared" si="56"/>
        <v>2482.75</v>
      </c>
      <c r="S1215" s="73"/>
    </row>
    <row r="1216" spans="1:19" x14ac:dyDescent="0.25">
      <c r="A1216" s="28"/>
      <c r="B1216" s="45" t="str">
        <f t="shared" si="54"/>
        <v>Mar-2026</v>
      </c>
      <c r="C1216" s="57">
        <v>46105</v>
      </c>
      <c r="D1216" s="43">
        <f t="shared" si="55"/>
        <v>7</v>
      </c>
      <c r="E1216" s="76"/>
      <c r="F1216" s="50">
        <v>82</v>
      </c>
      <c r="G1216" s="49">
        <v>44795</v>
      </c>
      <c r="H1216" s="73">
        <v>82</v>
      </c>
      <c r="I1216" s="77">
        <v>82</v>
      </c>
      <c r="J1216" s="73">
        <v>26456.350000000009</v>
      </c>
      <c r="K1216" s="52"/>
      <c r="L1216" s="51"/>
      <c r="M1216" s="77">
        <v>51</v>
      </c>
      <c r="N1216" s="76">
        <v>18484.66</v>
      </c>
      <c r="O1216" s="75">
        <v>40</v>
      </c>
      <c r="P1216" s="74">
        <v>146.01000000000008</v>
      </c>
      <c r="Q1216" s="74">
        <v>44.12</v>
      </c>
      <c r="R1216" s="53">
        <f t="shared" si="56"/>
        <v>2239.75</v>
      </c>
      <c r="S1216" s="73"/>
    </row>
    <row r="1217" spans="1:19" x14ac:dyDescent="0.25">
      <c r="A1217" s="28"/>
      <c r="B1217" s="45" t="str">
        <f t="shared" si="54"/>
        <v>Mar-2026</v>
      </c>
      <c r="C1217" s="57">
        <v>46106</v>
      </c>
      <c r="D1217" s="43">
        <f t="shared" si="55"/>
        <v>6</v>
      </c>
      <c r="E1217" s="76"/>
      <c r="F1217" s="50">
        <v>88</v>
      </c>
      <c r="G1217" s="49">
        <v>41530</v>
      </c>
      <c r="H1217" s="73">
        <v>87</v>
      </c>
      <c r="I1217" s="77">
        <v>88</v>
      </c>
      <c r="J1217" s="73">
        <v>29224.530000000002</v>
      </c>
      <c r="K1217" s="52">
        <v>6</v>
      </c>
      <c r="L1217" s="51">
        <v>895.15</v>
      </c>
      <c r="M1217" s="77">
        <v>55</v>
      </c>
      <c r="N1217" s="76">
        <v>12439.99</v>
      </c>
      <c r="O1217" s="75">
        <v>50</v>
      </c>
      <c r="P1217" s="74">
        <v>134.51999999999995</v>
      </c>
      <c r="Q1217" s="74">
        <v>25.97999999999999</v>
      </c>
      <c r="R1217" s="53">
        <f t="shared" si="56"/>
        <v>2076.5</v>
      </c>
      <c r="S1217" s="73"/>
    </row>
    <row r="1218" spans="1:19" x14ac:dyDescent="0.25">
      <c r="A1218" s="28"/>
      <c r="B1218" s="45" t="str">
        <f t="shared" si="54"/>
        <v>Mar-2026</v>
      </c>
      <c r="C1218" s="57">
        <v>46107</v>
      </c>
      <c r="D1218" s="43">
        <f t="shared" si="55"/>
        <v>5</v>
      </c>
      <c r="E1218" s="76"/>
      <c r="F1218" s="50">
        <v>86</v>
      </c>
      <c r="G1218" s="49">
        <v>36910</v>
      </c>
      <c r="H1218" s="73">
        <v>86</v>
      </c>
      <c r="I1218" s="77">
        <v>86</v>
      </c>
      <c r="J1218" s="73">
        <v>24748.620000000003</v>
      </c>
      <c r="K1218" s="52">
        <v>1</v>
      </c>
      <c r="L1218" s="51">
        <v>2</v>
      </c>
      <c r="M1218" s="77">
        <v>48</v>
      </c>
      <c r="N1218" s="76">
        <v>12270.92</v>
      </c>
      <c r="O1218" s="75">
        <v>41</v>
      </c>
      <c r="P1218" s="74">
        <v>109.54000000000005</v>
      </c>
      <c r="Q1218" s="74">
        <v>22.699999999999996</v>
      </c>
      <c r="R1218" s="53">
        <f t="shared" si="56"/>
        <v>1845.5</v>
      </c>
      <c r="S1218" s="73"/>
    </row>
    <row r="1219" spans="1:19" x14ac:dyDescent="0.25">
      <c r="A1219" s="28"/>
      <c r="B1219" s="45" t="str">
        <f t="shared" si="54"/>
        <v>Mar-2026</v>
      </c>
      <c r="C1219" s="57">
        <v>46108</v>
      </c>
      <c r="D1219" s="43">
        <f t="shared" si="55"/>
        <v>4</v>
      </c>
      <c r="E1219" s="76"/>
      <c r="F1219" s="50">
        <v>76</v>
      </c>
      <c r="G1219" s="49">
        <v>32980</v>
      </c>
      <c r="H1219" s="73">
        <v>76</v>
      </c>
      <c r="I1219" s="77">
        <v>76</v>
      </c>
      <c r="J1219" s="73">
        <v>23946.429999999997</v>
      </c>
      <c r="K1219" s="52">
        <v>2</v>
      </c>
      <c r="L1219" s="51">
        <v>110.02</v>
      </c>
      <c r="M1219" s="77">
        <v>27</v>
      </c>
      <c r="N1219" s="76">
        <v>8427.48</v>
      </c>
      <c r="O1219" s="75">
        <v>26</v>
      </c>
      <c r="P1219" s="74">
        <v>96.159999999999982</v>
      </c>
      <c r="Q1219" s="74">
        <v>23.209999999999997</v>
      </c>
      <c r="R1219" s="53">
        <f t="shared" si="56"/>
        <v>1649</v>
      </c>
      <c r="S1219" s="73"/>
    </row>
    <row r="1220" spans="1:19" x14ac:dyDescent="0.25">
      <c r="A1220" s="28"/>
      <c r="B1220" s="45" t="str">
        <f t="shared" si="54"/>
        <v>Mar-2026</v>
      </c>
      <c r="C1220" s="57">
        <v>46109</v>
      </c>
      <c r="D1220" s="43">
        <f t="shared" si="55"/>
        <v>3</v>
      </c>
      <c r="E1220" s="76"/>
      <c r="F1220" s="50">
        <v>83</v>
      </c>
      <c r="G1220" s="49">
        <v>40685</v>
      </c>
      <c r="H1220" s="73">
        <v>82</v>
      </c>
      <c r="I1220" s="77">
        <v>83</v>
      </c>
      <c r="J1220" s="73">
        <v>24456.550000000007</v>
      </c>
      <c r="K1220" s="52">
        <v>4</v>
      </c>
      <c r="L1220" s="51">
        <v>873.12</v>
      </c>
      <c r="M1220" s="77">
        <v>47</v>
      </c>
      <c r="N1220" s="76">
        <v>15626.82</v>
      </c>
      <c r="O1220" s="75">
        <v>43</v>
      </c>
      <c r="P1220" s="74">
        <v>100.19000000000001</v>
      </c>
      <c r="Q1220" s="74">
        <v>28.089999999999996</v>
      </c>
      <c r="R1220" s="53">
        <f t="shared" si="56"/>
        <v>2034.25</v>
      </c>
      <c r="S1220" s="73"/>
    </row>
    <row r="1221" spans="1:19" x14ac:dyDescent="0.25">
      <c r="A1221" s="28"/>
      <c r="B1221" s="45" t="str">
        <f t="shared" si="54"/>
        <v>Mar-2026</v>
      </c>
      <c r="C1221" s="57">
        <v>46110</v>
      </c>
      <c r="D1221" s="43">
        <f t="shared" si="55"/>
        <v>2</v>
      </c>
      <c r="E1221" s="76"/>
      <c r="F1221" s="50">
        <v>83</v>
      </c>
      <c r="G1221" s="49">
        <v>39095</v>
      </c>
      <c r="H1221" s="73">
        <v>83</v>
      </c>
      <c r="I1221" s="77">
        <v>83</v>
      </c>
      <c r="J1221" s="73">
        <v>23337.420000000006</v>
      </c>
      <c r="K1221" s="52">
        <v>2</v>
      </c>
      <c r="L1221" s="51">
        <v>34</v>
      </c>
      <c r="M1221" s="77">
        <v>67</v>
      </c>
      <c r="N1221" s="76">
        <v>15835.82</v>
      </c>
      <c r="O1221" s="75">
        <v>58</v>
      </c>
      <c r="P1221" s="74">
        <v>88.239999999999966</v>
      </c>
      <c r="Q1221" s="74">
        <v>26.259999999999998</v>
      </c>
      <c r="R1221" s="53">
        <f t="shared" si="56"/>
        <v>1954.75</v>
      </c>
      <c r="S1221" s="73"/>
    </row>
    <row r="1222" spans="1:19" x14ac:dyDescent="0.25">
      <c r="A1222" s="28"/>
      <c r="B1222" s="45" t="str">
        <f t="shared" si="54"/>
        <v>Mar-2026</v>
      </c>
      <c r="C1222" s="57">
        <v>46111</v>
      </c>
      <c r="D1222" s="43">
        <f t="shared" si="55"/>
        <v>1</v>
      </c>
      <c r="E1222" s="76"/>
      <c r="F1222" s="50">
        <v>96</v>
      </c>
      <c r="G1222" s="49">
        <v>50170</v>
      </c>
      <c r="H1222" s="73">
        <v>94</v>
      </c>
      <c r="I1222" s="77">
        <v>96</v>
      </c>
      <c r="J1222" s="73">
        <v>41639.599999999999</v>
      </c>
      <c r="K1222" s="52">
        <v>4</v>
      </c>
      <c r="L1222" s="51">
        <v>600.13</v>
      </c>
      <c r="M1222" s="77">
        <v>28</v>
      </c>
      <c r="N1222" s="76">
        <v>8006.2</v>
      </c>
      <c r="O1222" s="75">
        <v>27</v>
      </c>
      <c r="P1222" s="74">
        <v>121.64999999999986</v>
      </c>
      <c r="Q1222" s="74">
        <v>13.709999999999999</v>
      </c>
      <c r="R1222" s="53">
        <f t="shared" si="56"/>
        <v>2508.5</v>
      </c>
      <c r="S1222" s="73"/>
    </row>
    <row r="1223" spans="1:19" x14ac:dyDescent="0.25">
      <c r="A1223" s="28"/>
      <c r="B1223" s="45" t="str">
        <f t="shared" si="54"/>
        <v>Mar-2026</v>
      </c>
      <c r="C1223" s="57">
        <v>46112</v>
      </c>
      <c r="D1223" s="43">
        <f t="shared" si="55"/>
        <v>0</v>
      </c>
      <c r="E1223" s="76"/>
      <c r="F1223" s="50">
        <v>98</v>
      </c>
      <c r="G1223" s="49">
        <v>56914</v>
      </c>
      <c r="H1223" s="73">
        <v>97</v>
      </c>
      <c r="I1223" s="77">
        <v>98</v>
      </c>
      <c r="J1223" s="73">
        <v>39741.339999999982</v>
      </c>
      <c r="K1223" s="52">
        <v>2</v>
      </c>
      <c r="L1223" s="51">
        <v>565.11</v>
      </c>
      <c r="M1223" s="77">
        <v>37</v>
      </c>
      <c r="N1223" s="76">
        <v>17188.669999999998</v>
      </c>
      <c r="O1223" s="75">
        <v>36</v>
      </c>
      <c r="P1223" s="74">
        <v>116.22999999999993</v>
      </c>
      <c r="Q1223" s="74">
        <v>21.720000000000002</v>
      </c>
      <c r="R1223" s="53">
        <f t="shared" si="56"/>
        <v>2845.7000000000003</v>
      </c>
      <c r="S1223" s="73"/>
    </row>
    <row r="1224" spans="1:19" x14ac:dyDescent="0.25">
      <c r="N1224" s="55">
        <f>SUM(N1193:N1223)</f>
        <v>739632.63</v>
      </c>
    </row>
  </sheetData>
  <mergeCells count="6">
    <mergeCell ref="P2:Q2"/>
    <mergeCell ref="C2:D2"/>
    <mergeCell ref="F2:H2"/>
    <mergeCell ref="I2:J2"/>
    <mergeCell ref="K2:L2"/>
    <mergeCell ref="M2:O2"/>
  </mergeCells>
  <pageMargins left="0.7" right="0.7" top="0.75" bottom="0.75" header="0.3" footer="0.3"/>
  <pageSetup orientation="portrait" r:id="rId1"/>
  <headerFooter>
    <oddFooter>&amp;R_x000D_&amp;1#&amp;"Aptos"&amp;10&amp;K000000 C2 - Safaricom Internal</oddFooter>
  </headerFooter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Summary (Airtel)</vt:lpstr>
      <vt:lpstr>Monthly Summary (Telkom)</vt:lpstr>
      <vt:lpstr>Daily Summary(Telkom)</vt:lpstr>
      <vt:lpstr>Daily Summary(Airtel)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Faithmaria Mongina Oguta</dc:creator>
  <cp:lastModifiedBy>ADMIN</cp:lastModifiedBy>
  <dcterms:created xsi:type="dcterms:W3CDTF">2026-02-02T07:56:43Z</dcterms:created>
  <dcterms:modified xsi:type="dcterms:W3CDTF">2026-05-07T10:07:47Z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2026-02-02T08:57:34Z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68646dc3-d8ca-419e-b642-7608dcbe1551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